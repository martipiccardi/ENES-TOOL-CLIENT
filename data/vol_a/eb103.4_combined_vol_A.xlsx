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veriancloud.sharepoint.com/sites/Eurobarometer-DPDeliverables/Shared Documents/Wave 103_4/VOLA/"/>
    </mc:Choice>
  </mc:AlternateContent>
  <xr:revisionPtr revIDLastSave="6" documentId="11_A38DDC76548CCA2E024C60DD18A3310E86CBB509" xr6:coauthVersionLast="47" xr6:coauthVersionMax="47" xr10:uidLastSave="{6A15483D-E219-49D1-A209-A43818724F9E}"/>
  <bookViews>
    <workbookView xWindow="-110" yWindow="-110" windowWidth="19420" windowHeight="10300" firstSheet="17" activeTab="23" xr2:uid="{00000000-000D-0000-FFFF-FFFF00000000}"/>
  </bookViews>
  <sheets>
    <sheet name="Content" sheetId="1" r:id="rId1"/>
    <sheet name="B" sheetId="2" r:id="rId2"/>
    <sheet name="QA1" sheetId="3" r:id="rId3"/>
    <sheet name="QA2" sheetId="4" r:id="rId4"/>
    <sheet name="D78" sheetId="5" r:id="rId5"/>
    <sheet name="QA3" sheetId="6" r:id="rId6"/>
    <sheet name="QA3bis" sheetId="7" r:id="rId7"/>
    <sheet name="QA4" sheetId="8" r:id="rId8"/>
    <sheet name="QA5a" sheetId="9" r:id="rId9"/>
    <sheet name="QA5b" sheetId="10" r:id="rId10"/>
    <sheet name="QA5ab" sheetId="11" r:id="rId11"/>
    <sheet name="SD22a" sheetId="12" r:id="rId12"/>
    <sheet name="QA6a" sheetId="13" r:id="rId13"/>
    <sheet name="QA6b" sheetId="14" r:id="rId14"/>
    <sheet name="QA6ab" sheetId="15" r:id="rId15"/>
    <sheet name="QA7a" sheetId="16" r:id="rId16"/>
    <sheet name="QA7b" sheetId="17" r:id="rId17"/>
    <sheet name="QA7ab" sheetId="18" r:id="rId18"/>
    <sheet name="QA8" sheetId="19" r:id="rId19"/>
    <sheet name="QA9_1" sheetId="20" r:id="rId20"/>
    <sheet name="QA9_2" sheetId="21" r:id="rId21"/>
    <sheet name="QA10a" sheetId="22" r:id="rId22"/>
    <sheet name="QA10b" sheetId="23" r:id="rId23"/>
    <sheet name="QA10ab" sheetId="24" r:id="rId24"/>
    <sheet name="QA11" sheetId="25" r:id="rId25"/>
    <sheet name="QA12" sheetId="26" r:id="rId26"/>
    <sheet name="QA13" sheetId="27" r:id="rId27"/>
    <sheet name="QA14_1" sheetId="28" r:id="rId28"/>
    <sheet name="QA14_2" sheetId="29" r:id="rId29"/>
    <sheet name="QA14_3" sheetId="30" r:id="rId30"/>
    <sheet name="QA14_4" sheetId="31" r:id="rId31"/>
    <sheet name="QA14_5" sheetId="32" r:id="rId32"/>
    <sheet name="QA15" sheetId="33" r:id="rId33"/>
    <sheet name="QA16" sheetId="34" r:id="rId34"/>
    <sheet name="QA17" sheetId="35" r:id="rId35"/>
    <sheet name="SD27" sheetId="36" r:id="rId36"/>
    <sheet name="QB1" sheetId="37" r:id="rId37"/>
    <sheet name="QB2" sheetId="38" r:id="rId38"/>
    <sheet name="QB3" sheetId="39" r:id="rId39"/>
    <sheet name="QB4" sheetId="40" r:id="rId40"/>
    <sheet name="QB5" sheetId="41" r:id="rId41"/>
    <sheet name="QB6" sheetId="42" r:id="rId42"/>
    <sheet name="QB7_1" sheetId="43" r:id="rId43"/>
    <sheet name="QB7_2" sheetId="44" r:id="rId44"/>
    <sheet name="QB7_3" sheetId="45" r:id="rId45"/>
    <sheet name="QB7_4" sheetId="46" r:id="rId46"/>
    <sheet name="QB8a" sheetId="47" r:id="rId47"/>
    <sheet name="QB8b" sheetId="48" r:id="rId48"/>
    <sheet name="QB8ab" sheetId="49" r:id="rId49"/>
    <sheet name="QB9a" sheetId="50" r:id="rId50"/>
    <sheet name="QB9b" sheetId="51" r:id="rId51"/>
    <sheet name="QB9ab" sheetId="52" r:id="rId52"/>
    <sheet name="QB10" sheetId="53" r:id="rId53"/>
    <sheet name="QB11_1" sheetId="54" r:id="rId54"/>
    <sheet name="QB11_2" sheetId="55" r:id="rId55"/>
    <sheet name="QB11_3" sheetId="56" r:id="rId56"/>
    <sheet name="QB11_4" sheetId="57" r:id="rId57"/>
    <sheet name="QB12" sheetId="58" r:id="rId58"/>
    <sheet name="QB13_1" sheetId="59" r:id="rId59"/>
    <sheet name="QB13_2" sheetId="60" r:id="rId60"/>
    <sheet name="QB13_3" sheetId="61" r:id="rId61"/>
    <sheet name="QB13_4" sheetId="62" r:id="rId62"/>
    <sheet name="QB13_5" sheetId="63" r:id="rId63"/>
    <sheet name="QB13_6" sheetId="64" r:id="rId64"/>
    <sheet name="QCSD" sheetId="65" r:id="rId65"/>
    <sheet name="QC1" sheetId="66" r:id="rId66"/>
    <sheet name="QC2" sheetId="67" r:id="rId67"/>
    <sheet name="QC3" sheetId="68" r:id="rId68"/>
    <sheet name="QC4" sheetId="69" r:id="rId69"/>
    <sheet name="QC5" sheetId="70" r:id="rId70"/>
    <sheet name="QC6_1" sheetId="71" r:id="rId71"/>
    <sheet name="QC6_2" sheetId="72" r:id="rId72"/>
    <sheet name="QC6_3" sheetId="73" r:id="rId73"/>
    <sheet name="QC6_4" sheetId="74" r:id="rId74"/>
    <sheet name="QC6_5" sheetId="75" r:id="rId75"/>
    <sheet name="QC6_6" sheetId="76" r:id="rId76"/>
    <sheet name="QC7" sheetId="77" r:id="rId77"/>
    <sheet name="QC8" sheetId="78" r:id="rId78"/>
    <sheet name="QC9_1" sheetId="79" r:id="rId79"/>
    <sheet name="QC9_2" sheetId="80" r:id="rId80"/>
    <sheet name="QC9_3" sheetId="81" r:id="rId81"/>
    <sheet name="QC9_4" sheetId="82" r:id="rId82"/>
    <sheet name="QC9_5" sheetId="83" r:id="rId83"/>
    <sheet name="QC10" sheetId="84" r:id="rId84"/>
    <sheet name="QC10b" sheetId="85" r:id="rId85"/>
    <sheet name="QC11" sheetId="86" r:id="rId86"/>
    <sheet name="QC12" sheetId="87" r:id="rId87"/>
    <sheet name="QC13" sheetId="88" r:id="rId88"/>
    <sheet name="QC14" sheetId="89" r:id="rId89"/>
    <sheet name="QC15" sheetId="90" r:id="rId90"/>
    <sheet name="QC16_1" sheetId="91" r:id="rId91"/>
    <sheet name="QC16_2" sheetId="92" r:id="rId92"/>
    <sheet name="QC16_3" sheetId="93" r:id="rId93"/>
    <sheet name="QC16_4" sheetId="94" r:id="rId94"/>
    <sheet name="QC16_5" sheetId="95" r:id="rId95"/>
    <sheet name="QC17_1" sheetId="96" r:id="rId96"/>
    <sheet name="QC17_2" sheetId="97" r:id="rId97"/>
    <sheet name="QC17_3" sheetId="98" r:id="rId98"/>
    <sheet name="QC17_4" sheetId="99" r:id="rId99"/>
    <sheet name="QC17_5" sheetId="100" r:id="rId100"/>
    <sheet name="D11" sheetId="101" r:id="rId101"/>
    <sheet name="D11R" sheetId="102" r:id="rId102"/>
    <sheet name="D11bis" sheetId="103" r:id="rId103"/>
    <sheet name="D11G" sheetId="104" r:id="rId104"/>
    <sheet name="D8" sheetId="105" r:id="rId105"/>
    <sheet name="D8c" sheetId="106" r:id="rId106"/>
    <sheet name="D10" sheetId="107" r:id="rId107"/>
    <sheet name="D15a" sheetId="108" r:id="rId108"/>
    <sheet name="D15a2" sheetId="109" r:id="rId109"/>
    <sheet name="C14" sheetId="110" r:id="rId110"/>
    <sheet name="D15b" sheetId="111" r:id="rId111"/>
    <sheet name="D15b2" sheetId="112" r:id="rId112"/>
    <sheet name="D40a" sheetId="113" r:id="rId113"/>
    <sheet name="D40b" sheetId="114" r:id="rId114"/>
    <sheet name="D40c" sheetId="115" r:id="rId115"/>
    <sheet name="D25" sheetId="116" r:id="rId116"/>
    <sheet name="D60" sheetId="117" r:id="rId117"/>
    <sheet name="D70" sheetId="118" r:id="rId118"/>
    <sheet name="D70a" sheetId="119" r:id="rId119"/>
    <sheet name="D43a" sheetId="120" r:id="rId120"/>
    <sheet name="D43b" sheetId="121" r:id="rId121"/>
    <sheet name="D43c" sheetId="122" r:id="rId122"/>
    <sheet name="D43T" sheetId="123" r:id="rId123"/>
    <sheet name="D62_1" sheetId="124" r:id="rId124"/>
    <sheet name="D62_2" sheetId="125" r:id="rId125"/>
    <sheet name="D62_3" sheetId="126" r:id="rId126"/>
    <sheet name="D62_4" sheetId="127" r:id="rId127"/>
    <sheet name="D62R" sheetId="128" r:id="rId128"/>
    <sheet name="D63" sheetId="129" r:id="rId129"/>
    <sheet name="D73_1" sheetId="130" r:id="rId130"/>
    <sheet name="D73_2" sheetId="131" r:id="rId131"/>
    <sheet name="D73_3" sheetId="132" r:id="rId132"/>
    <sheet name="D73_4" sheetId="133" r:id="rId133"/>
    <sheet name="D71_1" sheetId="134" r:id="rId134"/>
    <sheet name="D71_2" sheetId="135" r:id="rId135"/>
    <sheet name="D71_3" sheetId="136" r:id="rId136"/>
    <sheet name="C2" sheetId="137" r:id="rId137"/>
    <sheet name="SD18a" sheetId="138" r:id="rId138"/>
    <sheet name="SD18b" sheetId="139" r:id="rId139"/>
    <sheet name="D72_1" sheetId="140" r:id="rId140"/>
    <sheet name="D72_2" sheetId="141" r:id="rId141"/>
    <sheet name="D72_3" sheetId="142" r:id="rId142"/>
    <sheet name="D1" sheetId="143" r:id="rId143"/>
    <sheet name="D1R1" sheetId="144" r:id="rId144"/>
    <sheet name="D1R2" sheetId="145" r:id="rId14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45" l="1"/>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<sst xmlns="http://schemas.openxmlformats.org/spreadsheetml/2006/main" count="11979" uniqueCount="1341">
  <si>
    <t>Project:</t>
  </si>
  <si>
    <t>Eurobarometer</t>
  </si>
  <si>
    <t>Wave:</t>
  </si>
  <si>
    <t>103.4</t>
  </si>
  <si>
    <t>Fieldwork:</t>
  </si>
  <si>
    <t>05/05 - 29/05/2025</t>
  </si>
  <si>
    <t>Sheet</t>
  </si>
  <si>
    <t>Question French</t>
  </si>
  <si>
    <t>Question English</t>
  </si>
  <si>
    <t>B. Pays de terrain</t>
  </si>
  <si>
    <t>B. Fieldwork country</t>
  </si>
  <si>
    <t>QA1. En général, diriez-vous que vous avez une image très positive, plutôt positive, neutre, plutôt négative ou très négative du Parlement européen ?</t>
  </si>
  <si>
    <t>QA1. In general, do you have a very positive, fairly positive, neutral, fairly negative or very negative image of the European Parliament?</t>
  </si>
  <si>
    <t>QA2. Vous-même, souhaiteriez-vous voir le Parlement européen jouer un rôle plus important ou moins important ?</t>
  </si>
  <si>
    <t>QA2. Would you personally like to see the European Parliament play a more important or less important role?</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</si>
  <si>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</si>
  <si>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</si>
  <si>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QA3. Diriez-vous que les actions de l'UE ont un impact sur votre vie quotidienne ?</t>
  </si>
  <si>
    <t>QA3. Would you say the actions of the EU have an impact on your daily life?</t>
  </si>
  <si>
    <t>QA3bis. Et diriez-vous que ces actions ont un impact positif ou négatif sur votre vie quotidienne ?</t>
  </si>
  <si>
    <t>QA3bis. And would you say that these actions have a positive or negative impact on your daily life?</t>
  </si>
  <si>
    <t>QA4. Tout bien considéré, estimez-vous que (NOTRE PAYS) a bénéficié ou non de son appartenance à l'Union européenne ?</t>
  </si>
  <si>
    <t>QA4. Taking everything into account, would you say that (OUR COUNTRY) has on balance benefited or not from being a member of the EU? </t>
  </si>
  <si>
    <t>QA5a. Que (NOTRE PAYS) ait bénéficié ou non selon vous de son appartenance à l'UE, parmi les raisons suivantes, quelles sont les principales raisons pour lesquelles les gens pensent que (NOTRE PAYS) a bénéficié de son appartenance à l'UE ? En premier ?</t>
  </si>
  <si>
    <t>QA5a. Regardless of whether you think (OUR COUNTRY) has benefited or not from being a member of the EU, which of the following are the main reasons why people think (OUR COUNTRY) has benefited from being a member of the EU? Firstly?</t>
  </si>
  <si>
    <t>QA5b. Et ensuite ? (2 RÉPONSES MAXIMUM)</t>
  </si>
  <si>
    <t>QA5b. And then? (MAX. 2 ANSWERS)</t>
  </si>
  <si>
    <t>QA5ab. Que (NOTRE PAYS) ait bénéficié ou non selon vous de son appartenance à l'UE, parmi les raisons suivantes, quelles sont les principales raisons pour lesquelles les gens pensent que (NOTRE PAYS) a bénéficié de son appartenance à l'UE ? En premier ? Et ensuite ? (3 RÉPONSES MAXIMUM)</t>
  </si>
  <si>
    <t>QA5ab. Regardless of whether you think (OUR COUNTRY) has benefited or not from being a member of the EU, which of the following are the main reasons why people think (OUR COUNTRY) has benefited from being a member of the EU? Firstly? And then? (MAX. 3 ANSWERS)</t>
  </si>
  <si>
    <t>SD22a. Diriez-vous que vous êtes très optimiste, plutôt optimiste, plutôt pessimiste ou très pessimiste concernant le futur de l'Union européenne ?</t>
  </si>
  <si>
    <t>SD22a. Would you say that you are very optimistic, fairly optimistic, fairly pessimistic or very pessimistic about the future of the EU?</t>
  </si>
  <si>
    <t xml:space="preserve">QA6a. Parmi les sujets suivants, lesquels souhaiteriez-vous que le Parlement européen traite en priorité ? En premier ? </t>
  </si>
  <si>
    <t>QA6a. Which of the following topics would you like to see addressed in priority by the European Parliament? Firstly?</t>
  </si>
  <si>
    <t>QA6b. Et ensuite ? (3 RÉPONSES MAXIMUM)</t>
  </si>
  <si>
    <t>QA6b. And then? (MAX. 3 ANSWERS)</t>
  </si>
  <si>
    <t>QA6ab. Parmi les sujets suivants, lesquels souhaiteriez-vous que le Parlement européen traite en priorité ? En premier ? Et ensuite ? (4 RÉPONSES MAXIMUM)</t>
  </si>
  <si>
    <t>QA6ab. Which of the following topics would you like to see addressed in priority by the European Parliament? Firstly? And then? (MAX. 4 ANSWERS)</t>
  </si>
  <si>
    <t xml:space="preserve">QA7a. Parmi les propositions suivantes, quelles sont selon vous les valeurs que le Parlement européen devrait défendre en priorité ? En premier ? </t>
  </si>
  <si>
    <t>QA7a. In your opinion, which of the following values should the European Parliament defend as a matter of priority? Firstly?</t>
  </si>
  <si>
    <t>QA7b. Et ensuite ? (2 RÉPONSES MAXIMUM)</t>
  </si>
  <si>
    <t>QA7b. And then? (MAX. 2 ANSWERS)</t>
  </si>
  <si>
    <t>QA7ab. Parmi les propositions suivantes, quelles sont selon vous les valeurs que le Parlement européen devrait défendre en priorité ? En premier ? Et ensuite ? (3 RÉPONSES MAXIMUM)</t>
  </si>
  <si>
    <t>QA7ab. In your opinion, which of the following values should the European Parliament defend as a matter of priority? Firstly? And then? (MAX. 3 ANSWERS)</t>
  </si>
  <si>
    <t xml:space="preserve">QA8. Diriez-vous que : À l’avenir, le rôle de l’Union européenne en matière de protection des citoyens européens contre les crises mondiales et les risques de sécurité devrait…:- </t>
  </si>
  <si>
    <t xml:space="preserve">QA8. Would you say that: In the future, the role of the European Union to protect European citizens against global crises and security risks should become…:- </t>
  </si>
  <si>
    <t>QA9.1. Dans quelle mesure êtes-vous d’accord ou pas d’accord avec chacune des affirmations suivantes ? :-Les États membres de l’UE devraient être plus unis pour faire face aux défis mondiaux actuels</t>
  </si>
  <si>
    <t>QA9.1. To what extent do you agree or disagree with each of the following statements?:-EU Member States should be more united to face current global challenges</t>
  </si>
  <si>
    <t>QA9.2. Dans quelle mesure êtes-vous d’accord ou pas d’accord avec chacune des affirmations suivantes ? :-L’Union européenne a besoin de plus de moyens pour faire face aux défis mondiaux actuels</t>
  </si>
  <si>
    <t>QA9.2. To what extent do you agree or disagree with each of the following statements?:-The European Union needs more means to face current global challenges</t>
  </si>
  <si>
    <t>QA10a. En pensant à l'avenir, à quel aspect parmi les suivants l'UE devrait-elle accorder la priorité pour consolider sa position dans le monde ? En premier ?</t>
  </si>
  <si>
    <t xml:space="preserve">QA10a. Thinking about the future, which of the following aspects should the EU focus on in order to reinforce its position in the world? Firstly? </t>
  </si>
  <si>
    <t>QA10b. Et ensuite ? (2 RÉPONSES MAXIMUM)</t>
  </si>
  <si>
    <t>QA10b. And then? (MAX. 2 ANSWERS)</t>
  </si>
  <si>
    <t>QA10ab. En pensant à l'avenir, à quel aspect parmi les suivants l'UE devrait-elle accorder la priorité pour consolider sa position dans le monde ? En premier ? Et ensuite ? (3 RÉPONSES MAXIMUM)</t>
  </si>
  <si>
    <t>QA10ab. Thinking about the future, which of the following aspects should the EU focus on in order to reinforce its position in the world? Firstly? And then? (MAX. 3 ANSWERS)</t>
  </si>
  <si>
    <t>QA11. Concernant à nouveau l'avenir, pensez-vous qu'un nombre croissant de projets devront être financés collectivement, par l'UE dans son ensemble, plutôt que par les États membres seuls ?</t>
  </si>
  <si>
    <t>QA11. Thinking again about the future, do you think that an increasing number of projects will need to be funded together, by the EU as a whole, rather than by Member States alone?</t>
  </si>
  <si>
    <t>QA12. Avez-vous récemment lu dans la presse, vu sur Internet, sur les réseaux sociaux ou à la télévision, ou entendu à la radio quelque chose sur le budget à long terme de l'Union européenne, également appelé Cadre Financier Pluriannuel ?</t>
  </si>
  <si>
    <t>QA12. Have you recently read in the press, seen on the Internet, social media or television or heard on the radio something about the long-term budget of the European Union, also called the Multiannual Financial Framework?</t>
  </si>
  <si>
    <t>QA13. Sur lesquels des sujets suivants, s'il y en a, souhaiteriez-vous recevoir davantage d'informations concernant le budget à long terme de l’Union européenne ? (PLUSIEURS RÉPONSES POSSIBLES)</t>
  </si>
  <si>
    <t>QA13. On which of the following topics, if any, would you be interested in receiving more information about the EU’s long-term budget? (MULTIPLE ANSWERS POSSIBLE)</t>
  </si>
  <si>
    <t>QA14.1. Selon vous, dans quelle mesure chacun des aspects suivants du budget à long terme de l'UE est-il important ou non ?:-La flexibilité, pour permettre au budget de l'UE de s'adapter aux événements imprévus (comme les catastrophes naturelles, les flambées des prix, les conflits armés, les pandémies, etc.)</t>
  </si>
  <si>
    <t>QA14.1. In your opinion, how important or not is each of the following aspects of the EU’s long-term budget?:-Flexibility, to allow the EU budget to adapt to unforeseen events (such as natural disasters, price shocks, armed conflicts, pandemics, etc.)</t>
  </si>
  <si>
    <t>QA14.2. Selon vous, dans quelle mesure chacun des aspects suivants du budget à long terme de l'UE est-il important ou non ?:-La traçabilité, pour savoir exactement comment le budget de l'UE est dépensé</t>
  </si>
  <si>
    <t>QA14.2. In your opinion, how important or not is each of the following aspects of the EU’s long-term budget?:-Traceability, to know exactly how the EU budget is spent</t>
  </si>
  <si>
    <t>QA14.3. Selon vous, dans quelle mesure chacun des aspects suivants du budget à long terme de l'UE est-il important ou non ?:-La transparence, pour veiller à ce que les informations sur le budget de l'UE soient accessibles à tous les citoyens de l'UE</t>
  </si>
  <si>
    <t>QA14.3. In your opinion, how important or not is each of the following aspects of the EU’s long-term budget?:-Transparency, to ensure that information on the EU budget is accessible to all EU citizens</t>
  </si>
  <si>
    <t>QA14.4. Selon vous, dans quelle mesure chacun des aspects suivants du budget à long terme de l'UE est-il important ou non ?:-L'efficacité, pour veiller à ce que les projets financés par le budget de l'UE bénéficient aux citoyens de l'UE</t>
  </si>
  <si>
    <t>QA14.4. In your opinion, how important or not is each of the following aspects of the EU’s long-term budget?:-Efficiency, to ensure that the projects funded by the EU budget have a benefit for EU citizens</t>
  </si>
  <si>
    <t>QA14.5. Selon vous, dans quelle mesure chacun des aspects suivants du budget à long terme de l'UE est-il important ou non ?:-La simplicité, pour veiller à ce que les bénéficiaires (comme les agriculteurs, les chercheurs, etc.) puissent accéder aux fonds et programmes de l'UE avec des formalités administratives aussi réduites que possible</t>
  </si>
  <si>
    <t>QA14.5. In your opinion, how important or not is each of the following aspects of the EU’s long-term budget?:-Simplicity, to ensure that beneficiaries (such as farmers, researchers, etc.) can access EU funds and programmes with as little administrative burden as possible</t>
  </si>
  <si>
    <t>QA15. Dans quelle mesure est-il important ou pas que le Parlement européen dispose de toutes les informations et de tous les moyens nécessaires pour contrôler correctement les dépenses de l'UE ?</t>
  </si>
  <si>
    <t>QA15. How important or not is it that the European Parliament has all the necessary information and means to properly control EU spending?</t>
  </si>
  <si>
    <t>QA16. Actuellement, le budget à long terme de l'UE repose principalement sur les contributions financières de l'ensemble des États membres de l'UE. Seriez-vous favorable ou opposé(e) à ce que l'Union européenne ait de nouveaux types de sources de revenus (p. ex. fondés sur les émissions de gaz à effet de serre ou les bénéfices des entreprises), afin que le budget de l'UE devienne moins dépendant des contributions des États membres et puisse ainsi réduire ces contributions ?</t>
  </si>
  <si>
    <t>QA16. At the moment, the EU's long-term budget mainly relies on the financial contributions of all EU Member States. Would you be in favour or opposed to the European Union having new types of revenue sources (e.g. based on greenhouse gas emissions, or company profits), so that the EU budget becomes less dependent on Member States’ contributions, and thereby could reduce these contributions?</t>
  </si>
  <si>
    <t>QA17. Dans quelle mesure êtes-vous d'accord ou pas d'accord avec cette affirmation : L’Union européenne devrait conditionner l’octroi de fonds aux États membres au respect, par leur gouvernement, de l’état de droit et des principes démocratiques.</t>
  </si>
  <si>
    <t>QA17. To what extent do you agree or disagree with this statement: the EU should make the provision of funds to Member States conditional upon their government’s respect of the rule of law and of democratic principles?</t>
  </si>
  <si>
    <t>SD27. En pensant à l'évolution de votre niveau de vie personnel ces cinq prochaines années, laquelle des affirmations suivantes décrit le mieux vos prévisions ?</t>
  </si>
  <si>
    <t>SD27. When you think about the way your personal standard of living will evolve over the next five years, which of the following statements best describes your expectations?</t>
  </si>
  <si>
    <t>QB1. Avez-vous déjà entendu parler de « l’économie sociale », également appelée « économie sociale et solidaire » ?</t>
  </si>
  <si>
    <t>QB1. Have you ever heard of the "social economy"?</t>
  </si>
  <si>
    <t>QB2. Connaissiez-vous ce concept avant cet entretien ?</t>
  </si>
  <si>
    <t>QB2. Were you familiar with this concept before the interview?</t>
  </si>
  <si>
    <t>QB3. Parmi les types d’organisations suivants, lesquels connaissez-vous ? Veuillez sélectionner toutes les réponses qui s’appliquent. (PLUSIEURS RÉPONSES POSSIBLES)</t>
  </si>
  <si>
    <t>QB3. Among the following types of organisations, which ones do you know? Please select all that apply. (MULTIPLE ANSWERS POSSIBLE)</t>
  </si>
  <si>
    <t>QB4. Le cas échéant, à quel titre avez-vous été personnellement impliqué(e) dans une ou plusieurs organisations de l’économie sociale, également appelée économie sociale et solidaire, au cours des cinq dernières années ? Vous avez été impliqué(e) en tant... Veuillez sélectionner toutes les réponses qui s’appliquent. (PLUSIEURS RÉPONSES POSSIBLES)</t>
  </si>
  <si>
    <t>QB4. In what roles, if any, have you been personally involved with any social economy organisations over the past five years? You have been involved as a… Please select all that apply. (MULTIPLE ANSWERS POSSIBLE)</t>
  </si>
  <si>
    <t>QB5. À quelle fréquence êtes-vous actuellement impliqué(e) dans des organisations de l’économie sociale, également appelée économie sociale et solidaire ?</t>
  </si>
  <si>
    <t>QB5. How frequently are you personally currently involved with social economy organisations?</t>
  </si>
  <si>
    <t>QB6. Avez-vous déjà reçu un quelconque soutien de la part d’organisations de l’économie sociale, également appelée économie sociale et solidaire ? (PLUSIEURS RÉPONSES POSSIBLES)</t>
  </si>
  <si>
    <t>QB6. Have you ever received any kind of support from social economy organisations? (MULTIPLE ANSWERS POSSIBLE)</t>
  </si>
  <si>
    <t>QB7.1.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::-Votre bien-être</t>
  </si>
  <si>
    <t>QB7.1. In your opinion, how important is the social economy for each of the following? Please use a 1 to 10 scale, where 1 means not at all important and 10 means extremely important::-Your well-being</t>
  </si>
  <si>
    <t>QB7.2.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::-Le bien-être de votre communauté locale</t>
  </si>
  <si>
    <t>QB7.2. In your opinion, how important is the social economy for each of the following? Please use a 1 to 10 scale, where 1 means not at all important and 10 means extremely important::-The well-being of your local community</t>
  </si>
  <si>
    <t>QB7.3.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::-Le bien-être de la société de votre pays</t>
  </si>
  <si>
    <t>QB7.3. In your opinion, how important is the social economy for each of the following? Please use a 1 to 10 scale, where 1 means not at all important and 10 means extremely important::-The well-being of society in your country</t>
  </si>
  <si>
    <t>QB7.4.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::-La préservation de la planète</t>
  </si>
  <si>
    <t>QB7.4. In your opinion, how important is the social economy for each of the following? Please use a 1 to 10 scale, where 1 means not at all important and 10 means extremely important::-The preservation of the planet</t>
  </si>
  <si>
    <t>QB8a. Parmi les secteurs suivants, dans lesquels pensez-vous que les organisations de l’économie sociale, également appelée économie sociale et solidaire, font-elles le plus bouger les choses ? En premier ?</t>
  </si>
  <si>
    <t>QB8a. In which of the following sectors do you think social economy organisations make the biggest difference? Firstly?</t>
  </si>
  <si>
    <t>QB8b. Et ensuite ? (PLUSIEURS RÉPONSES POSSIBLES)</t>
  </si>
  <si>
    <t>QB8b. And then? (MULTIPLE ANSWERS POSSIBLE)</t>
  </si>
  <si>
    <t>QB8ab. Parmi les secteurs suivants, dans lesquels pensez-vous que les organisations de l’économie sociale, également appelée économie sociale et solidaire, font-elles le plus bouger les choses ? En premier ? Et ensuite ? (PLUSIEURS RÉPONSES POSSIBLES)</t>
  </si>
  <si>
    <t>QB8ab. In which of the following sectors do you think social economy organisations make the biggest difference? Firstly? And then? (MULTIPLE ANSWERS POSSIBLE)</t>
  </si>
  <si>
    <t>QB9a. Si vous réfléchissez davantage à l’impact social et communautaire de l’économie sociale, également appelée économie sociale et solidaire, dans lesquels des domaines suivants l’économie sociale apporte-t-elle la contribution la plus importante en (NOTRE PAYS) ? En premier ?</t>
  </si>
  <si>
    <t>QB9a. Thinking more about the social or community impact of the social economy, in which of the following areas does the social economy make the most important contribution in (OUR COUNTRY)? Firstly?</t>
  </si>
  <si>
    <t>QB9b. Et ensuite ? (PLUSIEURS RÉPONSES POSSIBLES)</t>
  </si>
  <si>
    <t>QB9b. And then? (MULTIPLE ANSWERS POSSIBLE)</t>
  </si>
  <si>
    <t>QB9ab. Si vous réfléchissez davantage à l’impact social et communautaire de l’économie sociale, également appelée économie sociale et solidaire, dans lesquels des domaines suivants l’économie sociale apporte-t-elle la contribution la plus importante en (NOTRE PAYS) ? En premier ? Et ensuite ? (PLUSIEURS RÉPONSES POSSIBLES)</t>
  </si>
  <si>
    <t>QB9ab. Thinking more about the social or community impact of the social economy, in which of the following areas does the social economy make the most important contribution in (OUR COUNTRY)? Firstly? And then? (MULTIPLE ANSWERS POSSIBLE)</t>
  </si>
  <si>
    <t>QB10. À votre avis, quel est le niveau de développement de l’économie sociale, également appelée économie sociale et solidaire, en (NOTRE PAYS) ?</t>
  </si>
  <si>
    <t>QB10. In your view, what is the level of development of the social economy in (OUR COUNTRY)?</t>
  </si>
  <si>
    <t>QB11.1.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?:-Les pouvoirs publics en (NOTRE PAYS) devraient élaborer des stratégies et une législation visant à soutenir les organisations de l’économie sociale, également appelée économie sociale et solidaire</t>
  </si>
  <si>
    <t>QB11.1. To what extent do you agree or disagree with the following statements about the support social economy organisations should receive from local, regional and (NATIONALITY) public authorities?:-Public authorities in (OUR COUNTRY) should develop strategies and legislation to support social economy organisations</t>
  </si>
  <si>
    <t>QB11.2.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?:-Le modèle de l’économie sociale, également appelée économie sociale et solidaire, devrait être promu par le biais de l’enseignement dans les établissements scolaires et d’actions de sensibilisation</t>
  </si>
  <si>
    <t>QB11.2. To what extent do you agree or disagree with the following statements about the support social economy organisations should receive from local, regional and (NATIONALITY) public authorities?:-The social economy model should be promoted through education in schools and awareness initiatives</t>
  </si>
  <si>
    <t>QB11.3.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?:-Les organisations de l’économie sociale, également appelée économie sociale et solidaire, devraient recevoir un financement public direct</t>
  </si>
  <si>
    <t>QB11.3. To what extent do you agree or disagree with the following statements about the support social economy organisations should receive from local, regional and (NATIONALITY) public authorities?:-Social economy organisations should receive direct public funding</t>
  </si>
  <si>
    <t>QB11.4.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?:-Les pouvoirs publics en (NOTRE PAYS) devraient fournir des ressources et des conseils pour aider les gens à créer des organisations de l’économie sociale, également appelée économie sociale et solidaire</t>
  </si>
  <si>
    <t>QB11.4. To what extent do you agree or disagree with the following statements about the support social economy organisations should receive from local, regional and (NATIONALITY) public authorities?:-Public authorities in (OUR COUNTRY) should provide resources and guidance to help people set up social economy organisations</t>
  </si>
  <si>
    <t>QB12. Parmi les principes suivants, lesquels pensez-vous que les employeurs devraient appliquer ? Veuillez sélectionner toutes les réponses qui s’appliquent. (PLUSIEURS RÉPONSES POSSIBLES)</t>
  </si>
  <si>
    <t>QB12. Which of the following principles do you think employers should apply? Select all that apply. (MULTIPLE ANSWERS POSSIBLE)</t>
  </si>
  <si>
    <t>QB13.1. Quand vous achetez des produits et des services, dans quelle mesure les aspects suivants sont-ils importants pour vous ?:-Prix</t>
  </si>
  <si>
    <t>QB13.1. When you buy goods and services, how important are the following aspects to you?:-Price</t>
  </si>
  <si>
    <t>QB13.2. Quand vous achetez des produits et des services, dans quelle mesure les aspects suivants sont-ils importants pour vous ?:-Qualité</t>
  </si>
  <si>
    <t>QB13.2. When you buy goods and services, how important are the following aspects to you?:-Quality</t>
  </si>
  <si>
    <t>QB13.3. Quand vous achetez des produits et des services, dans quelle mesure les aspects suivants sont-ils importants pour vous ?:-Marque</t>
  </si>
  <si>
    <t>QB13.3. When you buy goods and services, how important are the following aspects to you?:-Brand</t>
  </si>
  <si>
    <t>QB13.4. Quand vous achetez des produits et des services, dans quelle mesure les aspects suivants sont-ils importants pour vous ?:-Production locale, le fait que les produits et les services soient fabriqués ou fournis dans votre région, en (NOTRE PAYS)</t>
  </si>
  <si>
    <t>QB13.4. When you buy goods and services, how important are the following aspects to you?:-Local production, the fact that the goods and services are produced in your area, in (OUR COUNTRY)</t>
  </si>
  <si>
    <t>QB13.5. Quand vous achetez des produits et des services, dans quelle mesure les aspects suivants sont-ils importants pour vous ?:-Normes environnementales, p. ex. consommation énergétique, empreinte carbone et matières</t>
  </si>
  <si>
    <t>QB13.5. When you buy goods and services, how important are the following aspects to you?:-Environmental standards, e.g. energy consumption, carbon and material footprint</t>
  </si>
  <si>
    <t>QB13.6. Quand vous achetez des produits et des services, dans quelle mesure les aspects suivants sont-ils importants pour vous ?:-Normes sociales, p. ex. qualité de l’emploi et sécurité des employés</t>
  </si>
  <si>
    <t>QB13.6. When you buy goods and services, how important are the following aspects to you?:-Social standards, e.g. job quality and employee safety</t>
  </si>
  <si>
    <t>QCSD. Au cours des cinq dernières années, avez-vous été directement impliqué(e) dans les processus de décision de l’Union européenne, p. ex. dans des assemblées des citoyens, panels de citoyens, dialogues en faveur de la jeunesse, jurys citoyens ou d’autres événements liés aux prises de décision dans l’UE ?</t>
  </si>
  <si>
    <t>QCSD. In the last five years, have you been directly involved in decision-making processes in the European Union, e.g., in citizens’ assemblies, citizens’ panels, youth dialogues, citizens’ juries, or other events related to the decision-making in the EU?</t>
  </si>
  <si>
    <t>QC1. Parmi les affirmations suivantes, laquelle décrit le mieux la fréquence à laquelle vous vérifiez personnellement les informations lorsque vous utilisez des plateformes en ligne ?</t>
  </si>
  <si>
    <t>QC1. Which of the following statements most accurately describes how often you personally verify information when using online platforms?</t>
  </si>
  <si>
    <t>QC2. À quelle fréquence partagez-vous des informations en ligne lorsque vous n’êtes pas sûr(e) de leur source ou de leur fiabilité ?</t>
  </si>
  <si>
    <t>QC2. How often do you share information online when you are unsure about the source or its trustworthiness?</t>
  </si>
  <si>
    <t>QC3. Selon vous, quelles actions ou ressources renforceraient le plus les facultés des citoyens à lutter efficacement contre la désinformation et la manipulation des informations ? (SI NÉCESSAIRE : la désinformation fait référence à de fausses informations diffusées délibérément dans le but d’influencer l’opinion publique.) (3 RÉPONSES MAXIMUM)</t>
  </si>
  <si>
    <t>QC3. What actions or resources do you believe would best enhance citizens' skills to effectively tackle disinformation and information manipulation? (IF NECESSARY: Disinformation is false information deliberately spread with the intention of influencing public opinion.) (MAX. 3 ANSWERS)</t>
  </si>
  <si>
    <t>QC4. Quel est votre niveau de connaissance des activités qui permettent aux citoyens de participer directement aux processus décisionnels de l’Union européenne ? (p. ex. assemblées citoyennes, panels de citoyens, jurys citoyens, planification participative, budgétisation participative, ateliers de scénarios)</t>
  </si>
  <si>
    <t>QC4. How familiar are you with activities that involve people directly in decision-making processes in the European Union? (e.g. citizens’ assemblies, citizens’ panels, citizens’ juries, participatory planning, participatory budgeting, scenario workshops)</t>
  </si>
  <si>
    <t>QC5. Parmi les mesures suivantes, lesquelles vous inciteraient le plus à vous impliquer directement dans les processus de décision de l’Union européenne? (p. ex. assemblées des citoyens, panels de citoyens, jurys citoyens, planification participative, budgétisation participative, ateliers de scénarios, etc.) (2 RÉPONSES MAXIMUM)</t>
  </si>
  <si>
    <t>QC5. Which of the following measures would encourage you the most to get directly involved in decision-making processes in the European Union? (e.g. in citizens’ assemblies, citizens’ panels, citizens’ juries, participatory planning, participatory budgeting, scenario workshops, etc.) (MAX. 2 ANSWERS)</t>
  </si>
  <si>
    <t>QC6.1. Dans quelle mesure êtes-vous d'accord ou pas d'accord avec chacune des affirmations suivantes concernant (NOTRE PAYS) ?:-Les élections ne font pas l'objet d'ingérences</t>
  </si>
  <si>
    <t>QC6.1. To what extent do you agree or disagree with each of the following statements about (OUR COUNTRY)?:-Elections are free from any interference</t>
  </si>
  <si>
    <t>QC6.2. Dans quelle mesure êtes-vous d'accord ou pas d'accord avec chacune des affirmations suivantes concernant (NOTRE PAYS) ?:-Tous les partis et candidats politiques peuvent faire campagne sur un pied d'égalité</t>
  </si>
  <si>
    <t>QC6.2. To what extent do you agree or disagree with each of the following statements about (OUR COUNTRY)?:-All parties and political candidates can campaign on equal footing</t>
  </si>
  <si>
    <t>QC6.3. Dans quelle mesure êtes-vous d'accord ou pas d'accord avec chacune des affirmations suivantes concernant (NOTRE PAYS) ?:-Il existe une transparence et une obligation de rendre des comptes en matière de financement en politique (partis, campagnes, diffusion de messages politiques...)</t>
  </si>
  <si>
    <t>QC6.3. To what extent do you agree or disagree with each of the following statements about (OUR COUNTRY)?:-There is transparency and accountability as regards funding in politics (parties, campaigns, the spread of political messages...)</t>
  </si>
  <si>
    <t>QC6.4. Dans quelle mesure êtes-vous d'accord ou pas d'accord avec chacune des affirmations suivantes concernant (NOTRE PAYS) ?:-Les citoyens ont accès à des informations diffusées par des médias indépendants et pluralistes</t>
  </si>
  <si>
    <t>QC6.4. To what extent do you agree or disagree with each of the following statements about (OUR COUNTRY)?:-Citizens have access to information and news provided by independent and pluralistic media</t>
  </si>
  <si>
    <t>QC6.5. Dans quelle mesure êtes-vous d'accord ou pas d'accord avec chacune des affirmations suivantes concernant (NOTRE PAYS) ?:-Les citoyens ont la possibilité de participer aux processus démocratiques, aux débats et à l’élaboration des politiques</t>
  </si>
  <si>
    <t>QC6.5. To what extent do you agree or disagree with each of the following statements about (OUR COUNTRY)?:-Citizens have the possibility to take part in democratic processes, debates and policy making</t>
  </si>
  <si>
    <t>QC6.6. Dans quelle mesure êtes-vous d'accord ou pas d'accord avec chacune des affirmations suivantes concernant (NOTRE PAYS) ?:-Le financement étranger caché des acteurs, campagnes ou messages politiques constitue un défi majeur en (NOTRE PAYS)</t>
  </si>
  <si>
    <t>QC6.6. To what extent do you agree or disagree with each of the following statements about (OUR COUNTRY)?:-Covert foreign financing of political actors, campaigns or messages is a serious challenge in (OUR COUNTRY)</t>
  </si>
  <si>
    <t>QC7. Parmi les défis suivants, quels sont ceux qui sont les plus sérieux pour la démocratie dans l’Union européenne ? (3 RÉPONSES MAXIMUM)</t>
  </si>
  <si>
    <t>QC7. Which of the following are the most serious challenges to democracy in the European Union? (MAX. 3 ANSWERS)</t>
  </si>
  <si>
    <t>QC8. Selon vous, quels sont les éléments les plus importants pour des élections libres et équitables ? (3 RÉPONSES MAXIMUM)</t>
  </si>
  <si>
    <t>QC8. In your view, what are the most important elements of free and fair elections? (MAX. 3 ANSWERS)</t>
  </si>
  <si>
    <t>QC9.1. Selon vous, à quel point les mesures suivantes sont-elles importantes pour garantir l’équité des campagnes électorales menées en ligne ?:-L'origine et la source des messages politiques sont transparentes (p. ex. publicité politique payée, participation d'influenceurs dans les campagnes politiques)</t>
  </si>
  <si>
    <t>QC9.1. How important or not do you think the following measures are to ensure the fairness of electoral campaigns carried out online?:-The origin and source of political messages is transparent (e.g. paid political advertising, involvement of influencers in political campaigns)</t>
  </si>
  <si>
    <t>QC9.2. Selon vous, à quel point les mesures suivantes sont-elles importantes pour garantir l’équité des campagnes électorales menées en ligne ?:-Les plateformes en ligne sont transparentes concernant la manière dont leurs services pourraient être utilisés pour soutenir des partis politiques, des candidats et des organisations de campagnes</t>
  </si>
  <si>
    <t>QC9.2. How important or not do you think the following measures are to ensure the fairness of electoral campaigns carried out online?:-Online platforms are transparent about how their services could be used to support political parties, candidates and campaign organisations</t>
  </si>
  <si>
    <t>QC9.3. Selon vous, à quel point les mesures suivantes sont-elles importantes pour garantir l’équité des campagnes électorales menées en ligne ?:-Les plateformes en ligne s’efforcent de prévenir les risques potentiels de manipulation de leurs services, par exemple par le biais de faux comptes ou de robots générés par l’intelligence artificielle (IA) visant à perturber la démocratie.</t>
  </si>
  <si>
    <t>QC9.3. How important or not do you think the following measures are to ensure the fairness of electoral campaigns carried out online?:-Online platforms work to avoid the possible risks of manipulation of their services, for example via fake accounts or bots generated by artificial intelligence (AI) aiming to disturb democracy</t>
  </si>
  <si>
    <t>QC9.4. Selon vous, à quel point les mesures suivantes sont-elles importantes pour garantir l’équité des campagnes électorales menées en ligne ?:-L'égalité des chances est assurée aux partis et candidats politiques pour qu'ils accèdent à des services en ligne pour se disputer l'attention des électeurs</t>
  </si>
  <si>
    <t>QC9.4. How important or not do you think the following measures are to ensure the fairness of electoral campaigns carried out online?:-Equal opportunities are provided to political parties and candidates to access online services to compete for voters’ attention</t>
  </si>
  <si>
    <t>QC9.5. Selon vous, à quel point les mesures suivantes sont-elles importantes pour garantir l’équité des campagnes électorales menées en ligne ?:-Les sondages d’opinions politiques sont transparents, en particulier concernant les méthodes utilisées pour leur réalisation et la personne ou l’entité qui a commandé le sondage</t>
  </si>
  <si>
    <t>QC9.5. How important or not do you think the following measures are to ensure the fairness of electoral campaigns carried out online?:-Political opinion polls are transparent, notably about the methods used to conduct them and the person or entity requesting the poll</t>
  </si>
  <si>
    <t>QC10. Dans quelle mesure connaissez-vous les différents rôles et activités des organisations de la société civile en (NOTRE PAYS) (p. ex. plaidoyer, surveillance des actions gouvernementales, dénonciation de la corruption, représentation de différents groupes, défense des droits des personnes, fourniture de services comme l'éducation ou la santé, information des citoyens) ?</t>
  </si>
  <si>
    <t>QC10. How familiar are you with the different roles and activities of civil society organisations in (OUR COUNTRY) (e.g. advocacy, monitoring government actions, exposing corruption, representation of different groups, defending rights of individuals, delivering services such as education or healthcare, informing citizens)?</t>
  </si>
  <si>
    <t>QC10b. Avez-vous été directement impliqué(e) dans le travail d'une organisation de la société civile ? Si oui, à quel titre ? (PLUSIEURS RÉPONSES POSSIBLES)</t>
  </si>
  <si>
    <t>QC10b. Have you been directly involved in the work of a civil society organisation, if so, in what capacity? (MULTIPLE ANSWERS POSSIBLE)</t>
  </si>
  <si>
    <t>QC11. Parmi les domaines de travail suivants des organisations de la société civile, lequel est le plus important pour vous ? (3 RÉPONSES MAXIMUM)</t>
  </si>
  <si>
    <t>QC11. Which of the following areas of work of civil society organisations is the most significant for you? (MAX. 3 ANSWERS)</t>
  </si>
  <si>
    <t>QC12. À votre avis, quelles sont les difficultés les plus importantes auxquelles les organisations de la société civile en (NOTRE PAYS) sont confrontées ? (3 RÉPONSES MAXIMUM)</t>
  </si>
  <si>
    <t>QC12. In your view, what are the most significant difficulties faced by civil society organisations in (OUR COUNTRY)? (MAX. 3 ANSWERS)</t>
  </si>
  <si>
    <t>QC13. Parmi les affirmations suivantes, laquelle reflète le mieux votre opinion sur le journalisme et les médias professionnels : Dans l’Union européenne, le journalisme et les contenus d’information professionnels, qui sont les informations générées par des journalistes professionnels...</t>
  </si>
  <si>
    <t>QC13. Which of the following statements best reflects your views on news reporting and professional media: In the European Union, journalism and professional news content, which is news produced by professional journalists…</t>
  </si>
  <si>
    <t>QC14. Dans quelle mesure êtes-vous satisfait(e) de la situation en matière de liberté, d’indépendance et de pluralisme des médias dans l’UE ?</t>
  </si>
  <si>
    <t>QC14. How satisfied are you with the state of media freedom, independence and pluralism in the EU?</t>
  </si>
  <si>
    <t>QC15. Selon vous, à quelle fréquence êtes-vous personnellement exposé(e) à la désinformation ou à d’autres formes de manipulation de l’information ?</t>
  </si>
  <si>
    <t>QC15. How often do you think that you are personally exposed to disinformation or other forms of information manipulation?</t>
  </si>
  <si>
    <t>QC16.1. S'agissant des élections en Europe, dans quelle mesure êtes-vous inquiet(-ète) concernant les éléments suivants ?:-Les résultats des élections qui sont manipulés</t>
  </si>
  <si>
    <t>QC16.1. Regarding elections in Europe, how concerned are you about the following?:-Election results being manipulated</t>
  </si>
  <si>
    <t>QC16.2. S'agissant des élections en Europe, dans quelle mesure êtes-vous inquiet(-ète) concernant les éléments suivants ?:-Les cyberattaques qui influencent les élections</t>
  </si>
  <si>
    <t>QC16.2. Regarding elections in Europe, how concerned are you about the following?:-Cyberattacks influencing elections</t>
  </si>
  <si>
    <t>QC16.3. S'agissant des élections en Europe, dans quelle mesure êtes-vous inquiet(-ète) concernant les éléments suivants ?:-Les électeurs qui subissent des pressions dans leurs décisions</t>
  </si>
  <si>
    <t>QC16.3. Regarding elections in Europe, how concerned are you about the following?:-Voters being pressured in their decisions</t>
  </si>
  <si>
    <t>QC16.4. S'agissant des élections en Europe, dans quelle mesure êtes-vous inquiet(-ète) concernant les éléments suivants ?:-Les électeurs qui fondent leurs décisions sur la désinformation</t>
  </si>
  <si>
    <t>QC16.4. Regarding elections in Europe, how concerned are you about the following?:-Voters basing decisions on disinformation</t>
  </si>
  <si>
    <t>QC16.5. S'agissant des élections en Europe, dans quelle mesure êtes-vous inquiet(-ète) concernant les éléments suivants ?:-Les pays étrangers qui influencent les élections</t>
  </si>
  <si>
    <t>QC16.5. Regarding elections in Europe, how concerned are you about the following?:-Foreign countries influencing elections</t>
  </si>
  <si>
    <t>QC17.1. Dans quelle mesure êtes-vous d'accord ou pas d'accord avec les affirmations suivantes sur les ingérences étrangères et la désinformation dans la politique de l’UE ?:-Les autorités (NATIONALITÉ) peuvent gérer efficacement les ingérences étrangères</t>
  </si>
  <si>
    <t>QC17.1. To what extent do you agree or disagree with the following statements about foreign interference and disinformation in EU politics?:-(NATIONALITY) authorities can handle foreign interference effectively</t>
  </si>
  <si>
    <t>QC17.2. Dans quelle mesure êtes-vous d'accord ou pas d'accord avec les affirmations suivantes sur les ingérences étrangères et la désinformation dans la politique de l’UE ?:-Les autorités (NATIONALITÉ) peuvent gérer efficacement la désinformation</t>
  </si>
  <si>
    <t>QC17.2. To what extent do you agree or disagree with the following statements about foreign interference and disinformation in EU politics?:-(NATIONALITY) authorities can handle disinformation effectively</t>
  </si>
  <si>
    <t>QC17.3. Dans quelle mesure êtes-vous d'accord ou pas d'accord avec les affirmations suivantes sur les ingérences étrangères et la désinformation dans la politique de l’UE ?:-L’UE est suffisamment équipée pour lutter contre les ingérences étrangères</t>
  </si>
  <si>
    <t>QC17.3. To what extent do you agree or disagree with the following statements about foreign interference and disinformation in EU politics?:-The EU is sufficiently equipped to tackle foreign interference</t>
  </si>
  <si>
    <t>QC17.4. Dans quelle mesure êtes-vous d'accord ou pas d'accord avec les affirmations suivantes sur les ingérences étrangères et la désinformation dans la politique de l’UE ?:-L’UE est suffisamment équipée pour lutter contre la désinformation</t>
  </si>
  <si>
    <t>QC17.4. To what extent do you agree or disagree with the following statements about foreign interference and disinformation in EU politics?:-The EU is sufficiently equipped to tackle disinformation</t>
  </si>
  <si>
    <t>QC17.5. Dans quelle mesure êtes-vous d'accord ou pas d'accord avec les affirmations suivantes sur les ingérences étrangères et la désinformation dans la politique de l’UE ?:-L’UE et les États membres coopèrent suffisamment pour lutter contre les ingérences étrangères et la désinformation</t>
  </si>
  <si>
    <t>QC17.5. To what extent do you agree or disagree with the following statements about foreign interference and disinformation in EU politics?:-The EU and Member States cooperate sufficiently to tackle foreign interference and disinformation</t>
  </si>
  <si>
    <t>D11. Quel est votre âge ?</t>
  </si>
  <si>
    <t>D11. How old are you?</t>
  </si>
  <si>
    <t>D11R. Quel est votre âge ?</t>
  </si>
  <si>
    <t>D11R. How old are you?</t>
  </si>
  <si>
    <t>D11bis. Quel est votre âge ?</t>
  </si>
  <si>
    <t>D11bis. How old are you?</t>
  </si>
  <si>
    <t>D11G. Génération</t>
  </si>
  <si>
    <t>D11G. Generation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</si>
  <si>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</si>
  <si>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</si>
  <si>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</si>
  <si>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</si>
  <si>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</si>
  <si>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</si>
  <si>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</si>
  <si>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</si>
  <si>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</si>
  <si>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</si>
  <si>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</si>
  <si>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</si>
  <si>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</si>
  <si>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</si>
  <si>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</si>
  <si>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</si>
  <si>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D40a. Combien de personnes âgées de 15 ans et plus vivent dans votre foyer, y compris vous-même ?</t>
  </si>
  <si>
    <t>D40a. How many people aged 15 years or more live in your household, yourself included?</t>
  </si>
  <si>
    <t xml:space="preserve">D40b. Combien d'enfants de moins de 10 ans vivent dans votre foyer ?  </t>
  </si>
  <si>
    <t>D40b. How many children less than 10 years old live in your household?</t>
  </si>
  <si>
    <t xml:space="preserve">D40c. Combien d'enfants de 10 à 14 ans vivent dans votre foyer ? </t>
  </si>
  <si>
    <t>D40c. How many children aged 10 to 14 years old live in your household?</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</si>
  <si>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</si>
  <si>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</si>
  <si>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</si>
  <si>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</si>
  <si>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</si>
  <si>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</si>
  <si>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</si>
  <si>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</si>
  <si>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D43a. Possédez-vous un téléphone fixe dans votre foyer ?</t>
  </si>
  <si>
    <t>D43a. Do you own a fixed telephone in your household?</t>
  </si>
  <si>
    <t>D43b. Possédez-vous un téléphone mobile GSM portable personnel ?</t>
  </si>
  <si>
    <t>D43b. Do you own a personal mobile telephone?</t>
  </si>
  <si>
    <t>D43c. Disposez-vous d'une connexion Internet à la maison ?</t>
  </si>
  <si>
    <t>D43c. Do you have an Internet connection at home?</t>
  </si>
  <si>
    <t>D43T. Accès au téléphone fixe, au téléphone mobile et à une connexion internet fixe</t>
  </si>
  <si>
    <t>D43T. Access to fixed telephone, mobile telephone, and fixed internet connection</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</si>
  <si>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</si>
  <si>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</si>
  <si>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</si>
  <si>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</si>
  <si>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</si>
  <si>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</si>
  <si>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</si>
  <si>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</si>
  <si>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</si>
  <si>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</si>
  <si>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</si>
  <si>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</si>
  <si>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D73.1. En ce moment, diriez-vous que, d’une manière générale, les choses vont dans la bonne direction ou dans la mauvaise direction…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</si>
  <si>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</si>
  <si>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</si>
  <si>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</si>
  <si>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</si>
  <si>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</si>
  <si>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</si>
  <si>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</si>
  <si>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</si>
  <si>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</si>
  <si>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</si>
  <si>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</si>
  <si>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</si>
  <si>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</si>
  <si>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</si>
  <si>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</si>
  <si>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</si>
  <si>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</si>
  <si>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</si>
  <si>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</si>
  <si>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D72.1. Dans quelle mesure êtes-vous d’accord ou pas d’accord avec chacune des affirmations suivantes ?:-Ma voix compte dans l'Union européenne</t>
  </si>
  <si>
    <t>D72.1. To what extent do you agree or disagree with each of the following statements.:-My voice counts in the EU</t>
  </si>
  <si>
    <t>D72.2. Dans quelle mesure êtes-vous d’accord ou pas d’accord avec chacune des affirmations suivantes ?:-Ma voix compte en (NOTRE PAYS)</t>
  </si>
  <si>
    <t>D72.2. To what extent do you agree or disagree with each of the following statements.:-My voice counts in (OUR COUNTRY)</t>
  </si>
  <si>
    <t>D72.3. Dans quelle mesure êtes-vous d’accord ou pas d’accord avec chacune des affirmations suivantes ?:-La voix de l'Union européenne compte dans le monde</t>
  </si>
  <si>
    <t>D72.3. To what extent do you agree or disagree with each of the following statements.:-The EU's voice counts in the world</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</si>
  <si>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</si>
  <si>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</si>
  <si>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</si>
  <si>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</si>
  <si>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</si>
  <si>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</si>
  <si>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Eurobarometer - 103.4</t>
  </si>
  <si>
    <t>VOL A weighted</t>
  </si>
  <si>
    <t>Terrain/Fieldwork : 05/05 - 29/05/2025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</si>
  <si>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</si>
  <si>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</si>
  <si>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</si>
  <si>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</si>
  <si>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</si>
  <si>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</si>
  <si>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</si>
  <si>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</si>
  <si>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</si>
  <si>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</si>
  <si>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</si>
  <si>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</si>
  <si>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</si>
  <si>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</si>
  <si>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</si>
  <si>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</si>
  <si>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</si>
  <si>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</si>
  <si>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</si>
  <si>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</si>
  <si>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</si>
  <si>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</si>
  <si>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</si>
  <si>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</si>
  <si>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</si>
  <si>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</si>
  <si>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</si>
  <si>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</si>
  <si>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</si>
  <si>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</si>
  <si>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</si>
  <si>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</si>
  <si>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Total</t>
  </si>
  <si>
    <t>-</t>
  </si>
  <si>
    <t>Très positive</t>
  </si>
  <si>
    <t>Very positive</t>
  </si>
  <si>
    <t>Plutôt positive</t>
  </si>
  <si>
    <t>Fairly positive</t>
  </si>
  <si>
    <t>Neutre</t>
  </si>
  <si>
    <t>Neutral</t>
  </si>
  <si>
    <t>Plutôt négative</t>
  </si>
  <si>
    <t>Fairly negative</t>
  </si>
  <si>
    <t>Très négative</t>
  </si>
  <si>
    <t>Very negative</t>
  </si>
  <si>
    <t>Ne sait pas</t>
  </si>
  <si>
    <t>Don’t know</t>
  </si>
  <si>
    <t>Total 'Positive'</t>
  </si>
  <si>
    <t>Total 'Négative'</t>
  </si>
  <si>
    <t>Total 'Negative'</t>
  </si>
  <si>
    <t>Plus important</t>
  </si>
  <si>
    <t>More important</t>
  </si>
  <si>
    <t>Moins important</t>
  </si>
  <si>
    <t>Less important</t>
  </si>
  <si>
    <t>Sans changement / Comme aujourd'hui (SPONTANÉ)</t>
  </si>
  <si>
    <t>No change / As it is now (SPONTANEOUS)</t>
  </si>
  <si>
    <t>Assez positive</t>
  </si>
  <si>
    <t>Assez négative</t>
  </si>
  <si>
    <t>Don't know</t>
  </si>
  <si>
    <t>Oui, tout à fait</t>
  </si>
  <si>
    <t>Yes, very much</t>
  </si>
  <si>
    <t>Oui, dans une certaine mesure</t>
  </si>
  <si>
    <t>Yes, somewhat</t>
  </si>
  <si>
    <t>Non, pas vraiment</t>
  </si>
  <si>
    <t>No, not much</t>
  </si>
  <si>
    <t>Non, pas du tout</t>
  </si>
  <si>
    <t>No, not at all</t>
  </si>
  <si>
    <t>Total 'Oui'</t>
  </si>
  <si>
    <t>Total 'Yes'</t>
  </si>
  <si>
    <t>Total 'Non'</t>
  </si>
  <si>
    <t>Total 'No'</t>
  </si>
  <si>
    <t>Base: Répondants qui ont répondu 'Oui' à la QA3</t>
  </si>
  <si>
    <t>Base: Respondents who answered "Yes" in QA3</t>
  </si>
  <si>
    <t>Très positif</t>
  </si>
  <si>
    <t>Assez positif</t>
  </si>
  <si>
    <t>Ni particulièrement positif ni négatif</t>
  </si>
  <si>
    <t>Neither particularly positive nor negative</t>
  </si>
  <si>
    <t>Assez négatif</t>
  </si>
  <si>
    <t>Très négatif</t>
  </si>
  <si>
    <t>Bénéficié</t>
  </si>
  <si>
    <t>Benefited </t>
  </si>
  <si>
    <t>Pas bénéficié</t>
  </si>
  <si>
    <t>Not benefited </t>
  </si>
  <si>
    <t>Don’t know </t>
  </si>
  <si>
    <t>L’Union européenne contribue au maintien de la démocratie en (NOTRE PAYS)</t>
  </si>
  <si>
    <t>The EU contributes to maintaining democracy in (OUR COUNTRY)</t>
  </si>
  <si>
    <t>L’Union européenne contribue à préserver la paix et à renforcer la sécurité</t>
  </si>
  <si>
    <t>The EU contributes to protecting peace and strengthening security</t>
  </si>
  <si>
    <t>L'Union européenne contribue à la croissance économique en (NOTRE PAYS)</t>
  </si>
  <si>
    <t>The EU contributes to economic growth in (OUR COUNTRY)</t>
  </si>
  <si>
    <t>L'appartenance à l'Union européenne améliore la coopération entre (NOTRE PAYS) et les autres pays de l'Union européenne</t>
  </si>
  <si>
    <t>Membership of the EU improves cooperation between (OUR COUNTRY) and the other countries of the EU</t>
  </si>
  <si>
    <t>L'appartenance à l'Union européenne améliore la coopération entre (NOTRE PAYS) et les pays en dehors de l'Union européenne</t>
  </si>
  <si>
    <t>Membership of the EU improves cooperation between (OUR COUNTRY) and countries outside the EU</t>
  </si>
  <si>
    <t>Les (NATIONALITÉ) ont une influence significative sur les décisions prises au sein de l'Union européenne</t>
  </si>
  <si>
    <t>(NATIONALITY) people have a significant influence on decisions made at EU level</t>
  </si>
  <si>
    <t>L'Union européenne donne aux (NATIONALITÉ) un poids plus important dans le monde</t>
  </si>
  <si>
    <t>The EU gives (NATIONALITY) people a stronger say in the world</t>
  </si>
  <si>
    <t>L'Union européenne améliore le niveau de vie des (NATIONALITÉ)</t>
  </si>
  <si>
    <t>The EU improves (NATIONALITY) people's standard of living</t>
  </si>
  <si>
    <t>L'Union européenne aide (NOTRE PAYS) à lutter contre le terrorisme</t>
  </si>
  <si>
    <t>The EU helps (OUR COUNTRY) in the fight against terrorism</t>
  </si>
  <si>
    <t>L'Union européenne aide (NOTRE PAYS) à faire face au changement climatique</t>
  </si>
  <si>
    <t>The EU helps (OUR COUNTRY) to tackle climate change</t>
  </si>
  <si>
    <t>L'Union européenne donne aux (NATIONALITÉ) de nouvelles opportunités de travail</t>
  </si>
  <si>
    <t>The EU brings (NATIONALITY) people new work opportunities</t>
  </si>
  <si>
    <t>D’une manière générale, vous êtes favorable à l’Union européenne (SPONTANÉ)</t>
  </si>
  <si>
    <t>You are generally in favour of the EU (SPONTANEOUS)</t>
  </si>
  <si>
    <t>Autre (SPONTANÉ)</t>
  </si>
  <si>
    <t>Other (SPONTANEOUS)</t>
  </si>
  <si>
    <t>Base: Répondants n'ayant pas répondu "Ne sait pas" à la QA5a</t>
  </si>
  <si>
    <t xml:space="preserve">Base: Respondents who did not answer "Don't know" in QA5a </t>
  </si>
  <si>
    <t>Très optimiste</t>
  </si>
  <si>
    <t>Very optimistic</t>
  </si>
  <si>
    <t>Plutôt optimiste</t>
  </si>
  <si>
    <t>Fairly optimistic</t>
  </si>
  <si>
    <t>Plutôt pessimiste</t>
  </si>
  <si>
    <t>Fairly pessimistic</t>
  </si>
  <si>
    <t>Très pessimiste</t>
  </si>
  <si>
    <t>Very pessimistic</t>
  </si>
  <si>
    <t>Don't Know</t>
  </si>
  <si>
    <t>Total 'Optimistic'</t>
  </si>
  <si>
    <t>Total 'Pessimistic'</t>
  </si>
  <si>
    <t>Plus de soutien à la santé publique</t>
  </si>
  <si>
    <t>More support for 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</si>
  <si>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</si>
  <si>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</si>
  <si>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</si>
  <si>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</si>
  <si>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</si>
  <si>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for the economy and the creation of new jobs</t>
  </si>
  <si>
    <t>L’inflation, la hausse des prix et le coût de la vie</t>
  </si>
  <si>
    <t>Inflation, rising prices and the cost of living</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</si>
  <si>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</si>
  <si>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</si>
  <si>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</si>
  <si>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</si>
  <si>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</si>
  <si>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</si>
  <si>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La protection des consommateurs</t>
  </si>
  <si>
    <t>Consumer protection</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</si>
  <si>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</si>
  <si>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</si>
  <si>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</si>
  <si>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</si>
  <si>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</si>
  <si>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</si>
  <si>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t>
  </si>
  <si>
    <t>The EU’s defence and security</t>
  </si>
  <si>
    <t>L’agriculture et la sécurité alimentaire</t>
  </si>
  <si>
    <t>Agriculture and food security</t>
  </si>
  <si>
    <t>L'égalité des sexes, l'inclusion et la diversité</t>
  </si>
  <si>
    <t>Gender equality, inclusion and diversity</t>
  </si>
  <si>
    <t>Aucun (SPONTANÉ)</t>
  </si>
  <si>
    <t>None (SPONTANEOUS)</t>
  </si>
  <si>
    <t>Base: Répondants n'ayant pas répondu "Aucun" ou "Ne sait pas" à la QA6a</t>
  </si>
  <si>
    <t xml:space="preserve">Base: Respondents who did not answer "None" or "Don't know" in QA6a </t>
  </si>
  <si>
    <t>L'égalité de sexes, l'inclusion et la diversité</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</si>
  <si>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</si>
  <si>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</si>
  <si>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</si>
  <si>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</si>
  <si>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</si>
  <si>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</si>
  <si>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</si>
  <si>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</si>
  <si>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</si>
  <si>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</si>
  <si>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</si>
  <si>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</si>
  <si>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</si>
  <si>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</si>
  <si>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</si>
  <si>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</si>
  <si>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</si>
  <si>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</si>
  <si>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</si>
  <si>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</si>
  <si>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</si>
  <si>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</si>
  <si>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</si>
  <si>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</si>
  <si>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</si>
  <si>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</si>
  <si>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</si>
  <si>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</si>
  <si>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La paix</t>
  </si>
  <si>
    <t>Peace</t>
  </si>
  <si>
    <t>Base: Répondants n'ayant pas répondu "Aucun" ou "Ne sait pas" à la QA7a</t>
  </si>
  <si>
    <t xml:space="preserve">Base: Respondents who did not answer "None" or "Don't know" in QA7a </t>
  </si>
  <si>
    <t>QA8. Diriez-vous que : À l’avenir, le rôle de l’Union européenne en matière de protection des citoyens européens contre les crises mondiales et les risques de sécurité devrait…</t>
  </si>
  <si>
    <t>QA8. Would you say that: In the future, the role of the European Union to protect European citizens against global crises and security risks should become…</t>
  </si>
  <si>
    <t xml:space="preserve"> </t>
  </si>
  <si>
    <t>devenir plus important</t>
  </si>
  <si>
    <t>…more important</t>
  </si>
  <si>
    <t>devenir moins important</t>
  </si>
  <si>
    <t>…less important</t>
  </si>
  <si>
    <t>rester le même</t>
  </si>
  <si>
    <t>…stay the same</t>
  </si>
  <si>
    <t xml:space="preserve">QA9.1. Dans quelle mesure êtes-vous d’accord ou pas d’accord avec chacune des affirmations suivantes ? </t>
  </si>
  <si>
    <t>QA9.1. To what extent do you agree or disagree with each of the following statements?</t>
  </si>
  <si>
    <t>Les États membres de l’UE devraient être plus unis pour faire face aux défis mondiaux actuels</t>
  </si>
  <si>
    <t>EU Member States should be more united to face current global challenges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</si>
  <si>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</si>
  <si>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</si>
  <si>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</si>
  <si>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</si>
  <si>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</si>
  <si>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</si>
  <si>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</si>
  <si>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</si>
  <si>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</si>
  <si>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</si>
  <si>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</si>
  <si>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</si>
  <si>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QA9.2. Dans quelle mesure êtes-vous d’accord ou pas d’accord avec chacune des affirmations suivantes ? </t>
  </si>
  <si>
    <t>QA9.2. To what extent do you agree or disagree with each of the following statements?</t>
  </si>
  <si>
    <t>L’Union européenne a besoin de plus de moyens pour faire face aux défis mondiaux actuels</t>
  </si>
  <si>
    <t>The European Union needs more means to face current global challenges</t>
  </si>
  <si>
    <t>L’indépendance énergétique, les ressources et les infrastructures</t>
  </si>
  <si>
    <t>Energy independence, resources and infrastructures</t>
  </si>
  <si>
    <t>La défense et la sécurité</t>
  </si>
  <si>
    <t>Defence and security</t>
  </si>
  <si>
    <t>Les relations internationales et la diplomatie</t>
  </si>
  <si>
    <t>Foreign relations and diplomacy</t>
  </si>
  <si>
    <t>L’élargissement de l’UE et les relations avec les pays voisins</t>
  </si>
  <si>
    <t>EU enlargement and neighbourhood relations</t>
  </si>
  <si>
    <t>La technologie et l'innovation, y compris l'IA (Intelligence Artificielle)</t>
  </si>
  <si>
    <t>Technology and innovation, including AI (Artificial Intelligence)</t>
  </si>
  <si>
    <t>Les valeurs de l'UE, notamment la démocratie et la protection des droits de l'homme</t>
  </si>
  <si>
    <t>EU values, including democracy and the protection of human rights</t>
  </si>
  <si>
    <t>La compétitivité, l'économie et l'industrie</t>
  </si>
  <si>
    <t>Competitiveness, economy and industry</t>
  </si>
  <si>
    <t>Le commerce international</t>
  </si>
  <si>
    <t>International trade</t>
  </si>
  <si>
    <t>L'euro</t>
  </si>
  <si>
    <t>The Euro</t>
  </si>
  <si>
    <t>L'action pour le climat et la réduction des émissions de gaz à effet de serre</t>
  </si>
  <si>
    <t>Climate action and emissions reductions</t>
  </si>
  <si>
    <t>La sécurité alimentaire et l'agriculture</t>
  </si>
  <si>
    <t>Food security and agriculture</t>
  </si>
  <si>
    <t>L'éducation et la recherche</t>
  </si>
  <si>
    <t>Education and research</t>
  </si>
  <si>
    <t>La démographie, la migration et le vieillissement de la population</t>
  </si>
  <si>
    <t>Demography, migration and population ageing</t>
  </si>
  <si>
    <t>La culture</t>
  </si>
  <si>
    <t>Culture</t>
  </si>
  <si>
    <t>Base: Répondants n'ayant pas répondu "Aucun" ou "Ne sait pas" à la QA10a</t>
  </si>
  <si>
    <t xml:space="preserve">Base: Respondents who did not answer "None" or "Don't know" in QA10a </t>
  </si>
  <si>
    <t>Les valeurs de l'UE, notamment la démocratie et la protection des droits humains</t>
  </si>
  <si>
    <t>L'action pour le climat et la réductions des émissions de gaz à effet de serre</t>
  </si>
  <si>
    <t>Oui, certainement</t>
  </si>
  <si>
    <t>Yes, certainly</t>
  </si>
  <si>
    <t>Oui, probablement</t>
  </si>
  <si>
    <t>Yes, probably</t>
  </si>
  <si>
    <t>Non, probablement pas</t>
  </si>
  <si>
    <t>No, probably not</t>
  </si>
  <si>
    <t>Non, certainement pas</t>
  </si>
  <si>
    <t>No, certainly not</t>
  </si>
  <si>
    <t>Oui, et vous savez de quoi il s'agit</t>
  </si>
  <si>
    <t>Yes and you know what it is</t>
  </si>
  <si>
    <t>Oui, mais vous ne savez pas vraiment de quoi il s'agit</t>
  </si>
  <si>
    <t>Yes, but you don’t really know what it is</t>
  </si>
  <si>
    <t>Non</t>
  </si>
  <si>
    <t>No</t>
  </si>
  <si>
    <t>Comment le budget de l'UE est financé, d'où les fonds proviennent</t>
  </si>
  <si>
    <t>How the EU budget is financed, where the funds come from  </t>
  </si>
  <si>
    <t>La contribution de (NOTRE PAYS) au budget de l'UE</t>
  </si>
  <si>
    <t>The contribution of (OUR COUNTRY) to the EU budget</t>
  </si>
  <si>
    <t>Les domaines dans lesquels le budget de l'UE est investi</t>
  </si>
  <si>
    <t>The areas where the EU budget is invested</t>
  </si>
  <si>
    <t>Qui décide où le budget de l'UE est investi</t>
  </si>
  <si>
    <t>Who decides where the EU budget is invested</t>
  </si>
  <si>
    <t>Quel est le montant total du budget de l'UE</t>
  </si>
  <si>
    <t>What is the total amount of the EU budget</t>
  </si>
  <si>
    <t>Ce que le budget de l'UE vous coûte, en tant que citoyen de l'UE</t>
  </si>
  <si>
    <t>What the EU budget costs you, as an EU citizen</t>
  </si>
  <si>
    <t>Les avantages concrets du budget européen pour vous personnellement (p. ex. financements, bourses, programmes de l'UE, etc.)</t>
  </si>
  <si>
    <t>The concrete benefits of the European budget for you personally (e.g., funding, scholarships, EU programmes, etc.)</t>
  </si>
  <si>
    <t>Les avantages concrets du budget européen pour votre région (projets, infrastructures)</t>
  </si>
  <si>
    <t>The concrete benefits of the European budget for your region (projects, infrastructures)</t>
  </si>
  <si>
    <t>L'impact concret du budget européen pour (NOTRE PAYS) (projets, infrastructures)</t>
  </si>
  <si>
    <t>The concrete impact of the European budget for (OUR COUNTRY) (projects, infrastructures)</t>
  </si>
  <si>
    <t>Cela ne vous intéresse pas de recevoir davantage d'informations relatives au budget de l'UE</t>
  </si>
  <si>
    <t>You are not interested in receiving more information about the EU budget</t>
  </si>
  <si>
    <t>QA14.1. Selon vous, dans quelle mesure chacun des aspects suivants du budget à long terme de l'UE est-il important ou non ?</t>
  </si>
  <si>
    <t>QA14.1. In your opinion, how important or not is each of the following aspects of the EU’s long-term budget?</t>
  </si>
  <si>
    <t>La flexibilité, pour permettre au budget de l'UE de s'adapter aux événements imprévus (comme les catastrophes naturelles, les flambées des prix, les conflits armés, les pandémies, etc.)</t>
  </si>
  <si>
    <t>Flexibility, to allow the EU budget to adapt to unforeseen events (such as natural disasters, price shocks, armed conflicts, pandemics, etc.)</t>
  </si>
  <si>
    <t>Très important</t>
  </si>
  <si>
    <t>Very important</t>
  </si>
  <si>
    <t>Assez important</t>
  </si>
  <si>
    <t>Fairly important</t>
  </si>
  <si>
    <t>Pas très important</t>
  </si>
  <si>
    <t>Not very important</t>
  </si>
  <si>
    <t>Pas du tout important</t>
  </si>
  <si>
    <t>Not at all important</t>
  </si>
  <si>
    <t>Total 'Important'</t>
  </si>
  <si>
    <t>Total 'Pas important'</t>
  </si>
  <si>
    <t>Total 'Not important'</t>
  </si>
  <si>
    <t>QA14.2. Selon vous, dans quelle mesure chacun des aspects suivants du budget à long terme de l'UE est-il important ou non ?</t>
  </si>
  <si>
    <t>QA14.2. In your opinion, how important or not is each of the following aspects of the EU’s long-term budget?</t>
  </si>
  <si>
    <t>La traçabilité, pour savoir exactement comment le budget de l'UE est dépensé</t>
  </si>
  <si>
    <t>Traceability, to know exactly how the EU budget is spent</t>
  </si>
  <si>
    <t>QA14.3. Selon vous, dans quelle mesure chacun des aspects suivants du budget à long terme de l'UE est-il important ou non ?</t>
  </si>
  <si>
    <t>QA14.3. In your opinion, how important or not is each of the following aspects of the EU’s long-term budget?</t>
  </si>
  <si>
    <t>La transparence, pour veiller à ce que les informations sur le budget de l'UE soient accessibles à tous les citoyens de l'UE</t>
  </si>
  <si>
    <t>Transparency, to ensure that information on the EU budget is accessible to all EU citizens</t>
  </si>
  <si>
    <t>QA14.4. Selon vous, dans quelle mesure chacun des aspects suivants du budget à long terme de l'UE est-il important ou non ?</t>
  </si>
  <si>
    <t>QA14.4. In your opinion, how important or not is each of the following aspects of the EU’s long-term budget?</t>
  </si>
  <si>
    <t>L'efficacité, pour veiller à ce que les projets financés par le budget de l'UE bénéficient aux citoyens de l'UE</t>
  </si>
  <si>
    <t>Efficiency, to ensure that the projects funded by the EU budget have a benefit for EU citizens</t>
  </si>
  <si>
    <t>QA14.5. Selon vous, dans quelle mesure chacun des aspects suivants du budget à long terme de l'UE est-il important ou non ?</t>
  </si>
  <si>
    <t>QA14.5. In your opinion, how important or not is each of the following aspects of the EU’s long-term budget?</t>
  </si>
  <si>
    <t>La simplicité, pour veiller à ce que les bénéficiaires (comme les agriculteurs, les chercheurs, etc.) puissent accéder aux fonds et programmes de l'UE avec des formalités administratives aussi réduites que possible</t>
  </si>
  <si>
    <t>Simplicity, to ensure that beneficiaries (such as farmers, researchers, etc.) can access EU funds and programmes with as little administrative burden as possible</t>
  </si>
  <si>
    <t>Totalement favorable</t>
  </si>
  <si>
    <t>Totally in favour</t>
  </si>
  <si>
    <t>Plutôt favorable</t>
  </si>
  <si>
    <t>Somewhat in favour</t>
  </si>
  <si>
    <t xml:space="preserve">Plutôt opposé(e) </t>
  </si>
  <si>
    <t>Somewhat opposed</t>
  </si>
  <si>
    <t xml:space="preserve">Totalement opposé(e) </t>
  </si>
  <si>
    <t>Totally opposed</t>
  </si>
  <si>
    <t>Total 'Favorable'</t>
  </si>
  <si>
    <t>Total 'In favour'</t>
  </si>
  <si>
    <t>Total 'Opposé(e)'</t>
  </si>
  <si>
    <t>Total 'Opposed'</t>
  </si>
  <si>
    <t>Votre niveau de vie va baisser</t>
  </si>
  <si>
    <t>Your standard of living will decrease</t>
  </si>
  <si>
    <t>Votre niveau de vie ne va pas changer</t>
  </si>
  <si>
    <t>Your standard of living will not change</t>
  </si>
  <si>
    <t>Votre niveau de vie va augmenter</t>
  </si>
  <si>
    <t>Your standard of living will increase</t>
  </si>
  <si>
    <t>Ne sait pas / Pas de réponse</t>
  </si>
  <si>
    <t>Don't know / No answer</t>
  </si>
  <si>
    <t>Oui, et vous savez de quoi il s’agit</t>
  </si>
  <si>
    <t>Yes, and you know what this is about</t>
  </si>
  <si>
    <t>Oui, mais vous ne savez pas vraiment de quoi il s’agit</t>
  </si>
  <si>
    <t>Yes, but you do not really know what this is about</t>
  </si>
  <si>
    <t>Non, jamais</t>
  </si>
  <si>
    <t>No, never</t>
  </si>
  <si>
    <t>Oui, très bien</t>
  </si>
  <si>
    <t>Yes, definitely</t>
  </si>
  <si>
    <t>Oui, un peu</t>
  </si>
  <si>
    <t>No, not really</t>
  </si>
  <si>
    <t>Associations (p. ex. clubs de sport, associations culturelles)</t>
  </si>
  <si>
    <t>Associations (e.g. sports clubs, cultural associations)</t>
  </si>
  <si>
    <t>Sociétés mutuelles (p. ex. mutuelles de santé qui fournissent une assurance ou un soutien à leurs membres)</t>
  </si>
  <si>
    <t>Mutual societies (e.g. health mutuals that offer insurance or support to their members)</t>
  </si>
  <si>
    <t>Fondations (p. ex. organisations caritatives qui financent des causes sociales)</t>
  </si>
  <si>
    <t>Foundations (e.g. charitable organisations that fund social causes)</t>
  </si>
  <si>
    <t>Coopératives (p. ex. coopératives agricoles, détenues et gérées par leurs membres)</t>
  </si>
  <si>
    <t>Cooperatives (e.g. farming cooperatives, owned and run by their members)</t>
  </si>
  <si>
    <t>Entreprises sociales (p. ex. entreprises qui emploient des personnes menacées d’exclusion)</t>
  </si>
  <si>
    <t>Social enterprises (e.g. businesses that employ people at risk of exclusion)</t>
  </si>
  <si>
    <t>...qu’entrepreneur social</t>
  </si>
  <si>
    <t>…social entrepreneur</t>
  </si>
  <si>
    <t>...qu’employé(e) d’une organisation de l’économie sociale, également appelée économie sociale et solidaire</t>
  </si>
  <si>
    <t>…employee of a social economy organisation</t>
  </si>
  <si>
    <t>...que bénévole</t>
  </si>
  <si>
    <t>…volunteer</t>
  </si>
  <si>
    <t>...que membre</t>
  </si>
  <si>
    <t>…member</t>
  </si>
  <si>
    <t>...que membre du bureau ou de la direction</t>
  </si>
  <si>
    <t>…board member</t>
  </si>
  <si>
    <t>...que donateur(-rice) (somme d’argent)</t>
  </si>
  <si>
    <t>…donor (financial)</t>
  </si>
  <si>
    <t>...que donateur(-rice) (produits)</t>
  </si>
  <si>
    <t>…donor (goods)</t>
  </si>
  <si>
    <t>...client(e)</t>
  </si>
  <si>
    <t>…client, customer</t>
  </si>
  <si>
    <t>Aucun - vous n’avez jamais été impliqué(e) dans l’économie sociale, également appelée économie sociale et solidaire/vous n’avez jamais été impliqué(e) dans aucune des organisations mentionnées ci-dessus (SPONTANÉ)</t>
  </si>
  <si>
    <t>None - You have never been involved with the social economy/you have never been involved with any of the organisations listed above (SPONTANEOUS)</t>
  </si>
  <si>
    <t>Base: Répondants n'ayant pas répondu "Autre", "Aucun" ou "Ne sait pas" à la QB4</t>
  </si>
  <si>
    <t>Base: Respondents who did not answer "Other", "None", or "Don't know" in QB4</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</si>
  <si>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</si>
  <si>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</si>
  <si>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</si>
  <si>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</si>
  <si>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</si>
  <si>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</si>
  <si>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</si>
  <si>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</si>
  <si>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</si>
  <si>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</si>
  <si>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</si>
  <si>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</si>
  <si>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Total 'Très engagé(e)'</t>
  </si>
  <si>
    <t>Total 'Highly involved'</t>
  </si>
  <si>
    <t>Total 'Engagé(e)'</t>
  </si>
  <si>
    <t>Total 'Involved'</t>
  </si>
  <si>
    <t>Total 'Peu/Pas engagé(e)'</t>
  </si>
  <si>
    <t>Total 'Rarely/Not involved'</t>
  </si>
  <si>
    <t>Oui, un soutien financier (p. ex. dons, aide d’urgence)</t>
  </si>
  <si>
    <t>Yes, financial support (e.g. donations, emergency aid)</t>
  </si>
  <si>
    <t>Oui, des produits (p. ex. nourriture, vêtements, meubles, fournitures scolaires)</t>
  </si>
  <si>
    <t>Yes, goods (e.g. food, clothes, furniture, school supplies)</t>
  </si>
  <si>
    <t>Oui, une aide ou des services à la personne (p. ex. aide relative à la garde d’enfants, aide aux personnes âgées, réparations de la maison, conseils juridiques ou administratifs)</t>
  </si>
  <si>
    <t>Yes, personal help or services (e.g. help with childcare, elderly care, house repairs, legal or administrative advice)</t>
  </si>
  <si>
    <t>Oui, un soutien en matière de logement ou centre d’accueil (p. ex. hébergement d’urgence, aide pour trouver un logement social)</t>
  </si>
  <si>
    <t>Yes, housing or shelter support (e.g. emergency accommodation, help finding social housing)</t>
  </si>
  <si>
    <t>Oui, un accès à des opportunités d’emploi, de formation ou d’éducation (p. ex. cours de langue, accompagnement professionnel, formation professionnelle)</t>
  </si>
  <si>
    <t>Yes, access to training, education, or employment opportunities (e.g. language courses, job coaching, vocational training)</t>
  </si>
  <si>
    <t>Oui, une participation à des activités communautaires ou à des groupes de soutien</t>
  </si>
  <si>
    <t>Yes, participation in community activities or support groups</t>
  </si>
  <si>
    <t>Non, vous n’avez jamais reçu de soutien de la part d’une organisation de l’économie sociale, également appelée économie sociale et solidaire (SPONTANÉ)</t>
  </si>
  <si>
    <t>No, you have never received support from a social economy organisation (SPONTANEOUS)</t>
  </si>
  <si>
    <t>QB7.1.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t>
  </si>
  <si>
    <t>QB7.1. In your opinion, how important is the social economy for each of the following? Please use a 1 to 10 scale, where 1 means not at all important and 10 means extremely important:</t>
  </si>
  <si>
    <t>Votre bien-être</t>
  </si>
  <si>
    <t>Your well-being</t>
  </si>
  <si>
    <t>1 Pas du tout importante</t>
  </si>
  <si>
    <t>1 Not at all important</t>
  </si>
  <si>
    <t>2</t>
  </si>
  <si>
    <t>3</t>
  </si>
  <si>
    <t>4</t>
  </si>
  <si>
    <t>5</t>
  </si>
  <si>
    <t>6</t>
  </si>
  <si>
    <t>7</t>
  </si>
  <si>
    <t>8</t>
  </si>
  <si>
    <t>9</t>
  </si>
  <si>
    <t>10 Extrêmement importante</t>
  </si>
  <si>
    <t>10 Extremely important</t>
  </si>
  <si>
    <t>Sans objet (SPONTANÉ)</t>
  </si>
  <si>
    <t>Not applicable (SPONTANEOUS)</t>
  </si>
  <si>
    <t>Total 'Neutre'</t>
  </si>
  <si>
    <t>Total 'Neutral'</t>
  </si>
  <si>
    <t>Moyenne</t>
  </si>
  <si>
    <t>Average</t>
  </si>
  <si>
    <t>QB7.2.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t>
  </si>
  <si>
    <t>QB7.2. In your opinion, how important is the social economy for each of the following? Please use a 1 to 10 scale, where 1 means not at all important and 10 means extremely important:</t>
  </si>
  <si>
    <t>Le bien-être de votre communauté locale</t>
  </si>
  <si>
    <t>The well-being of your local community</t>
  </si>
  <si>
    <t>QB7.3.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t>
  </si>
  <si>
    <t>QB7.3. In your opinion, how important is the social economy for each of the following? Please use a 1 to 10 scale, where 1 means not at all important and 10 means extremely important:</t>
  </si>
  <si>
    <t>Le bien-être de la société de votre pays</t>
  </si>
  <si>
    <t>The well-being of society in your country</t>
  </si>
  <si>
    <t>QB7.4. Selon vous, dans quelle mesure l’économie sociale, également appelée économie sociale et solidaire, est-elle importante pour chacun des éléments suivants ? Veuillez utiliser une échelle de 1 à 10, où 1 signifie « pas du tout importante » et 10 signifie « extrêmement importante » :</t>
  </si>
  <si>
    <t>QB7.4. In your opinion, how important is the social economy for each of the following? Please use a 1 to 10 scale, where 1 means not at all important and 10 means extremely important:</t>
  </si>
  <si>
    <t>La préservation de la planète</t>
  </si>
  <si>
    <t>The preservation of the planet</t>
  </si>
  <si>
    <t>Agroalimentaire (p. ex. agriculture, production alimentaire locale, coopératives alimentaires)</t>
  </si>
  <si>
    <t>Agriculture and food (e.g. farming, local food production, food cooperatives)</t>
  </si>
  <si>
    <t>Santé et protection sociale (p. ex. garde d’enfants, prise en charge des personnes âgées, aide au handicap)</t>
  </si>
  <si>
    <t>Health and social care (e.g. child and elderly care, disability support)</t>
  </si>
  <si>
    <t>Éducation et formation (p. ex. formation pour adultes, soutien à la jeunesse)</t>
  </si>
  <si>
    <t>Education and training (e.g. adult learning, youth support)</t>
  </si>
  <si>
    <t>Logement et construction (p. ex. logements sociaux, logements coopératifs)</t>
  </si>
  <si>
    <t>Housing and construction (e.g. social housing, cooperative housing)</t>
  </si>
  <si>
    <t>Vente au détail et commerce local (p. ex. magasins d’occasions, boutiques de commerce équitable)</t>
  </si>
  <si>
    <t>Retail and local commerce (e.g. second-hand shops, fair trade stores)</t>
  </si>
  <si>
    <t>Tourisme et hôtellerie (p. ex. hôtels sociaux, cafés dotés d’une mission sociale)</t>
  </si>
  <si>
    <t>Tourism and hospitality (e.g. social hotels, cafés with a social mission)</t>
  </si>
  <si>
    <t>Environnement et énergie (p. ex. réparation, recyclage, énergies renouvelables, nettoyage de l’environnement)</t>
  </si>
  <si>
    <t>Environment and energy (e.g. repairing, recycling, renewable energy, cleaning the environment)</t>
  </si>
  <si>
    <t>Finance et assurances (p. ex. banques éthiques, organismes de microcrédit)</t>
  </si>
  <si>
    <t>Finance and insurance (e.g. ethical banks, microcredit organisations)</t>
  </si>
  <si>
    <t>Transport et mobilité (p. ex. transport communautaire, services de mobilité partagée)</t>
  </si>
  <si>
    <t>Transport and mobility (e.g. community transport, shared mobility services)</t>
  </si>
  <si>
    <t>Culture, sport et loisirs (p. ex. théâtres communautaires, clubs de sport, centres culturels)</t>
  </si>
  <si>
    <t>Culture, sports and leisure (e.g. community theatres, sports clubs, cultural centres)</t>
  </si>
  <si>
    <t>Aucun de ces secteurs - vous ne pensez pas que les organisations de l’économie sociale, également appelée économie sociale et solidaire, font bouger les choses (SPONTANÉ)</t>
  </si>
  <si>
    <t>None - you don’t think that social economy organisations make a difference (SPONTANEOUS)</t>
  </si>
  <si>
    <t>Base: Répondants n'ayant pas répondu "Aucun" ou "Ne sait pas" à la QB8a</t>
  </si>
  <si>
    <t>Base: Respondents who did not answer "None", or "Don't know" in QB8a</t>
  </si>
  <si>
    <t>Aide à la recherche d’emploi</t>
  </si>
  <si>
    <t>Helping people find work</t>
  </si>
  <si>
    <t>Promotion de l’inclusion sociale, p. ex. aide aux minorités, aux groupes isolés ou aux migrants pour qu’ils se sentent intégrés dans la société</t>
  </si>
  <si>
    <t>Supporting social inclusion, e.g. helping minorities, isolated groups or migrants to feel part of society</t>
  </si>
  <si>
    <t>Réduction de la pauvreté, p. ex. offre de services abordables, aide au logement, aide alimentaire ou financière</t>
  </si>
  <si>
    <t>Reducing poverty, e.g. offering affordable services, housing, food or financial help</t>
  </si>
  <si>
    <t>Dispense de formations et développement des compétences, p. ex. cours de langue, apprentissages</t>
  </si>
  <si>
    <t>Providing training and developing skills, e.g. language courses, apprenticeships</t>
  </si>
  <si>
    <t>Création d’emplois</t>
  </si>
  <si>
    <t>Creating jobs</t>
  </si>
  <si>
    <t>Fourniture de services de soins et de santé</t>
  </si>
  <si>
    <t>Offering care and healthcare services</t>
  </si>
  <si>
    <t>Amélioration de l’inclusion numérique, p. ex. aide à l’utilisation des outils numériques et à l’accès numérique aux services)</t>
  </si>
  <si>
    <t>Improving digital inclusion, e.g. helping people use digital tools and access services digitally)</t>
  </si>
  <si>
    <t>Protection de l’environnement, p. ex. réduction des déchets, incitation au recyclage, réutilisation et réparation</t>
  </si>
  <si>
    <t>Protecting the environment, e.g. reducing waste, encouraging recycling, reusing and repairing</t>
  </si>
  <si>
    <t>Soutien aux énergies vertes et renouvelables</t>
  </si>
  <si>
    <t>Supporting green and renewable energy</t>
  </si>
  <si>
    <t>Renforcement des communautés locales (p. ex. revitalisation des villages ou des quartiers, soutien aux entreprises locales)</t>
  </si>
  <si>
    <t>Strengthening local communities (e.g. revitalising villages or neighbourhoods, supporting local businesses)</t>
  </si>
  <si>
    <t>Aucun de ces domaines - vous ne pensez pas que l’économie sociale, également appelée économie sociale et solidaire, apporte une contribution en (NOTRE PAYS) (SPONTANÉ)</t>
  </si>
  <si>
    <t>None - you don’t think that the social economy makes a contribution in (OUR COUNTRY) (SPONTANEOUS)</t>
  </si>
  <si>
    <t>Base: Répondants n'ayant pas répondu "Aucun" ou "Ne sait pas" à la QB9a</t>
  </si>
  <si>
    <t>Base: Respondents who did not answer "None", or "Don't know" in QB9a</t>
  </si>
  <si>
    <t>Très bien développée</t>
  </si>
  <si>
    <t>Very well developed</t>
  </si>
  <si>
    <t>Bien développée</t>
  </si>
  <si>
    <t>Well developed</t>
  </si>
  <si>
    <t>Pas très bien développée</t>
  </si>
  <si>
    <t>Not very well developed</t>
  </si>
  <si>
    <t>Pas du tout développée</t>
  </si>
  <si>
    <t>Not at all developed</t>
  </si>
  <si>
    <t>Total 'Bien développée'</t>
  </si>
  <si>
    <t>Total 'Well developed'</t>
  </si>
  <si>
    <t>Total 'Pas développée'</t>
  </si>
  <si>
    <t>Total 'Not developed'</t>
  </si>
  <si>
    <t>QB11.1.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t>
  </si>
  <si>
    <t>QB11.1. To what extent do you agree or disagree with the following statements about the support social economy organisations should receive from local, regional and (NATIONALITY) public authorities?</t>
  </si>
  <si>
    <t>Les pouvoirs publics en (NOTRE PAYS) devraient élaborer des stratégies et une législation visant à soutenir les organisations de l’économie sociale, également appelée économie sociale et solidaire</t>
  </si>
  <si>
    <t>Public authorities in (OUR COUNTRY) should develop strategies and legislation to support social economy organisations</t>
  </si>
  <si>
    <t>QB11.2.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t>
  </si>
  <si>
    <t>QB11.2. To what extent do you agree or disagree with the following statements about the support social economy organisations should receive from local, regional and (NATIONALITY) public authorities?</t>
  </si>
  <si>
    <t>Le modèle de l’économie sociale, également appelée économie sociale et solidaire, devrait être promu par le biais de l’enseignement dans les établissements scolaires et d’actions de sensibilisation</t>
  </si>
  <si>
    <t>The social economy model should be promoted through education in schools and awareness initiatives</t>
  </si>
  <si>
    <t>QB11.3.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t>
  </si>
  <si>
    <t>QB11.3. To what extent do you agree or disagree with the following statements about the support social economy organisations should receive from local, regional and (NATIONALITY) public authorities?</t>
  </si>
  <si>
    <t>Les organisations de l’économie sociale, également appelée économie sociale et solidaire, devraient recevoir un financement public direct</t>
  </si>
  <si>
    <t>Social economy organisations should receive direct public funding</t>
  </si>
  <si>
    <t>QB11.4. Dans quelle mesure êtes-vous d'accord ou pas d'accord avec les affirmations suivantes relatives au soutien que les organisations de l’économie sociale, également appelée économie sociale et solidaire, devraient recevoir de la part des pouvoirs publics (NATIONALITÉ), régionaux et locaux ?</t>
  </si>
  <si>
    <t>QB11.4. To what extent do you agree or disagree with the following statements about the support social economy organisations should receive from local, regional and (NATIONALITY) public authorities?</t>
  </si>
  <si>
    <t>Les pouvoirs publics en (NOTRE PAYS) devraient fournir des ressources et des conseils pour aider les gens à créer des organisations de l’économie sociale, également appelée économie sociale et solidaire</t>
  </si>
  <si>
    <t>Public authorities in (OUR COUNTRY) should provide resources and guidance to help people set up social economy organisations</t>
  </si>
  <si>
    <t>QB12. Parmi les principes suivants, lesquels pensez-vous que les employeurs devraient appliquer? Veuillez sélectionner toutes les réponses qui s’appliquent. (PLUSIEURS RÉPONSES POSSIBLES)</t>
  </si>
  <si>
    <t>&lt;&lt;Back to content</t>
  </si>
  <si>
    <t>EU</t>
  </si>
  <si>
    <t> </t>
  </si>
  <si>
    <t>Œuvrer pour une mission sociale et environnementale (p. ex. contribuer au bien-être des personnes, des communautés ou de la planète, pas seulement réaliser des profits)</t>
  </si>
  <si>
    <t>Working for a social or environmental mission (e.g. contributing to the well-being of people, communities, or the planet - not just making profit)</t>
  </si>
  <si>
    <t>Permettre aux employés de participer aux prises de décision (p. ex. impliquer les employés dans la gestion de l’organisation)</t>
  </si>
  <si>
    <t>Giving employees a say in decision-making (e.g. involving employees in how the organisation is run)</t>
  </si>
  <si>
    <t>Réinvestir les profits de l’entreprise dans sa mission (p. ex. utiliser les profits pour améliorer les services, soutenir les employés ou aider la communauté, au lieu de les distribuer aux propriétaires/actionnaires)</t>
  </si>
  <si>
    <t>Reinvesting most of the company’s profits into its mission (e.g. using profits to improve services, support employees, or help the community, instead of distributing them to owners/shareholders)</t>
  </si>
  <si>
    <t>Les trois (SPONTANÉ)</t>
  </si>
  <si>
    <t>All three of them (SPONTANEOUS)</t>
  </si>
  <si>
    <t>Aucun de ces principes (SPONTANÉ)</t>
  </si>
  <si>
    <t>None of these (SPONTANEOUS)</t>
  </si>
  <si>
    <t>Total 'Support envers les pratiques commerciales écoresponsables"</t>
  </si>
  <si>
    <t>Total 'Support sustainable business practices'</t>
  </si>
  <si>
    <t>QB13.1. Quand vous achetez des produits et des services, dans quelle mesure les aspects suivants sont-ils importants pour vous ?</t>
  </si>
  <si>
    <t>QB13.1. When you buy goods and services, how important are the following aspects to you?</t>
  </si>
  <si>
    <t>Prix</t>
  </si>
  <si>
    <t>Price</t>
  </si>
  <si>
    <t>QB13.2. Quand vous achetez des produits et des services, dans quelle mesure les aspects suivants sont-ils importants pour vous ?</t>
  </si>
  <si>
    <t>QB13.2. When you buy goods and services, how important are the following aspects to you?</t>
  </si>
  <si>
    <t>Qualité</t>
  </si>
  <si>
    <t>Quality</t>
  </si>
  <si>
    <t>QB13.3. Quand vous achetez des produits et des services, dans quelle mesure les aspects suivants sont-ils importants pour vous ?</t>
  </si>
  <si>
    <t>QB13.3. When you buy goods and services, how important are the following aspects to you?</t>
  </si>
  <si>
    <t>Marque</t>
  </si>
  <si>
    <t>Brand</t>
  </si>
  <si>
    <t>QB13.4. Quand vous achetez des produits et des services, dans quelle mesure les aspects suivants sont-ils importants pour vous ?</t>
  </si>
  <si>
    <t>QB13.4. When you buy goods and services, how important are the following aspects to you?</t>
  </si>
  <si>
    <t>Production locale, le fait que les produits et les services soient fabriqués ou fournis dans votre région, en (NOTRE PAYS)</t>
  </si>
  <si>
    <t>Local production, the fact that the goods and services are produced in your area, in (OUR COUNTRY)</t>
  </si>
  <si>
    <t>QB13.5. Quand vous achetez des produits et des services, dans quelle mesure les aspects suivants sont-ils importants pour vous ?</t>
  </si>
  <si>
    <t>QB13.5. When you buy goods and services, how important are the following aspects to you?</t>
  </si>
  <si>
    <t>Normes environnementales, p. ex. consommation énergétique, empreinte carbone et matières</t>
  </si>
  <si>
    <t>Environmental standards, e.g. energy consumption, carbon and material footprint</t>
  </si>
  <si>
    <t>QB13.6. Quand vous achetez des produits et des services, dans quelle mesure les aspects suivants sont-ils importants pour vous ?</t>
  </si>
  <si>
    <t>QB13.6. When you buy goods and services, how important are the following aspects to you?</t>
  </si>
  <si>
    <t>Normes sociales, p. ex. qualité de l’emploi et sécurité des employés</t>
  </si>
  <si>
    <t>Social standards, e.g. job quality and employee safety</t>
  </si>
  <si>
    <t>Oui, vous y avez participé plusieurs fois</t>
  </si>
  <si>
    <t>Yes, you participated several times</t>
  </si>
  <si>
    <t>Oui, vous y avez participé une fois</t>
  </si>
  <si>
    <t>Yes, you participated once</t>
  </si>
  <si>
    <t>Très souvent - vous vérifiez régulièrement les sources, utilisez des outils de vérification des faits (fact-checking) et vérifiez si les informations sont exactes</t>
  </si>
  <si>
    <t>Very often – you consistently check sources, use fact-checking tools, and verify whether information is correct</t>
  </si>
  <si>
    <t>Parfois - vous vérifiez occasionnellement si les informations sont exactes, mais pas régulièrement</t>
  </si>
  <si>
    <t>Sometimes – you verify whether information is correct occasionally, but not regularly</t>
  </si>
  <si>
    <t>Rarement - vous vérifiez rarement les faits ou les sources</t>
  </si>
  <si>
    <t>Rarely – you seldom fact-check or verify sources</t>
  </si>
  <si>
    <t>Jamais - vous ne vérifiez pas ni les faits ni l’exactitude des informations</t>
  </si>
  <si>
    <t>Never – you do not fact-check or verify whether information is correct</t>
  </si>
  <si>
    <t>Très souvent</t>
  </si>
  <si>
    <t>Very often</t>
  </si>
  <si>
    <t>Parfois</t>
  </si>
  <si>
    <t>Sometimes</t>
  </si>
  <si>
    <t>Rarement</t>
  </si>
  <si>
    <t>Rarely</t>
  </si>
  <si>
    <t>Le système éducatif et d’autres programmes pour doter les gens d’un esprit critique, d’une culture médiatique et numérique (p. ex. établissements scolaires ou systèmes d’éducation informels)</t>
  </si>
  <si>
    <t>The education system and other programmes to equip people with critical thinking, media and digital literacy (e.g. schools or informal education systems)</t>
  </si>
  <si>
    <t>Des campagnes de sensibilisation du public pour aider les citoyens à identifier la désinformation et la manipulation des informations</t>
  </si>
  <si>
    <t>Public awareness campaigns to help citizens identify disinformation and information manipulation</t>
  </si>
  <si>
    <t>Un accès aisé à des études et des recherches menées par des experts et des scientifiques fiables et indépendants</t>
  </si>
  <si>
    <t>Easy access to studies, and research carried out by independent and trustworthy experts and scientists</t>
  </si>
  <si>
    <t>Une vérification des faits réalisée par des organismes fiables et indépendants</t>
  </si>
  <si>
    <t>Fact-checking provided by independent and trustworthy organisations</t>
  </si>
  <si>
    <t>Des outils et technologies pour vérifier l’origine ou la crédibilité des sources, notamment en ligne</t>
  </si>
  <si>
    <t>Tools and technologies for verifying the origin or credibility of sources, including online</t>
  </si>
  <si>
    <t>Aucune de ces actions ou ressources (SPONTANÉ)</t>
  </si>
  <si>
    <t>Très bonnes connaissances</t>
  </si>
  <si>
    <t>Very familiar</t>
  </si>
  <si>
    <t>Assez bonnes connaissances</t>
  </si>
  <si>
    <t>Fairly familiar</t>
  </si>
  <si>
    <t>Peu de connaissances</t>
  </si>
  <si>
    <t>Not very familiar</t>
  </si>
  <si>
    <t>Aucune connaissance</t>
  </si>
  <si>
    <t>Not at all familiar</t>
  </si>
  <si>
    <t>Total 'Bonnes connaissances'</t>
  </si>
  <si>
    <t>Total 'Familiar'</t>
  </si>
  <si>
    <t>Total 'Pas de connaissances'</t>
  </si>
  <si>
    <t>Total 'Not familiar'</t>
  </si>
  <si>
    <t>Une plus grande transparence des informations sur les manières de participer à l’élaboration des politiques et un meilleur accès à ces informations</t>
  </si>
  <si>
    <t>More transparency and access to information on ways to participate in policymaking</t>
  </si>
  <si>
    <t>Un plus grand nombre d’occasions de participer directement aux processus de décision (p. ex. assemblées des citoyens, panels de citoyens, dialogues en faveur de la jeunesse...)</t>
  </si>
  <si>
    <t>More opportunities for direct participation in decision-making processes (e.g. Citizens’ assemblies, citizens’ panels, youth dialogues…)</t>
  </si>
  <si>
    <t>Des plateformes et outils de participation en ligne pour les débats et la participation des citoyens</t>
  </si>
  <si>
    <t>Online participation platforms and tools for citizens’ debates and participation</t>
  </si>
  <si>
    <t>Un plus grand nombre de débats au niveau local, dans la région où vous vivez, pour aborder les problèmes locaux</t>
  </si>
  <si>
    <t>More debates at local level, in the area where you live, to address local matters</t>
  </si>
  <si>
    <t>QC6.1. Dans quelle mesure êtes-vous d'accord ou pas d'accord avec chacune des affirmations suivantes concernant (NOTRE PAYS) ?</t>
  </si>
  <si>
    <t>QC6.1. To what extent do you agree or disagree with each of the following statements about (OUR COUNTRY)?</t>
  </si>
  <si>
    <t>Les élections ne font pas l'objet d'ingérences</t>
  </si>
  <si>
    <t>Elections are free from any interference</t>
  </si>
  <si>
    <t>QC6.2. Dans quelle mesure êtes-vous d'accord ou pas d'accord avec chacune des affirmations suivantes concernant (NOTRE PAYS) ?</t>
  </si>
  <si>
    <t>QC6.2. To what extent do you agree or disagree with each of the following statements about (OUR COUNTRY)?</t>
  </si>
  <si>
    <t>Tous les partis et candidats politiques peuvent faire campagne sur un pied d'égalité</t>
  </si>
  <si>
    <t>All parties and political candidates can campaign on equal footing</t>
  </si>
  <si>
    <t>QC6.3. Dans quelle mesure êtes-vous d'accord ou pas d'accord avec chacune des affirmations suivantes concernant (NOTRE PAYS) ?</t>
  </si>
  <si>
    <t>QC6.3. To what extent do you agree or disagree with each of the following statements about (OUR COUNTRY)?</t>
  </si>
  <si>
    <t>Il existe une transparence et une obligation de rendre des comptes en matière de financement en politique (partis, campagnes, diffusion de messages politiques...)</t>
  </si>
  <si>
    <t>There is transparency and accountability as regards funding in politics (parties, campaigns, the spread of political messages...)</t>
  </si>
  <si>
    <t>QC6.4. Dans quelle mesure êtes-vous d'accord ou pas d'accord avec chacune des affirmations suivantes concernant (NOTRE PAYS) ?</t>
  </si>
  <si>
    <t>QC6.4. To what extent do you agree or disagree with each of the following statements about (OUR COUNTRY)?</t>
  </si>
  <si>
    <t>Les citoyens ont accès à des informations diffusées par des médias indépendants et pluralistes</t>
  </si>
  <si>
    <t>Citizens have access to information and news provided by independent and pluralistic media</t>
  </si>
  <si>
    <t>QC6.5. Dans quelle mesure êtes-vous d'accord ou pas d'accord avec chacune des affirmations suivantes concernant (NOTRE PAYS) ?</t>
  </si>
  <si>
    <t>QC6.5. To what extent do you agree or disagree with each of the following statements about (OUR COUNTRY)?</t>
  </si>
  <si>
    <t>Les citoyens ont la possibilité de participer aux processus démocratiques, aux débats et à l’élaboration des politiques</t>
  </si>
  <si>
    <t>Citizens have the possibility to take part in democratic processes, debates and policy making</t>
  </si>
  <si>
    <t>QC6.6. Dans quelle mesure êtes-vous d'accord ou pas d'accord avec chacune des affirmations suivantes concernant (NOTRE PAYS) ?</t>
  </si>
  <si>
    <t>QC6.6. To what extent do you agree or disagree with each of the following statements about (OUR COUNTRY)?</t>
  </si>
  <si>
    <t>Le financement étranger caché des acteurs, campagnes ou messages politiques constitue un défi majeur en (NOTRE PAYS)</t>
  </si>
  <si>
    <t>Covert foreign financing of political actors, campaigns or messages is a serious challenge in (OUR COUNTRY)</t>
  </si>
  <si>
    <t>La manipulation d’informations, les ingérences et la désinformation étrangères, notamment lors des élections</t>
  </si>
  <si>
    <t>Foreign information manipulation, interference and disinformation, including in the context of elections</t>
  </si>
  <si>
    <t>D'autres tentatives pour déstabiliser les élections, comme les cyberattaques</t>
  </si>
  <si>
    <t>Other attempts to destabilize elections, such as cyberattacks</t>
  </si>
  <si>
    <t>Le manque de transparence quant au fait de savoir si les contenus politiques en ligne sont promus par le biais de nouvelles technologies comme l’intelligence artificielle (IA)</t>
  </si>
  <si>
    <t>Lack of transparency with regard to whether political content online is promoted through new technologies like Artificial Intelligence (AI)</t>
  </si>
  <si>
    <t>La méfiance croissante du public vis-à-vis des institutions et des processus démocratiques</t>
  </si>
  <si>
    <t>Growing public distrust towards democratic institutions and processes</t>
  </si>
  <si>
    <t>Les opportunités restreintes pour les citoyens de participer aux débats démocratiques et aux processus d’élaboration des politiques</t>
  </si>
  <si>
    <t>Limited opportunities for citizens to participate in democratic debates and policy-making processes</t>
  </si>
  <si>
    <t>Les opportunités restreintes pour les organisations de la société civile de participer aux débats démocratiques et aux processus d’élaboration des politiques</t>
  </si>
  <si>
    <t>Limited opportunities for civil society organisations to participate in democratic debates and policy-making processes</t>
  </si>
  <si>
    <t>La diminution des possibilités pour les citoyens d'accéder à des informations provenant de sources médiatiques fiables et indépendantes</t>
  </si>
  <si>
    <t>Declining opportunities for citizens to access information and news from independent and trustworthy media sources</t>
  </si>
  <si>
    <t>Les électeurs ont accès à des informations exactes et accessibles pour faire des choix éclairés dans le processus électoral</t>
  </si>
  <si>
    <t>Voters have access to accurate and accessible information to make informed choices on the electoral process</t>
  </si>
  <si>
    <t>Le processus électoral (listes électorales, décompte des voix, transmission des informations, etc.) est protégé contre les menaces, telles que les cyberattaques</t>
  </si>
  <si>
    <t>The electoral process (voter rolls, counting of votes, transmission of information, etc.) is protected against threats, such as cyberattacks</t>
  </si>
  <si>
    <t>Les candidats et les partis politiques bénéficient d’une couverture équitable pour exprimer leurs opinions</t>
  </si>
  <si>
    <t>Candidates and political parties are given equitable coverage to express their views</t>
  </si>
  <si>
    <t>Les débats électoraux et les campagnes électorales ne sont pas marqués par la désinformation et la manipulation des informations</t>
  </si>
  <si>
    <t>Electoral debates and campaigns are not marked by disinformation and manipulation of information</t>
  </si>
  <si>
    <t>Les candidats politiques et les représentants élus ne sont pas la cible de discours haineux, de violence, de menaces ou d’intimidations</t>
  </si>
  <si>
    <t>Political candidates and elected representatives are not subject to hate speech, violence, threats or intimidation</t>
  </si>
  <si>
    <t>QC9.1. Selon vous, à quel point les mesures suivantes sont-elles importantes pour garantir l’équité des campagnes électorales menées en ligne ?</t>
  </si>
  <si>
    <t>QC9.1. How important or not do you think the following measures are to ensure the fairness of electoral campaigns carried out online?</t>
  </si>
  <si>
    <t>L'origine et la source des messages politiques sont transparentes (p. ex. publicité politique payée, participation d'influenceurs dans les campagnes politiques)</t>
  </si>
  <si>
    <t>The origin and source of political messages is transparent (e.g. paid political advertising, involvement of influencers in political campaigns)</t>
  </si>
  <si>
    <t>QC9.2. Selon vous, à quel point les mesures suivantes sont-elles importantes pour garantir l’équité des campagnes électorales menées en ligne ?</t>
  </si>
  <si>
    <t>QC9.2. How important or not do you think the following measures are to ensure the fairness of electoral campaigns carried out online?</t>
  </si>
  <si>
    <t>Les plateformes en ligne sont transparentes concernant la manière dont leurs services pourraient être utilisés pour soutenir des partis politiques, des candidats et des organisations de campagnes</t>
  </si>
  <si>
    <t>Online platforms are transparent about how their services could be used to support political parties, candidates and campaign organisations</t>
  </si>
  <si>
    <t>QC9.3. Selon vous, à quel point les mesures suivantes sont-elles importantes pour garantir l’équité des campagnes électorales menées en ligne ?</t>
  </si>
  <si>
    <t>QC9.3. How important or not do you think the following measures are to ensure the fairness of electoral campaigns carried out online?</t>
  </si>
  <si>
    <t>Les plateformes en ligne s’efforcent de prévenir les risques potentiels de manipulation de leurs services, par exemple par le biais de faux comptes ou de robots générés par l’intelligence artificielle (IA) visant à perturber la démocratie.</t>
  </si>
  <si>
    <t>Online platforms work to avoid the possible risks of manipulation of their services, for example via fake accounts or bots generated by artificial intelligence (AI) aiming to disturb democracy</t>
  </si>
  <si>
    <t>QC9.4. Selon vous, à quel point les mesures suivantes sont-elles importantes pour garantir l’équité des campagnes électorales menées en ligne ?</t>
  </si>
  <si>
    <t>QC9.4. How important or not do you think the following measures are to ensure the fairness of electoral campaigns carried out online?</t>
  </si>
  <si>
    <t>L'égalité des chances est assurée aux partis et candidats politiques pour qu'ils accèdent à des services en ligne pour se disputer l'attention des électeurs</t>
  </si>
  <si>
    <t>Equal opportunities are provided to political parties and candidates to access online services to compete for voters’ attention</t>
  </si>
  <si>
    <t>QC9.5. Selon vous, à quel point les mesures suivantes sont-elles importantes pour garantir l’équité des campagnes électorales menées en ligne ?</t>
  </si>
  <si>
    <t>QC9.5. How important or not do you think the following measures are to ensure the fairness of electoral campaigns carried out online?</t>
  </si>
  <si>
    <t>Les sondages d’opinions politiques sont transparents, en particulier concernant les méthodes utilisées pour leur réalisation et la personne ou l’entité qui a commandé le sondage</t>
  </si>
  <si>
    <t>Political opinion polls are transparent, notably about the methods used to conduct them and the person or entity requesting the poll</t>
  </si>
  <si>
    <t>Oui, en tant que bénévole</t>
  </si>
  <si>
    <t>Yes, as a volunteer</t>
  </si>
  <si>
    <t>Oui, en tant que membre ou employé(e)</t>
  </si>
  <si>
    <t>Yes, as a member or employee</t>
  </si>
  <si>
    <t>Oui, en tant que donateur(-rice)</t>
  </si>
  <si>
    <t>Yes, as a donor</t>
  </si>
  <si>
    <t>Oui, en tant que bénéficiaire</t>
  </si>
  <si>
    <t>Yes, as a beneficiary</t>
  </si>
  <si>
    <t>Non, vous n'avez pas été directement impliqué(e) dans le travail d'une organisation de la société civile</t>
  </si>
  <si>
    <t>No, you have not been directly involved in the work of a civil society organisation</t>
  </si>
  <si>
    <t>Fourniture de services (comme l'éducation ou la santé)</t>
  </si>
  <si>
    <t>Delivering services (such as education or healthcare)</t>
  </si>
  <si>
    <t>Développement et soutien communautaires</t>
  </si>
  <si>
    <t>Community building and support</t>
  </si>
  <si>
    <t>Plaidoyer et influence sur les politiques</t>
  </si>
  <si>
    <t>Advocacy and policy influence</t>
  </si>
  <si>
    <t>Surveillance des actions gouvernementales</t>
  </si>
  <si>
    <t>Monitoring government actions</t>
  </si>
  <si>
    <t>Défense des droits des personnes</t>
  </si>
  <si>
    <t>Defending rights of individuals</t>
  </si>
  <si>
    <t>Dénonciation de la corruption</t>
  </si>
  <si>
    <t>Exposing corruption</t>
  </si>
  <si>
    <t>Sensibilisation et implication des citoyens</t>
  </si>
  <si>
    <t>Awareness raising and citizens’ engagement</t>
  </si>
  <si>
    <t>Des restrictions injustifiées dans leur travail (p. ex. concernant la liberté d'association, l'accès aux informations, etc.)</t>
  </si>
  <si>
    <t>Unjustified restrictions in their work (e.g. concerning the freedom of association, access to information, etc.)</t>
  </si>
  <si>
    <t>Des procédures judiciaires abusives/poursuites stratégiques altérant le débat public (SLAPP) (LIRE SI NÉCESSAIRE : les SLAPP sont des poursuites judiciaires infondées et abusives qui visent à réduire au silence ceux qui travaillent dans l'intérêt général sur des sujets comme les droits fondamentaux, l'environnement et l'accès du public aux informations.)</t>
  </si>
  <si>
    <t>Abusive legal actions / Strategic lawsuits against public participation (SLAPPs) (READ IF NECESSARY: SLAPPs are unfounded and abusive legal actions that aim to silence those working in the public interest on matters such as fundamental rights, the environment, and public access to information.)</t>
  </si>
  <si>
    <t>Des obstacles administratifs excessifs (p. ex. exigences et contrôles administratifs excessifs)</t>
  </si>
  <si>
    <t>Excessive administrative barriers (e.g. excessive administrative controls and requirements)</t>
  </si>
  <si>
    <t>Des menaces et attaques physiques ou verbales (p. ex. campagnes négatives, menaces ou harcèlement en ligne, vandalisme, attaques physiques contre les employés/bénévoles)</t>
  </si>
  <si>
    <t>Verbal or physical threats and attacks (e.g. negative campaigns, online threats or harassment, vandalism, physical attacks against employees/volunteers)</t>
  </si>
  <si>
    <t>Un manque de financement</t>
  </si>
  <si>
    <t>Lack of funding</t>
  </si>
  <si>
    <t>...jouent un rôle positif pour la démocratie et la société</t>
  </si>
  <si>
    <t>... play a positive role for democracy and society</t>
  </si>
  <si>
    <t>...sont une forme de consommation comme les autres</t>
  </si>
  <si>
    <t>... are a form of consumption like others</t>
  </si>
  <si>
    <t>...ne sont pas des sources d’information fiables</t>
  </si>
  <si>
    <t>... are not reliable sources of information</t>
  </si>
  <si>
    <t>Cela dépend (SPONTANÉ)</t>
  </si>
  <si>
    <t>It depends (SPONTANEOUS)</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</si>
  <si>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</si>
  <si>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</si>
  <si>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</si>
  <si>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</si>
  <si>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</si>
  <si>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</si>
  <si>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</si>
  <si>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</si>
  <si>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</si>
  <si>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</si>
  <si>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'Not satisfied'</t>
  </si>
  <si>
    <t>Au moins une fois par semaine</t>
  </si>
  <si>
    <t>At least once a week</t>
  </si>
  <si>
    <t>Une à trois fois par mois</t>
  </si>
  <si>
    <t>One to three times a month</t>
  </si>
  <si>
    <t>QC16.1. S'agissant des élections en Europe, dans quelle mesure êtes-vous inquiet(-ète) concernant les éléments suivants ?</t>
  </si>
  <si>
    <t>QC16.1. Regarding elections in Europe, how concerned are you about the following?</t>
  </si>
  <si>
    <t>Les résultats des élections qui sont manipulés</t>
  </si>
  <si>
    <t>Election results being manipulated</t>
  </si>
  <si>
    <t>Très inquiet(-ète)</t>
  </si>
  <si>
    <t>Very concerned</t>
  </si>
  <si>
    <t>Assez inquiet(-ète)</t>
  </si>
  <si>
    <t>Fairly concerned</t>
  </si>
  <si>
    <t>Pas très inquiet(-ète)</t>
  </si>
  <si>
    <t>Not very concerned</t>
  </si>
  <si>
    <t>Pas du tout inquiet(-ète)</t>
  </si>
  <si>
    <t>Not at all concerned</t>
  </si>
  <si>
    <t>Total 'Inquiet(-ète)'</t>
  </si>
  <si>
    <t>Total 'Concerned'</t>
  </si>
  <si>
    <t>Total 'Pas inquiet(-ète)'</t>
  </si>
  <si>
    <t>Total 'Not concerned'</t>
  </si>
  <si>
    <t>QC16.2. S'agissant des élections en Europe, dans quelle mesure êtes-vous inquiet(-ète) concernant les éléments suivants ?</t>
  </si>
  <si>
    <t>QC16.2. Regarding elections in Europe, how concerned are you about the following?</t>
  </si>
  <si>
    <t>Les cyberattaques qui influencent les élections</t>
  </si>
  <si>
    <t>Cyberattacks influencing elections</t>
  </si>
  <si>
    <t>QC16.3. S'agissant des élections en Europe, dans quelle mesure êtes-vous inquiet(-ète) concernant les éléments suivants ?</t>
  </si>
  <si>
    <t>QC16.3. Regarding elections in Europe, how concerned are you about the following?</t>
  </si>
  <si>
    <t>Les électeurs qui subissent des pressions dans leurs décisions</t>
  </si>
  <si>
    <t>Voters being pressured in their decisions</t>
  </si>
  <si>
    <t>QC16.4. S'agissant des élections en Europe, dans quelle mesure êtes-vous inquiet(-ète) concernant les éléments suivants ?</t>
  </si>
  <si>
    <t>QC16.4. Regarding elections in Europe, how concerned are you about the following?</t>
  </si>
  <si>
    <t>Les électeurs qui fondent leurs décisions sur la désinformation</t>
  </si>
  <si>
    <t>Voters basing decisions on disinformation</t>
  </si>
  <si>
    <t>QC16.5. S'agissant des élections en Europe, dans quelle mesure êtes-vous inquiet(-ète) concernant les éléments suivants ?</t>
  </si>
  <si>
    <t>QC16.5. Regarding elections in Europe, how concerned are you about the following?</t>
  </si>
  <si>
    <t>Les pays étrangers qui influencent les élections</t>
  </si>
  <si>
    <t>Foreign countries influencing elections</t>
  </si>
  <si>
    <t>QC17.1. Dans quelle mesure êtes-vous d'accord ou pas d'accord avec les affirmations suivantes sur les ingérences étrangères et la désinformation dans la politique de l’UE ?</t>
  </si>
  <si>
    <t>QC17.1. To what extent do you agree or disagree with the following statements about foreign interference and disinformation in EU politics?</t>
  </si>
  <si>
    <t>Les autorités (NATIONALITÉ) peuvent gérer efficacement les ingérences étrangères</t>
  </si>
  <si>
    <t>(NATIONALITY) authorities can handle foreign interference effectively</t>
  </si>
  <si>
    <t>QC17.2. Dans quelle mesure êtes-vous d'accord ou pas d'accord avec les affirmations suivantes sur les ingérences étrangères et la désinformation dans la politique de l’UE ?</t>
  </si>
  <si>
    <t>QC17.2. To what extent do you agree or disagree with the following statements about foreign interference and disinformation in EU politics?</t>
  </si>
  <si>
    <t>Les autorités (NATIONALITÉ) peuvent gérer efficacement la désinformation</t>
  </si>
  <si>
    <t>(NATIONALITY) authorities can handle disinformation effectively</t>
  </si>
  <si>
    <t>QC17.3. Dans quelle mesure êtes-vous d'accord ou pas d'accord avec les affirmations suivantes sur les ingérences étrangères et la désinformation dans la politique de l’UE ?</t>
  </si>
  <si>
    <t>QC17.3. To what extent do you agree or disagree with the following statements about foreign interference and disinformation in EU politics?</t>
  </si>
  <si>
    <t>L’UE est suffisamment équipée pour lutter contre les ingérences étrangères</t>
  </si>
  <si>
    <t>The EU is sufficiently equipped to tackle foreign interference</t>
  </si>
  <si>
    <t>QC17.4. Dans quelle mesure êtes-vous d'accord ou pas d'accord avec les affirmations suivantes sur les ingérences étrangères et la désinformation dans la politique de l’UE ?</t>
  </si>
  <si>
    <t>QC17.4. To what extent do you agree or disagree with the following statements about foreign interference and disinformation in EU politics?</t>
  </si>
  <si>
    <t>L’UE est suffisamment équipée pour lutter contre la désinformation</t>
  </si>
  <si>
    <t>The EU is sufficiently equipped to tackle disinformation</t>
  </si>
  <si>
    <t>QC17.5. Dans quelle mesure êtes-vous d'accord ou pas d'accord avec les affirmations suivantes sur les ingérences étrangères et la désinformation dans la politique de l’UE ?</t>
  </si>
  <si>
    <t>QC17.5. To what extent do you agree or disagree with the following statements about foreign interference and disinformation in EU politics?</t>
  </si>
  <si>
    <t>L’UE et les États membres coopèrent suffisamment pour lutter contre les ingérences étrangères et la désinformation</t>
  </si>
  <si>
    <t>The EU and Member States cooperate sufficiently to tackle foreign interference and disinformation</t>
  </si>
  <si>
    <t>15-24</t>
  </si>
  <si>
    <t>25-39</t>
  </si>
  <si>
    <t>40-54</t>
  </si>
  <si>
    <t>55+</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</si>
  <si>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</si>
  <si>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</si>
  <si>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</si>
  <si>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</si>
  <si>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</si>
  <si>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</si>
  <si>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</si>
  <si>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</si>
  <si>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</si>
  <si>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</si>
  <si>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</si>
  <si>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</si>
  <si>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</si>
  <si>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</si>
  <si>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</si>
  <si>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</si>
  <si>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15-</t>
  </si>
  <si>
    <t>16-19</t>
  </si>
  <si>
    <t>20+</t>
  </si>
  <si>
    <t>Toujours étudiant(e)</t>
  </si>
  <si>
    <t>Still Studying</t>
  </si>
  <si>
    <t>Pas fait d'études</t>
  </si>
  <si>
    <t>No full-time education</t>
  </si>
  <si>
    <t>Refus (SPONTANÉ)</t>
  </si>
  <si>
    <t>Refusal (SPONTANEOUS)</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</si>
  <si>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</si>
  <si>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</si>
  <si>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</si>
  <si>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</si>
  <si>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</si>
  <si>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</si>
  <si>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</si>
  <si>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</si>
  <si>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</si>
  <si>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</si>
  <si>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</si>
  <si>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</si>
  <si>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</si>
  <si>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</si>
  <si>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</si>
  <si>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</si>
  <si>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</si>
  <si>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</si>
  <si>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</si>
  <si>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</si>
  <si>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</si>
  <si>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</si>
  <si>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</si>
  <si>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</si>
  <si>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</si>
  <si>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</si>
  <si>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</si>
  <si>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</si>
  <si>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</si>
  <si>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</si>
  <si>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</si>
  <si>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</si>
  <si>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</si>
  <si>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</si>
  <si>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</si>
  <si>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</si>
  <si>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</si>
  <si>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</si>
  <si>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</si>
  <si>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</si>
  <si>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</si>
  <si>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</si>
  <si>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</si>
  <si>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</si>
  <si>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</si>
  <si>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</si>
  <si>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</si>
  <si>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</si>
  <si>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</si>
  <si>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</si>
  <si>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</si>
  <si>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</si>
  <si>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</si>
  <si>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</si>
  <si>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</si>
  <si>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</si>
  <si>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</si>
  <si>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</si>
  <si>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</si>
  <si>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</si>
  <si>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</si>
  <si>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</si>
  <si>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</si>
  <si>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</si>
  <si>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</si>
  <si>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</si>
  <si>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</si>
  <si>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</si>
  <si>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</si>
  <si>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</si>
  <si>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</si>
  <si>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</si>
  <si>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</si>
  <si>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</si>
  <si>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</si>
  <si>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</si>
  <si>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</si>
  <si>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</si>
  <si>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</si>
  <si>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</si>
  <si>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</si>
  <si>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</si>
  <si>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</si>
  <si>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</si>
  <si>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</si>
  <si>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</si>
  <si>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</si>
  <si>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</si>
  <si>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1</t>
  </si>
  <si>
    <t>4+</t>
  </si>
  <si>
    <t>0</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</si>
  <si>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</si>
  <si>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</si>
  <si>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</si>
  <si>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</si>
  <si>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</si>
  <si>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</si>
  <si>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</si>
  <si>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</si>
  <si>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</si>
  <si>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</si>
  <si>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</si>
  <si>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</si>
  <si>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Total 'Pas satisfait(e)'</t>
  </si>
  <si>
    <t>Total 'Not Satisfied'</t>
  </si>
  <si>
    <t>Pas très satisfait(e)</t>
  </si>
  <si>
    <t>Oui</t>
  </si>
  <si>
    <t>Yes</t>
  </si>
  <si>
    <t>Téléphone fixe uniquement</t>
  </si>
  <si>
    <t>Fixed telephone only</t>
  </si>
  <si>
    <t>Téléphone mobile uniquement</t>
  </si>
  <si>
    <t>Mobile telephone only</t>
  </si>
  <si>
    <t xml:space="preserve">Internet fixe uniquement </t>
  </si>
  <si>
    <t xml:space="preserve">Fixed internet only </t>
  </si>
  <si>
    <t xml:space="preserve">Téléphone fixe + téléphone mobile </t>
  </si>
  <si>
    <t xml:space="preserve">Fixed telephone + mobile telephone </t>
  </si>
  <si>
    <t xml:space="preserve">Téléphone fixe + internet fixe  </t>
  </si>
  <si>
    <t xml:space="preserve">Fixed telephone + fixed internet  </t>
  </si>
  <si>
    <t xml:space="preserve">Téléphone mobile + internet fixe  </t>
  </si>
  <si>
    <t xml:space="preserve">Mobile telephone + fixed internet  </t>
  </si>
  <si>
    <t>Téléphone fixe + téléphone mobile + internet fixe</t>
  </si>
  <si>
    <t>Fixed telephone + mobile telephone + fixed internet</t>
  </si>
  <si>
    <t xml:space="preserve">Aucun </t>
  </si>
  <si>
    <t xml:space="preserve">None </t>
  </si>
  <si>
    <t>D62.1. Pouvez-vous dire si… ?</t>
  </si>
  <si>
    <t>D62.1. Could you tell if…?</t>
  </si>
  <si>
    <t>Vous utilisez Internet chez vous, à votre domicile</t>
  </si>
  <si>
    <t>You use the Internet at home, in your home</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</si>
  <si>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</si>
  <si>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</si>
  <si>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</si>
  <si>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</si>
  <si>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</si>
  <si>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</si>
  <si>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</si>
  <si>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</si>
  <si>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</si>
  <si>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</si>
  <si>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</si>
  <si>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</si>
  <si>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</si>
  <si>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</si>
  <si>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</si>
  <si>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</si>
  <si>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</si>
  <si>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</si>
  <si>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</si>
  <si>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</si>
  <si>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</si>
  <si>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</si>
  <si>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</si>
  <si>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</si>
  <si>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</si>
  <si>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</si>
  <si>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</si>
  <si>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</si>
  <si>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</si>
  <si>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</si>
  <si>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D73.1. En ce moment, diriez-vous que, d’une manière générale, les choses vont dans la bonne direction ou dans la mauvaise direction… ?</t>
  </si>
  <si>
    <t>D73.1. At the present time, would you say that, in general, things are going in the right direction or in the wrong direction, in…?</t>
  </si>
  <si>
    <t>(NOTRE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</si>
  <si>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</si>
  <si>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</si>
  <si>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</si>
  <si>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</si>
  <si>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</si>
  <si>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</si>
  <si>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</si>
  <si>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</si>
  <si>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</si>
  <si>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</si>
  <si>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</si>
  <si>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</si>
  <si>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</si>
  <si>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</si>
  <si>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</si>
  <si>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</si>
  <si>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</si>
  <si>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</si>
  <si>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</si>
  <si>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</si>
  <si>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</si>
  <si>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</si>
  <si>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</si>
  <si>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</si>
  <si>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</si>
  <si>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</si>
  <si>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</si>
  <si>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</si>
  <si>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</si>
  <si>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</si>
  <si>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</si>
  <si>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</si>
  <si>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</si>
  <si>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</si>
  <si>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</si>
  <si>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</si>
  <si>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</si>
  <si>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</si>
  <si>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D72.1. Dans quelle mesure êtes-vous d’accord ou pas d’accord avec chacune des affirmations suivantes ?</t>
  </si>
  <si>
    <t>D72.1. To what extent do you agree or disagree with each of the following statements.</t>
  </si>
  <si>
    <t>Ma voix compte dans l'Union européenne</t>
  </si>
  <si>
    <t>My voice counts in the EU</t>
  </si>
  <si>
    <t>D72.2. Dans quelle mesure êtes-vous d’accord ou pas d’accord avec chacune des affirmations suivantes ?</t>
  </si>
  <si>
    <t>D72.2. To what extent do you agree or disagree with each of the following statements.</t>
  </si>
  <si>
    <t>Ma voix compte en (NOTRE PAYS)</t>
  </si>
  <si>
    <t>My voice counts in (OUR COUNTRY)</t>
  </si>
  <si>
    <t>D72.3. Dans quelle mesure êtes-vous d’accord ou pas d’accord avec chacune des affirmations suivantes ?</t>
  </si>
  <si>
    <t>D72.3. To what extent do you agree or disagree with each of the following statements.</t>
  </si>
  <si>
    <t>La voix de l'Union européenne compte dans le monde</t>
  </si>
  <si>
    <t>The EU's voice counts in the world</t>
  </si>
  <si>
    <t>1 Gauche</t>
  </si>
  <si>
    <t>1 Left</t>
  </si>
  <si>
    <t>10 Droite</t>
  </si>
  <si>
    <t>10 Right</t>
  </si>
  <si>
    <t>(1-4) Gauche</t>
  </si>
  <si>
    <t>(1-4) Left</t>
  </si>
  <si>
    <t>(5-6) Centre</t>
  </si>
  <si>
    <t>(7-10) Droite</t>
  </si>
  <si>
    <t>(7-10) Right</t>
  </si>
  <si>
    <t>(1-2)  Gauche</t>
  </si>
  <si>
    <t>(1-2) Left</t>
  </si>
  <si>
    <t>(3-4)</t>
  </si>
  <si>
    <t>(5-6)  Centre</t>
  </si>
  <si>
    <t>(7-8)</t>
  </si>
  <si>
    <t>(9-10) Droite</t>
  </si>
  <si>
    <t>(9-10) Right</t>
  </si>
  <si>
    <t>Refus</t>
  </si>
  <si>
    <t>Refusal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</si>
</sst>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
      <u/>
      <sz val="11"/>
      <color theme="10"/>
      <name val="Calibri"/>
      <family val="2"/>
      <scheme val="minor"/>
    </font>
    <font>
      <sz val="11"/>
      <color rgb="FF000000"/>
      <name val="Calibri"/>
      <family val="2"/>
    </font>
  </fonts>
  <fills count="2">
    <fill>
      <patternFill patternType="none"/>
    </fill>
    <fill>
      <patternFill patternType="gray125"/>
    </fill>
  </fills>
  <borders count="10">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40">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9" fontId="6" fillId="0" borderId="4" xfId="0" applyNumberFormat="1" applyFont="1" applyBorder="1"/>
    <xf numFmtId="0" fontId="6" fillId="0" borderId="4" xfId="0" applyFont="1" applyBorder="1" applyAlignment="1">
      <alignment horizontal="right"/>
    </xf>
    <xf numFmtId="0" fontId="11" fillId="0" borderId="1" xfId="0" applyFont="1" applyBorder="1"/>
    <xf numFmtId="0" fontId="4" fillId="0" borderId="0" xfId="0" applyFont="1"/>
    <xf numFmtId="0" fontId="10" fillId="0" borderId="1" xfId="1" applyFill="1" applyBorder="1" applyAlignment="1"/>
    <xf numFmtId="0" fontId="6" fillId="0" borderId="6" xfId="0" applyFont="1" applyBorder="1" applyAlignment="1">
      <alignment wrapText="1"/>
    </xf>
    <xf numFmtId="0" fontId="7" fillId="0" borderId="6" xfId="0" applyFont="1" applyBorder="1"/>
    <xf numFmtId="0" fontId="11" fillId="0" borderId="7" xfId="0" applyFont="1" applyBorder="1"/>
    <xf numFmtId="0" fontId="4" fillId="0" borderId="6" xfId="0" applyFont="1" applyBorder="1" applyAlignment="1">
      <alignment wrapText="1"/>
    </xf>
    <xf numFmtId="0" fontId="6" fillId="0" borderId="8" xfId="0" applyFont="1" applyBorder="1" applyAlignment="1">
      <alignment wrapText="1"/>
    </xf>
    <xf numFmtId="0" fontId="4" fillId="0" borderId="9" xfId="0" applyFont="1" applyBorder="1" applyAlignment="1">
      <alignment wrapText="1"/>
    </xf>
    <xf numFmtId="9" fontId="6" fillId="0" borderId="9" xfId="0" applyNumberFormat="1" applyFont="1" applyBorder="1"/>
    <xf numFmtId="0" fontId="4" fillId="0" borderId="8" xfId="0" applyFont="1" applyBorder="1" applyAlignment="1">
      <alignment wrapText="1"/>
    </xf>
    <xf numFmtId="0" fontId="6" fillId="0" borderId="9" xfId="0" quotePrefix="1" applyFont="1" applyBorder="1"/>
    <xf numFmtId="0" fontId="5" fillId="0" borderId="3" xfId="0" applyFont="1" applyBorder="1" applyAlignment="1">
      <alignment horizontal="left" vertical="center"/>
    </xf>
    <xf numFmtId="0" fontId="0" fillId="0" borderId="5" xfId="0" applyBorder="1"/>
    <xf numFmtId="0" fontId="4" fillId="0" borderId="0" xfId="0" applyFont="1" applyAlignment="1">
      <alignment wrapText="1"/>
    </xf>
    <xf numFmtId="0" fontId="0" fillId="0" borderId="2" xfId="0" applyBorder="1"/>
    <xf numFmtId="0" fontId="0" fillId="0" borderId="0" xfId="0"/>
    <xf numFmtId="0" fontId="5" fillId="0" borderId="3" xfId="0" applyFont="1" applyBorder="1"/>
    <xf numFmtId="0" fontId="5" fillId="0" borderId="5" xfId="0" applyFont="1" applyBorder="1"/>
    <xf numFmtId="0" fontId="4" fillId="0" borderId="1" xfId="0" applyFont="1" applyBorder="1" applyAlignment="1">
      <alignment wrapText="1"/>
    </xf>
    <xf numFmtId="0" fontId="11" fillId="0" borderId="1" xfId="0" applyFont="1" applyBorder="1"/>
    <xf numFmtId="0" fontId="11" fillId="0" borderId="3" xfId="0" applyFont="1" applyBorder="1"/>
    <xf numFmtId="0" fontId="11" fillId="0" borderId="5" xfId="0" applyFont="1" applyBorder="1"/>
    <xf numFmtId="0" fontId="11" fillId="0" borderId="4" xfId="0" applyFont="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ustomXml" Target="../customXml/item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customXml" Target="../customXml/item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9"/>
  <sheetViews>
    <sheetView workbookViewId="0">
      <pane ySplit="5" topLeftCell="A6" activePane="bottomLeft" state="frozen"/>
      <selection pane="bottomLeft"/>
    </sheetView>
  </sheetViews>
  <sheetFormatPr defaultRowHeight="14.5" x14ac:dyDescent="0.35"/>
  <cols>
    <col min="1" max="1" width="12.453125" customWidth="1"/>
    <col min="2" max="3" width="100" customWidth="1"/>
  </cols>
  <sheetData>
    <row r="1" spans="1:3" ht="15.5" x14ac:dyDescent="0.35">
      <c r="A1" s="1" t="s">
        <v>0</v>
      </c>
      <c r="B1" s="2" t="s">
        <v>1</v>
      </c>
    </row>
    <row r="2" spans="1:3" ht="15.5" x14ac:dyDescent="0.35">
      <c r="A2" s="1" t="s">
        <v>2</v>
      </c>
      <c r="B2" s="3" t="s">
        <v>3</v>
      </c>
    </row>
    <row r="3" spans="1:3" ht="15.5" x14ac:dyDescent="0.35">
      <c r="A3" s="1" t="s">
        <v>4</v>
      </c>
      <c r="B3" s="2" t="s">
        <v>5</v>
      </c>
    </row>
    <row r="5" spans="1:3" x14ac:dyDescent="0.35">
      <c r="A5" s="4" t="s">
        <v>6</v>
      </c>
      <c r="B5" s="4" t="s">
        <v>7</v>
      </c>
      <c r="C5" s="4" t="s">
        <v>8</v>
      </c>
    </row>
    <row r="6" spans="1:3" x14ac:dyDescent="0.35">
      <c r="A6" s="5" t="str">
        <f>HYPERLINK("#'B'!A1", "B")</f>
        <v>B</v>
      </c>
      <c r="B6" s="6" t="s">
        <v>9</v>
      </c>
      <c r="C6" s="6" t="s">
        <v>10</v>
      </c>
    </row>
    <row r="7" spans="1:3" ht="26" x14ac:dyDescent="0.35">
      <c r="A7" s="5" t="str">
        <f>HYPERLINK("#'QA1'!A1", "QA1")</f>
        <v>QA1</v>
      </c>
      <c r="B7" s="6" t="s">
        <v>11</v>
      </c>
      <c r="C7" s="6" t="s">
        <v>12</v>
      </c>
    </row>
    <row r="8" spans="1:3" x14ac:dyDescent="0.35">
      <c r="A8" s="5" t="str">
        <f>HYPERLINK("#'QA2'!A1", "QA2")</f>
        <v>QA2</v>
      </c>
      <c r="B8" s="6" t="s">
        <v>13</v>
      </c>
      <c r="C8" s="6" t="s">
        <v>14</v>
      </c>
    </row>
    <row r="9" spans="1:3" ht="26" x14ac:dyDescent="0.35">
      <c r="A9" s="5" t="str">
        <f>HYPERLINK("#'D78'!A1", "D78")</f>
        <v>D78</v>
      </c>
      <c r="B9" s="6" t="s">
        <v>15</v>
      </c>
      <c r="C9" s="6" t="s">
        <v>16</v>
      </c>
    </row>
    <row r="10" spans="1:3" x14ac:dyDescent="0.35">
      <c r="A10" s="5" t="str">
        <f>HYPERLINK("#'QA3'!A1", "QA3")</f>
        <v>QA3</v>
      </c>
      <c r="B10" s="6" t="s">
        <v>17</v>
      </c>
      <c r="C10" s="6" t="s">
        <v>18</v>
      </c>
    </row>
    <row r="11" spans="1:3" x14ac:dyDescent="0.35">
      <c r="A11" s="5" t="str">
        <f>HYPERLINK("#'QA3bis'!A1", "QA3bis")</f>
        <v>QA3bis</v>
      </c>
      <c r="B11" s="6" t="s">
        <v>19</v>
      </c>
      <c r="C11" s="6" t="s">
        <v>20</v>
      </c>
    </row>
    <row r="12" spans="1:3" ht="26" x14ac:dyDescent="0.35">
      <c r="A12" s="5" t="str">
        <f>HYPERLINK("#'QA4'!A1", "QA4")</f>
        <v>QA4</v>
      </c>
      <c r="B12" s="6" t="s">
        <v>21</v>
      </c>
      <c r="C12" s="6" t="s">
        <v>22</v>
      </c>
    </row>
    <row r="13" spans="1:3" ht="38.5" x14ac:dyDescent="0.35">
      <c r="A13" s="5" t="str">
        <f>HYPERLINK("#'QA5a'!A1", "QA5a")</f>
        <v>QA5a</v>
      </c>
      <c r="B13" s="6" t="s">
        <v>23</v>
      </c>
      <c r="C13" s="6" t="s">
        <v>24</v>
      </c>
    </row>
    <row r="14" spans="1:3" x14ac:dyDescent="0.35">
      <c r="A14" s="5" t="str">
        <f>HYPERLINK("#'QA5b'!A1", "QA5b")</f>
        <v>QA5b</v>
      </c>
      <c r="B14" s="6" t="s">
        <v>25</v>
      </c>
      <c r="C14" s="6" t="s">
        <v>26</v>
      </c>
    </row>
    <row r="15" spans="1:3" ht="38.5" x14ac:dyDescent="0.35">
      <c r="A15" s="5" t="str">
        <f>HYPERLINK("#'QA5ab'!A1", "QA5ab")</f>
        <v>QA5ab</v>
      </c>
      <c r="B15" s="6" t="s">
        <v>27</v>
      </c>
      <c r="C15" s="6" t="s">
        <v>28</v>
      </c>
    </row>
    <row r="16" spans="1:3" ht="26" x14ac:dyDescent="0.35">
      <c r="A16" s="5" t="str">
        <f>HYPERLINK("#'SD22a'!A1", "SD22a")</f>
        <v>SD22a</v>
      </c>
      <c r="B16" s="6" t="s">
        <v>29</v>
      </c>
      <c r="C16" s="6" t="s">
        <v>30</v>
      </c>
    </row>
    <row r="17" spans="1:3" x14ac:dyDescent="0.35">
      <c r="A17" s="5" t="str">
        <f>HYPERLINK("#'QA6a'!A1", "QA6a")</f>
        <v>QA6a</v>
      </c>
      <c r="B17" s="6" t="s">
        <v>31</v>
      </c>
      <c r="C17" s="6" t="s">
        <v>32</v>
      </c>
    </row>
    <row r="18" spans="1:3" x14ac:dyDescent="0.35">
      <c r="A18" s="5" t="str">
        <f>HYPERLINK("#'QA6b'!A1", "QA6b")</f>
        <v>QA6b</v>
      </c>
      <c r="B18" s="6" t="s">
        <v>33</v>
      </c>
      <c r="C18" s="6" t="s">
        <v>34</v>
      </c>
    </row>
    <row r="19" spans="1:3" ht="26" x14ac:dyDescent="0.35">
      <c r="A19" s="5" t="str">
        <f>HYPERLINK("#'QA6ab'!A1", "QA6ab")</f>
        <v>QA6ab</v>
      </c>
      <c r="B19" s="6" t="s">
        <v>35</v>
      </c>
      <c r="C19" s="6" t="s">
        <v>36</v>
      </c>
    </row>
    <row r="20" spans="1:3" ht="26" x14ac:dyDescent="0.35">
      <c r="A20" s="5" t="str">
        <f>HYPERLINK("#'QA7a'!A1", "QA7a")</f>
        <v>QA7a</v>
      </c>
      <c r="B20" s="6" t="s">
        <v>37</v>
      </c>
      <c r="C20" s="6" t="s">
        <v>38</v>
      </c>
    </row>
    <row r="21" spans="1:3" x14ac:dyDescent="0.35">
      <c r="A21" s="5" t="str">
        <f>HYPERLINK("#'QA7b'!A1", "QA7b")</f>
        <v>QA7b</v>
      </c>
      <c r="B21" s="6" t="s">
        <v>39</v>
      </c>
      <c r="C21" s="6" t="s">
        <v>40</v>
      </c>
    </row>
    <row r="22" spans="1:3" ht="26" x14ac:dyDescent="0.35">
      <c r="A22" s="5" t="str">
        <f>HYPERLINK("#'QA7ab'!A1", "QA7ab")</f>
        <v>QA7ab</v>
      </c>
      <c r="B22" s="6" t="s">
        <v>41</v>
      </c>
      <c r="C22" s="6" t="s">
        <v>42</v>
      </c>
    </row>
    <row r="23" spans="1:3" ht="26" x14ac:dyDescent="0.35">
      <c r="A23" s="5" t="str">
        <f>HYPERLINK("#'QA8'!A1", "QA8")</f>
        <v>QA8</v>
      </c>
      <c r="B23" s="6" t="s">
        <v>43</v>
      </c>
      <c r="C23" s="6" t="s">
        <v>44</v>
      </c>
    </row>
    <row r="24" spans="1:3" ht="26" x14ac:dyDescent="0.35">
      <c r="A24" s="5" t="str">
        <f>HYPERLINK("#'QA9_1'!A1", "QA9_1")</f>
        <v>QA9_1</v>
      </c>
      <c r="B24" s="6" t="s">
        <v>45</v>
      </c>
      <c r="C24" s="6" t="s">
        <v>46</v>
      </c>
    </row>
    <row r="25" spans="1:3" ht="26" x14ac:dyDescent="0.35">
      <c r="A25" s="5" t="str">
        <f>HYPERLINK("#'QA9_2'!A1", "QA9_2")</f>
        <v>QA9_2</v>
      </c>
      <c r="B25" s="6" t="s">
        <v>47</v>
      </c>
      <c r="C25" s="6" t="s">
        <v>48</v>
      </c>
    </row>
    <row r="26" spans="1:3" ht="26" x14ac:dyDescent="0.35">
      <c r="A26" s="5" t="str">
        <f>HYPERLINK("#'QA10a'!A1", "QA10a")</f>
        <v>QA10a</v>
      </c>
      <c r="B26" s="6" t="s">
        <v>49</v>
      </c>
      <c r="C26" s="6" t="s">
        <v>50</v>
      </c>
    </row>
    <row r="27" spans="1:3" x14ac:dyDescent="0.35">
      <c r="A27" s="5" t="str">
        <f>HYPERLINK("#'QA10b'!A1", "QA10b")</f>
        <v>QA10b</v>
      </c>
      <c r="B27" s="6" t="s">
        <v>51</v>
      </c>
      <c r="C27" s="6" t="s">
        <v>52</v>
      </c>
    </row>
    <row r="28" spans="1:3" ht="26" x14ac:dyDescent="0.35">
      <c r="A28" s="5" t="str">
        <f>HYPERLINK("#'QA10ab'!A1", "QA10ab")</f>
        <v>QA10ab</v>
      </c>
      <c r="B28" s="6" t="s">
        <v>53</v>
      </c>
      <c r="C28" s="6" t="s">
        <v>54</v>
      </c>
    </row>
    <row r="29" spans="1:3" ht="26" x14ac:dyDescent="0.35">
      <c r="A29" s="5" t="str">
        <f>HYPERLINK("#'QA11'!A1", "QA11")</f>
        <v>QA11</v>
      </c>
      <c r="B29" s="6" t="s">
        <v>55</v>
      </c>
      <c r="C29" s="6" t="s">
        <v>56</v>
      </c>
    </row>
    <row r="30" spans="1:3" ht="26" x14ac:dyDescent="0.35">
      <c r="A30" s="5" t="str">
        <f>HYPERLINK("#'QA12'!A1", "QA12")</f>
        <v>QA12</v>
      </c>
      <c r="B30" s="6" t="s">
        <v>57</v>
      </c>
      <c r="C30" s="6" t="s">
        <v>58</v>
      </c>
    </row>
    <row r="31" spans="1:3" ht="26" x14ac:dyDescent="0.35">
      <c r="A31" s="5" t="str">
        <f>HYPERLINK("#'QA13'!A1", "QA13")</f>
        <v>QA13</v>
      </c>
      <c r="B31" s="6" t="s">
        <v>59</v>
      </c>
      <c r="C31" s="6" t="s">
        <v>60</v>
      </c>
    </row>
    <row r="32" spans="1:3" ht="38.5" x14ac:dyDescent="0.35">
      <c r="A32" s="5" t="str">
        <f>HYPERLINK("#'QA14_1'!A1", "QA14_1")</f>
        <v>QA14_1</v>
      </c>
      <c r="B32" s="6" t="s">
        <v>61</v>
      </c>
      <c r="C32" s="6" t="s">
        <v>62</v>
      </c>
    </row>
    <row r="33" spans="1:3" ht="26" x14ac:dyDescent="0.35">
      <c r="A33" s="5" t="str">
        <f>HYPERLINK("#'QA14_2'!A1", "QA14_2")</f>
        <v>QA14_2</v>
      </c>
      <c r="B33" s="6" t="s">
        <v>63</v>
      </c>
      <c r="C33" s="6" t="s">
        <v>64</v>
      </c>
    </row>
    <row r="34" spans="1:3" ht="38.5" x14ac:dyDescent="0.35">
      <c r="A34" s="5" t="str">
        <f>HYPERLINK("#'QA14_3'!A1", "QA14_3")</f>
        <v>QA14_3</v>
      </c>
      <c r="B34" s="6" t="s">
        <v>65</v>
      </c>
      <c r="C34" s="6" t="s">
        <v>66</v>
      </c>
    </row>
    <row r="35" spans="1:3" ht="26" x14ac:dyDescent="0.35">
      <c r="A35" s="5" t="str">
        <f>HYPERLINK("#'QA14_4'!A1", "QA14_4")</f>
        <v>QA14_4</v>
      </c>
      <c r="B35" s="6" t="s">
        <v>67</v>
      </c>
      <c r="C35" s="6" t="s">
        <v>68</v>
      </c>
    </row>
    <row r="36" spans="1:3" ht="38.5" x14ac:dyDescent="0.35">
      <c r="A36" s="5" t="str">
        <f>HYPERLINK("#'QA14_5'!A1", "QA14_5")</f>
        <v>QA14_5</v>
      </c>
      <c r="B36" s="6" t="s">
        <v>69</v>
      </c>
      <c r="C36" s="6" t="s">
        <v>70</v>
      </c>
    </row>
    <row r="37" spans="1:3" ht="26" x14ac:dyDescent="0.35">
      <c r="A37" s="5" t="str">
        <f>HYPERLINK("#'QA15'!A1", "QA15")</f>
        <v>QA15</v>
      </c>
      <c r="B37" s="6" t="s">
        <v>71</v>
      </c>
      <c r="C37" s="6" t="s">
        <v>72</v>
      </c>
    </row>
    <row r="38" spans="1:3" ht="51" x14ac:dyDescent="0.35">
      <c r="A38" s="5" t="str">
        <f>HYPERLINK("#'QA16'!A1", "QA16")</f>
        <v>QA16</v>
      </c>
      <c r="B38" s="6" t="s">
        <v>73</v>
      </c>
      <c r="C38" s="6" t="s">
        <v>74</v>
      </c>
    </row>
    <row r="39" spans="1:3" ht="38.5" x14ac:dyDescent="0.35">
      <c r="A39" s="5" t="str">
        <f>HYPERLINK("#'QA17'!A1", "QA17")</f>
        <v>QA17</v>
      </c>
      <c r="B39" s="6" t="s">
        <v>75</v>
      </c>
      <c r="C39" s="6" t="s">
        <v>76</v>
      </c>
    </row>
    <row r="40" spans="1:3" ht="26" x14ac:dyDescent="0.35">
      <c r="A40" s="5" t="str">
        <f>HYPERLINK("#'SD27'!A1", "SD27")</f>
        <v>SD27</v>
      </c>
      <c r="B40" s="6" t="s">
        <v>77</v>
      </c>
      <c r="C40" s="6" t="s">
        <v>78</v>
      </c>
    </row>
    <row r="41" spans="1:3" x14ac:dyDescent="0.35">
      <c r="A41" s="5" t="str">
        <f>HYPERLINK("#'QB1'!A1", "QB1")</f>
        <v>QB1</v>
      </c>
      <c r="B41" s="6" t="s">
        <v>79</v>
      </c>
      <c r="C41" s="6" t="s">
        <v>80</v>
      </c>
    </row>
    <row r="42" spans="1:3" x14ac:dyDescent="0.35">
      <c r="A42" s="5" t="str">
        <f>HYPERLINK("#'QB2'!A1", "QB2")</f>
        <v>QB2</v>
      </c>
      <c r="B42" s="6" t="s">
        <v>81</v>
      </c>
      <c r="C42" s="6" t="s">
        <v>82</v>
      </c>
    </row>
    <row r="43" spans="1:3" ht="26" x14ac:dyDescent="0.35">
      <c r="A43" s="5" t="str">
        <f>HYPERLINK("#'QB3'!A1", "QB3")</f>
        <v>QB3</v>
      </c>
      <c r="B43" s="6" t="s">
        <v>83</v>
      </c>
      <c r="C43" s="6" t="s">
        <v>84</v>
      </c>
    </row>
    <row r="44" spans="1:3" ht="38.5" x14ac:dyDescent="0.35">
      <c r="A44" s="5" t="str">
        <f>HYPERLINK("#'QB4'!A1", "QB4")</f>
        <v>QB4</v>
      </c>
      <c r="B44" s="6" t="s">
        <v>85</v>
      </c>
      <c r="C44" s="6" t="s">
        <v>86</v>
      </c>
    </row>
    <row r="45" spans="1:3" ht="26" x14ac:dyDescent="0.35">
      <c r="A45" s="5" t="str">
        <f>HYPERLINK("#'QB5'!A1", "QB5")</f>
        <v>QB5</v>
      </c>
      <c r="B45" s="6" t="s">
        <v>87</v>
      </c>
      <c r="C45" s="6" t="s">
        <v>88</v>
      </c>
    </row>
    <row r="46" spans="1:3" ht="26" x14ac:dyDescent="0.35">
      <c r="A46" s="5" t="str">
        <f>HYPERLINK("#'QB6'!A1", "QB6")</f>
        <v>QB6</v>
      </c>
      <c r="B46" s="6" t="s">
        <v>89</v>
      </c>
      <c r="C46" s="6" t="s">
        <v>90</v>
      </c>
    </row>
    <row r="47" spans="1:3" ht="38.5" x14ac:dyDescent="0.35">
      <c r="A47" s="5" t="str">
        <f>HYPERLINK("#'QB7_1'!A1", "QB7_1")</f>
        <v>QB7_1</v>
      </c>
      <c r="B47" s="6" t="s">
        <v>91</v>
      </c>
      <c r="C47" s="6" t="s">
        <v>92</v>
      </c>
    </row>
    <row r="48" spans="1:3" ht="38.5" x14ac:dyDescent="0.35">
      <c r="A48" s="5" t="str">
        <f>HYPERLINK("#'QB7_2'!A1", "QB7_2")</f>
        <v>QB7_2</v>
      </c>
      <c r="B48" s="6" t="s">
        <v>93</v>
      </c>
      <c r="C48" s="6" t="s">
        <v>94</v>
      </c>
    </row>
    <row r="49" spans="1:3" ht="38.5" x14ac:dyDescent="0.35">
      <c r="A49" s="5" t="str">
        <f>HYPERLINK("#'QB7_3'!A1", "QB7_3")</f>
        <v>QB7_3</v>
      </c>
      <c r="B49" s="6" t="s">
        <v>95</v>
      </c>
      <c r="C49" s="6" t="s">
        <v>96</v>
      </c>
    </row>
    <row r="50" spans="1:3" ht="38.5" x14ac:dyDescent="0.35">
      <c r="A50" s="5" t="str">
        <f>HYPERLINK("#'QB7_4'!A1", "QB7_4")</f>
        <v>QB7_4</v>
      </c>
      <c r="B50" s="6" t="s">
        <v>97</v>
      </c>
      <c r="C50" s="6" t="s">
        <v>98</v>
      </c>
    </row>
    <row r="51" spans="1:3" ht="26" x14ac:dyDescent="0.35">
      <c r="A51" s="5" t="str">
        <f>HYPERLINK("#'QB8a'!A1", "QB8a")</f>
        <v>QB8a</v>
      </c>
      <c r="B51" s="6" t="s">
        <v>99</v>
      </c>
      <c r="C51" s="6" t="s">
        <v>100</v>
      </c>
    </row>
    <row r="52" spans="1:3" x14ac:dyDescent="0.35">
      <c r="A52" s="5" t="str">
        <f>HYPERLINK("#'QB8b'!A1", "QB8b")</f>
        <v>QB8b</v>
      </c>
      <c r="B52" s="6" t="s">
        <v>101</v>
      </c>
      <c r="C52" s="6" t="s">
        <v>102</v>
      </c>
    </row>
    <row r="53" spans="1:3" ht="38.5" x14ac:dyDescent="0.35">
      <c r="A53" s="5" t="str">
        <f>HYPERLINK("#'QB8ab'!A1", "QB8ab")</f>
        <v>QB8ab</v>
      </c>
      <c r="B53" s="6" t="s">
        <v>103</v>
      </c>
      <c r="C53" s="6" t="s">
        <v>104</v>
      </c>
    </row>
    <row r="54" spans="1:3" ht="38.5" x14ac:dyDescent="0.35">
      <c r="A54" s="5" t="str">
        <f>HYPERLINK("#'QB9a'!A1", "QB9a")</f>
        <v>QB9a</v>
      </c>
      <c r="B54" s="6" t="s">
        <v>105</v>
      </c>
      <c r="C54" s="6" t="s">
        <v>106</v>
      </c>
    </row>
    <row r="55" spans="1:3" x14ac:dyDescent="0.35">
      <c r="A55" s="5" t="str">
        <f>HYPERLINK("#'QB9b'!A1", "QB9b")</f>
        <v>QB9b</v>
      </c>
      <c r="B55" s="6" t="s">
        <v>107</v>
      </c>
      <c r="C55" s="6" t="s">
        <v>108</v>
      </c>
    </row>
    <row r="56" spans="1:3" ht="38.5" x14ac:dyDescent="0.35">
      <c r="A56" s="5" t="str">
        <f>HYPERLINK("#'QB9ab'!A1", "QB9ab")</f>
        <v>QB9ab</v>
      </c>
      <c r="B56" s="6" t="s">
        <v>109</v>
      </c>
      <c r="C56" s="6" t="s">
        <v>110</v>
      </c>
    </row>
    <row r="57" spans="1:3" ht="26" x14ac:dyDescent="0.35">
      <c r="A57" s="5" t="str">
        <f>HYPERLINK("#'QB10'!A1", "QB10")</f>
        <v>QB10</v>
      </c>
      <c r="B57" s="6" t="s">
        <v>111</v>
      </c>
      <c r="C57" s="6" t="s">
        <v>112</v>
      </c>
    </row>
    <row r="58" spans="1:3" ht="63.5" x14ac:dyDescent="0.35">
      <c r="A58" s="5" t="str">
        <f>HYPERLINK("#'QB11_1'!A1", "QB11_1")</f>
        <v>QB11_1</v>
      </c>
      <c r="B58" s="6" t="s">
        <v>113</v>
      </c>
      <c r="C58" s="6" t="s">
        <v>114</v>
      </c>
    </row>
    <row r="59" spans="1:3" ht="63.5" x14ac:dyDescent="0.35">
      <c r="A59" s="5" t="str">
        <f>HYPERLINK("#'QB11_2'!A1", "QB11_2")</f>
        <v>QB11_2</v>
      </c>
      <c r="B59" s="6" t="s">
        <v>115</v>
      </c>
      <c r="C59" s="6" t="s">
        <v>116</v>
      </c>
    </row>
    <row r="60" spans="1:3" ht="51" x14ac:dyDescent="0.35">
      <c r="A60" s="5" t="str">
        <f>HYPERLINK("#'QB11_3'!A1", "QB11_3")</f>
        <v>QB11_3</v>
      </c>
      <c r="B60" s="6" t="s">
        <v>117</v>
      </c>
      <c r="C60" s="6" t="s">
        <v>118</v>
      </c>
    </row>
    <row r="61" spans="1:3" ht="63.5" x14ac:dyDescent="0.35">
      <c r="A61" s="5" t="str">
        <f>HYPERLINK("#'QB11_4'!A1", "QB11_4")</f>
        <v>QB11_4</v>
      </c>
      <c r="B61" s="6" t="s">
        <v>119</v>
      </c>
      <c r="C61" s="6" t="s">
        <v>120</v>
      </c>
    </row>
    <row r="62" spans="1:3" ht="26" x14ac:dyDescent="0.35">
      <c r="A62" s="5" t="str">
        <f>HYPERLINK("#'QB12'!A1", "QB12")</f>
        <v>QB12</v>
      </c>
      <c r="B62" s="6" t="s">
        <v>121</v>
      </c>
      <c r="C62" s="6" t="s">
        <v>122</v>
      </c>
    </row>
    <row r="63" spans="1:3" ht="26" x14ac:dyDescent="0.35">
      <c r="A63" s="5" t="str">
        <f>HYPERLINK("#'QB13_1'!A1", "QB13_1")</f>
        <v>QB13_1</v>
      </c>
      <c r="B63" s="6" t="s">
        <v>123</v>
      </c>
      <c r="C63" s="6" t="s">
        <v>124</v>
      </c>
    </row>
    <row r="64" spans="1:3" ht="26" x14ac:dyDescent="0.35">
      <c r="A64" s="5" t="str">
        <f>HYPERLINK("#'QB13_2'!A1", "QB13_2")</f>
        <v>QB13_2</v>
      </c>
      <c r="B64" s="6" t="s">
        <v>125</v>
      </c>
      <c r="C64" s="6" t="s">
        <v>126</v>
      </c>
    </row>
    <row r="65" spans="1:3" ht="26" x14ac:dyDescent="0.35">
      <c r="A65" s="5" t="str">
        <f>HYPERLINK("#'QB13_3'!A1", "QB13_3")</f>
        <v>QB13_3</v>
      </c>
      <c r="B65" s="6" t="s">
        <v>127</v>
      </c>
      <c r="C65" s="6" t="s">
        <v>128</v>
      </c>
    </row>
    <row r="66" spans="1:3" ht="38.5" x14ac:dyDescent="0.35">
      <c r="A66" s="5" t="str">
        <f>HYPERLINK("#'QB13_4'!A1", "QB13_4")</f>
        <v>QB13_4</v>
      </c>
      <c r="B66" s="6" t="s">
        <v>129</v>
      </c>
      <c r="C66" s="6" t="s">
        <v>130</v>
      </c>
    </row>
    <row r="67" spans="1:3" ht="26" x14ac:dyDescent="0.35">
      <c r="A67" s="5" t="str">
        <f>HYPERLINK("#'QB13_5'!A1", "QB13_5")</f>
        <v>QB13_5</v>
      </c>
      <c r="B67" s="6" t="s">
        <v>131</v>
      </c>
      <c r="C67" s="6" t="s">
        <v>132</v>
      </c>
    </row>
    <row r="68" spans="1:3" ht="26" x14ac:dyDescent="0.35">
      <c r="A68" s="5" t="str">
        <f>HYPERLINK("#'QB13_6'!A1", "QB13_6")</f>
        <v>QB13_6</v>
      </c>
      <c r="B68" s="6" t="s">
        <v>133</v>
      </c>
      <c r="C68" s="6" t="s">
        <v>134</v>
      </c>
    </row>
    <row r="69" spans="1:3" ht="38.5" x14ac:dyDescent="0.35">
      <c r="A69" s="5" t="str">
        <f>HYPERLINK("#'QCSD'!A1", "QCSD")</f>
        <v>QCSD</v>
      </c>
      <c r="B69" s="6" t="s">
        <v>135</v>
      </c>
      <c r="C69" s="6" t="s">
        <v>136</v>
      </c>
    </row>
    <row r="70" spans="1:3" ht="26" x14ac:dyDescent="0.35">
      <c r="A70" s="5" t="str">
        <f>HYPERLINK("#'QC1'!A1", "QC1")</f>
        <v>QC1</v>
      </c>
      <c r="B70" s="6" t="s">
        <v>137</v>
      </c>
      <c r="C70" s="6" t="s">
        <v>138</v>
      </c>
    </row>
    <row r="71" spans="1:3" ht="26" x14ac:dyDescent="0.35">
      <c r="A71" s="5" t="str">
        <f>HYPERLINK("#'QC2'!A1", "QC2")</f>
        <v>QC2</v>
      </c>
      <c r="B71" s="6" t="s">
        <v>139</v>
      </c>
      <c r="C71" s="6" t="s">
        <v>140</v>
      </c>
    </row>
    <row r="72" spans="1:3" ht="38.5" x14ac:dyDescent="0.35">
      <c r="A72" s="5" t="str">
        <f>HYPERLINK("#'QC3'!A1", "QC3")</f>
        <v>QC3</v>
      </c>
      <c r="B72" s="6" t="s">
        <v>141</v>
      </c>
      <c r="C72" s="6" t="s">
        <v>142</v>
      </c>
    </row>
    <row r="73" spans="1:3" ht="38.5" x14ac:dyDescent="0.35">
      <c r="A73" s="5" t="str">
        <f>HYPERLINK("#'QC4'!A1", "QC4")</f>
        <v>QC4</v>
      </c>
      <c r="B73" s="6" t="s">
        <v>143</v>
      </c>
      <c r="C73" s="6" t="s">
        <v>144</v>
      </c>
    </row>
    <row r="74" spans="1:3" ht="38.5" x14ac:dyDescent="0.35">
      <c r="A74" s="5" t="str">
        <f>HYPERLINK("#'QC5'!A1", "QC5")</f>
        <v>QC5</v>
      </c>
      <c r="B74" s="6" t="s">
        <v>145</v>
      </c>
      <c r="C74" s="6" t="s">
        <v>146</v>
      </c>
    </row>
    <row r="75" spans="1:3" ht="26" x14ac:dyDescent="0.35">
      <c r="A75" s="5" t="str">
        <f>HYPERLINK("#'QC6_1'!A1", "QC6_1")</f>
        <v>QC6_1</v>
      </c>
      <c r="B75" s="6" t="s">
        <v>147</v>
      </c>
      <c r="C75" s="6" t="s">
        <v>148</v>
      </c>
    </row>
    <row r="76" spans="1:3" ht="26" x14ac:dyDescent="0.35">
      <c r="A76" s="5" t="str">
        <f>HYPERLINK("#'QC6_2'!A1", "QC6_2")</f>
        <v>QC6_2</v>
      </c>
      <c r="B76" s="6" t="s">
        <v>149</v>
      </c>
      <c r="C76" s="6" t="s">
        <v>150</v>
      </c>
    </row>
    <row r="77" spans="1:3" ht="38.5" x14ac:dyDescent="0.35">
      <c r="A77" s="5" t="str">
        <f>HYPERLINK("#'QC6_3'!A1", "QC6_3")</f>
        <v>QC6_3</v>
      </c>
      <c r="B77" s="6" t="s">
        <v>151</v>
      </c>
      <c r="C77" s="6" t="s">
        <v>152</v>
      </c>
    </row>
    <row r="78" spans="1:3" ht="26" x14ac:dyDescent="0.35">
      <c r="A78" s="5" t="str">
        <f>HYPERLINK("#'QC6_4'!A1", "QC6_4")</f>
        <v>QC6_4</v>
      </c>
      <c r="B78" s="6" t="s">
        <v>153</v>
      </c>
      <c r="C78" s="6" t="s">
        <v>154</v>
      </c>
    </row>
    <row r="79" spans="1:3" ht="38.5" x14ac:dyDescent="0.35">
      <c r="A79" s="5" t="str">
        <f>HYPERLINK("#'QC6_5'!A1", "QC6_5")</f>
        <v>QC6_5</v>
      </c>
      <c r="B79" s="6" t="s">
        <v>155</v>
      </c>
      <c r="C79" s="6" t="s">
        <v>156</v>
      </c>
    </row>
    <row r="80" spans="1:3" ht="38.5" x14ac:dyDescent="0.35">
      <c r="A80" s="5" t="str">
        <f>HYPERLINK("#'QC6_6'!A1", "QC6_6")</f>
        <v>QC6_6</v>
      </c>
      <c r="B80" s="6" t="s">
        <v>157</v>
      </c>
      <c r="C80" s="6" t="s">
        <v>158</v>
      </c>
    </row>
    <row r="81" spans="1:3" ht="26" x14ac:dyDescent="0.35">
      <c r="A81" s="5" t="str">
        <f>HYPERLINK("#'QC7'!A1", "QC7")</f>
        <v>QC7</v>
      </c>
      <c r="B81" s="6" t="s">
        <v>159</v>
      </c>
      <c r="C81" s="6" t="s">
        <v>160</v>
      </c>
    </row>
    <row r="82" spans="1:3" ht="26" x14ac:dyDescent="0.35">
      <c r="A82" s="5" t="str">
        <f>HYPERLINK("#'QC8'!A1", "QC8")</f>
        <v>QC8</v>
      </c>
      <c r="B82" s="6" t="s">
        <v>161</v>
      </c>
      <c r="C82" s="6" t="s">
        <v>162</v>
      </c>
    </row>
    <row r="83" spans="1:3" ht="38.5" x14ac:dyDescent="0.35">
      <c r="A83" s="5" t="str">
        <f>HYPERLINK("#'QC9_1'!A1", "QC9_1")</f>
        <v>QC9_1</v>
      </c>
      <c r="B83" s="6" t="s">
        <v>163</v>
      </c>
      <c r="C83" s="6" t="s">
        <v>164</v>
      </c>
    </row>
    <row r="84" spans="1:3" ht="38.5" x14ac:dyDescent="0.35">
      <c r="A84" s="5" t="str">
        <f>HYPERLINK("#'QC9_2'!A1", "QC9_2")</f>
        <v>QC9_2</v>
      </c>
      <c r="B84" s="6" t="s">
        <v>165</v>
      </c>
      <c r="C84" s="6" t="s">
        <v>166</v>
      </c>
    </row>
    <row r="85" spans="1:3" ht="51" x14ac:dyDescent="0.35">
      <c r="A85" s="5" t="str">
        <f>HYPERLINK("#'QC9_3'!A1", "QC9_3")</f>
        <v>QC9_3</v>
      </c>
      <c r="B85" s="6" t="s">
        <v>167</v>
      </c>
      <c r="C85" s="6" t="s">
        <v>168</v>
      </c>
    </row>
    <row r="86" spans="1:3" ht="38.5" x14ac:dyDescent="0.35">
      <c r="A86" s="5" t="str">
        <f>HYPERLINK("#'QC9_4'!A1", "QC9_4")</f>
        <v>QC9_4</v>
      </c>
      <c r="B86" s="6" t="s">
        <v>169</v>
      </c>
      <c r="C86" s="6" t="s">
        <v>170</v>
      </c>
    </row>
    <row r="87" spans="1:3" ht="38.5" x14ac:dyDescent="0.35">
      <c r="A87" s="5" t="str">
        <f>HYPERLINK("#'QC9_5'!A1", "QC9_5")</f>
        <v>QC9_5</v>
      </c>
      <c r="B87" s="6" t="s">
        <v>171</v>
      </c>
      <c r="C87" s="6" t="s">
        <v>172</v>
      </c>
    </row>
    <row r="88" spans="1:3" ht="51" x14ac:dyDescent="0.35">
      <c r="A88" s="5" t="str">
        <f>HYPERLINK("#'QC10'!A1", "QC10")</f>
        <v>QC10</v>
      </c>
      <c r="B88" s="6" t="s">
        <v>173</v>
      </c>
      <c r="C88" s="6" t="s">
        <v>174</v>
      </c>
    </row>
    <row r="89" spans="1:3" ht="26" x14ac:dyDescent="0.35">
      <c r="A89" s="5" t="str">
        <f>HYPERLINK("#'QC10b'!A1", "QC10b")</f>
        <v>QC10b</v>
      </c>
      <c r="B89" s="6" t="s">
        <v>175</v>
      </c>
      <c r="C89" s="6" t="s">
        <v>176</v>
      </c>
    </row>
    <row r="90" spans="1:3" ht="26" x14ac:dyDescent="0.35">
      <c r="A90" s="5" t="str">
        <f>HYPERLINK("#'QC11'!A1", "QC11")</f>
        <v>QC11</v>
      </c>
      <c r="B90" s="6" t="s">
        <v>177</v>
      </c>
      <c r="C90" s="6" t="s">
        <v>178</v>
      </c>
    </row>
    <row r="91" spans="1:3" ht="26" x14ac:dyDescent="0.35">
      <c r="A91" s="5" t="str">
        <f>HYPERLINK("#'QC12'!A1", "QC12")</f>
        <v>QC12</v>
      </c>
      <c r="B91" s="6" t="s">
        <v>179</v>
      </c>
      <c r="C91" s="6" t="s">
        <v>180</v>
      </c>
    </row>
    <row r="92" spans="1:3" ht="38.5" x14ac:dyDescent="0.35">
      <c r="A92" s="5" t="str">
        <f>HYPERLINK("#'QC13'!A1", "QC13")</f>
        <v>QC13</v>
      </c>
      <c r="B92" s="6" t="s">
        <v>181</v>
      </c>
      <c r="C92" s="6" t="s">
        <v>182</v>
      </c>
    </row>
    <row r="93" spans="1:3" ht="26" x14ac:dyDescent="0.35">
      <c r="A93" s="5" t="str">
        <f>HYPERLINK("#'QC14'!A1", "QC14")</f>
        <v>QC14</v>
      </c>
      <c r="B93" s="6" t="s">
        <v>183</v>
      </c>
      <c r="C93" s="6" t="s">
        <v>184</v>
      </c>
    </row>
    <row r="94" spans="1:3" ht="26" x14ac:dyDescent="0.35">
      <c r="A94" s="5" t="str">
        <f>HYPERLINK("#'QC15'!A1", "QC15")</f>
        <v>QC15</v>
      </c>
      <c r="B94" s="6" t="s">
        <v>185</v>
      </c>
      <c r="C94" s="6" t="s">
        <v>186</v>
      </c>
    </row>
    <row r="95" spans="1:3" ht="26" x14ac:dyDescent="0.35">
      <c r="A95" s="5" t="str">
        <f>HYPERLINK("#'QC16_1'!A1", "QC16_1")</f>
        <v>QC16_1</v>
      </c>
      <c r="B95" s="6" t="s">
        <v>187</v>
      </c>
      <c r="C95" s="6" t="s">
        <v>188</v>
      </c>
    </row>
    <row r="96" spans="1:3" ht="26" x14ac:dyDescent="0.35">
      <c r="A96" s="5" t="str">
        <f>HYPERLINK("#'QC16_2'!A1", "QC16_2")</f>
        <v>QC16_2</v>
      </c>
      <c r="B96" s="6" t="s">
        <v>189</v>
      </c>
      <c r="C96" s="6" t="s">
        <v>190</v>
      </c>
    </row>
    <row r="97" spans="1:3" ht="26" x14ac:dyDescent="0.35">
      <c r="A97" s="5" t="str">
        <f>HYPERLINK("#'QC16_3'!A1", "QC16_3")</f>
        <v>QC16_3</v>
      </c>
      <c r="B97" s="6" t="s">
        <v>191</v>
      </c>
      <c r="C97" s="6" t="s">
        <v>192</v>
      </c>
    </row>
    <row r="98" spans="1:3" ht="26" x14ac:dyDescent="0.35">
      <c r="A98" s="5" t="str">
        <f>HYPERLINK("#'QC16_4'!A1", "QC16_4")</f>
        <v>QC16_4</v>
      </c>
      <c r="B98" s="6" t="s">
        <v>193</v>
      </c>
      <c r="C98" s="6" t="s">
        <v>194</v>
      </c>
    </row>
    <row r="99" spans="1:3" ht="26" x14ac:dyDescent="0.35">
      <c r="A99" s="5" t="str">
        <f>HYPERLINK("#'QC16_5'!A1", "QC16_5")</f>
        <v>QC16_5</v>
      </c>
      <c r="B99" s="6" t="s">
        <v>195</v>
      </c>
      <c r="C99" s="6" t="s">
        <v>196</v>
      </c>
    </row>
    <row r="100" spans="1:3" ht="38.5" x14ac:dyDescent="0.35">
      <c r="A100" s="5" t="str">
        <f>HYPERLINK("#'QC17_1'!A1", "QC17_1")</f>
        <v>QC17_1</v>
      </c>
      <c r="B100" s="6" t="s">
        <v>197</v>
      </c>
      <c r="C100" s="6" t="s">
        <v>198</v>
      </c>
    </row>
    <row r="101" spans="1:3" ht="38.5" x14ac:dyDescent="0.35">
      <c r="A101" s="5" t="str">
        <f>HYPERLINK("#'QC17_2'!A1", "QC17_2")</f>
        <v>QC17_2</v>
      </c>
      <c r="B101" s="6" t="s">
        <v>199</v>
      </c>
      <c r="C101" s="6" t="s">
        <v>200</v>
      </c>
    </row>
    <row r="102" spans="1:3" ht="38.5" x14ac:dyDescent="0.35">
      <c r="A102" s="5" t="str">
        <f>HYPERLINK("#'QC17_3'!A1", "QC17_3")</f>
        <v>QC17_3</v>
      </c>
      <c r="B102" s="6" t="s">
        <v>201</v>
      </c>
      <c r="C102" s="6" t="s">
        <v>202</v>
      </c>
    </row>
    <row r="103" spans="1:3" ht="38.5" x14ac:dyDescent="0.35">
      <c r="A103" s="5" t="str">
        <f>HYPERLINK("#'QC17_4'!A1", "QC17_4")</f>
        <v>QC17_4</v>
      </c>
      <c r="B103" s="6" t="s">
        <v>203</v>
      </c>
      <c r="C103" s="6" t="s">
        <v>204</v>
      </c>
    </row>
    <row r="104" spans="1:3" ht="38.5" x14ac:dyDescent="0.35">
      <c r="A104" s="5" t="str">
        <f>HYPERLINK("#'QC17_5'!A1", "QC17_5")</f>
        <v>QC17_5</v>
      </c>
      <c r="B104" s="6" t="s">
        <v>205</v>
      </c>
      <c r="C104" s="6" t="s">
        <v>206</v>
      </c>
    </row>
    <row r="105" spans="1:3" x14ac:dyDescent="0.35">
      <c r="A105" s="5" t="str">
        <f>HYPERLINK("#'D11'!A1", "D11")</f>
        <v>D11</v>
      </c>
      <c r="B105" s="6" t="s">
        <v>207</v>
      </c>
      <c r="C105" s="6" t="s">
        <v>208</v>
      </c>
    </row>
    <row r="106" spans="1:3" x14ac:dyDescent="0.35">
      <c r="A106" s="5" t="str">
        <f>HYPERLINK("#'D11R'!A1", "D11R")</f>
        <v>D11R</v>
      </c>
      <c r="B106" s="6" t="s">
        <v>209</v>
      </c>
      <c r="C106" s="6" t="s">
        <v>210</v>
      </c>
    </row>
    <row r="107" spans="1:3" x14ac:dyDescent="0.35">
      <c r="A107" s="5" t="str">
        <f>HYPERLINK("#'D11bis'!A1", "D11bis")</f>
        <v>D11bis</v>
      </c>
      <c r="B107" s="6" t="s">
        <v>211</v>
      </c>
      <c r="C107" s="6" t="s">
        <v>212</v>
      </c>
    </row>
    <row r="108" spans="1:3" x14ac:dyDescent="0.35">
      <c r="A108" s="5" t="str">
        <f>HYPERLINK("#'D11G'!A1", "D11G")</f>
        <v>D11G</v>
      </c>
      <c r="B108" s="6" t="s">
        <v>213</v>
      </c>
      <c r="C108" s="6" t="s">
        <v>214</v>
      </c>
    </row>
    <row r="109" spans="1:3" x14ac:dyDescent="0.35">
      <c r="A109" s="5" t="str">
        <f>HYPERLINK("#'D8'!A1", "D8")</f>
        <v>D8</v>
      </c>
      <c r="B109" s="6" t="s">
        <v>215</v>
      </c>
      <c r="C109" s="6" t="s">
        <v>216</v>
      </c>
    </row>
    <row r="110" spans="1:3" x14ac:dyDescent="0.35">
      <c r="A110" s="5" t="str">
        <f>HYPERLINK("#'D8c'!A1", "D8c")</f>
        <v>D8c</v>
      </c>
      <c r="B110" s="6" t="s">
        <v>217</v>
      </c>
      <c r="C110" s="6" t="s">
        <v>218</v>
      </c>
    </row>
    <row r="111" spans="1:3" x14ac:dyDescent="0.35">
      <c r="A111" s="5" t="str">
        <f>HYPERLINK("#'D10'!A1", "D10")</f>
        <v>D10</v>
      </c>
      <c r="B111" s="6" t="s">
        <v>219</v>
      </c>
      <c r="C111" s="6" t="s">
        <v>220</v>
      </c>
    </row>
    <row r="112" spans="1:3" x14ac:dyDescent="0.35">
      <c r="A112" s="5" t="str">
        <f>HYPERLINK("#'D15a'!A1", "D15a")</f>
        <v>D15a</v>
      </c>
      <c r="B112" s="6" t="s">
        <v>221</v>
      </c>
      <c r="C112" s="6" t="s">
        <v>222</v>
      </c>
    </row>
    <row r="113" spans="1:3" x14ac:dyDescent="0.35">
      <c r="A113" s="5" t="str">
        <f>HYPERLINK("#'D15a2'!A1", "D15a2")</f>
        <v>D15a2</v>
      </c>
      <c r="B113" s="6" t="s">
        <v>223</v>
      </c>
      <c r="C113" s="6" t="s">
        <v>224</v>
      </c>
    </row>
    <row r="114" spans="1:3" x14ac:dyDescent="0.35">
      <c r="A114" s="5" t="str">
        <f>HYPERLINK("#'C14'!A1", "C14")</f>
        <v>C14</v>
      </c>
      <c r="B114" s="6" t="s">
        <v>225</v>
      </c>
      <c r="C114" s="6" t="s">
        <v>226</v>
      </c>
    </row>
    <row r="115" spans="1:3" x14ac:dyDescent="0.35">
      <c r="A115" s="5" t="str">
        <f>HYPERLINK("#'D15b'!A1", "D15b")</f>
        <v>D15b</v>
      </c>
      <c r="B115" s="6" t="s">
        <v>227</v>
      </c>
      <c r="C115" s="6" t="s">
        <v>228</v>
      </c>
    </row>
    <row r="116" spans="1:3" x14ac:dyDescent="0.35">
      <c r="A116" s="5" t="str">
        <f>HYPERLINK("#'D15b2'!A1", "D15b2")</f>
        <v>D15b2</v>
      </c>
      <c r="B116" s="6" t="s">
        <v>229</v>
      </c>
      <c r="C116" s="6" t="s">
        <v>230</v>
      </c>
    </row>
    <row r="117" spans="1:3" x14ac:dyDescent="0.35">
      <c r="A117" s="5" t="str">
        <f>HYPERLINK("#'D40a'!A1", "D40a")</f>
        <v>D40a</v>
      </c>
      <c r="B117" s="6" t="s">
        <v>231</v>
      </c>
      <c r="C117" s="6" t="s">
        <v>232</v>
      </c>
    </row>
    <row r="118" spans="1:3" x14ac:dyDescent="0.35">
      <c r="A118" s="5" t="str">
        <f>HYPERLINK("#'D40b'!A1", "D40b")</f>
        <v>D40b</v>
      </c>
      <c r="B118" s="6" t="s">
        <v>233</v>
      </c>
      <c r="C118" s="6" t="s">
        <v>234</v>
      </c>
    </row>
    <row r="119" spans="1:3" x14ac:dyDescent="0.35">
      <c r="A119" s="5" t="str">
        <f>HYPERLINK("#'D40c'!A1", "D40c")</f>
        <v>D40c</v>
      </c>
      <c r="B119" s="6" t="s">
        <v>235</v>
      </c>
      <c r="C119" s="6" t="s">
        <v>236</v>
      </c>
    </row>
    <row r="120" spans="1:3" x14ac:dyDescent="0.35">
      <c r="A120" s="5" t="str">
        <f>HYPERLINK("#'D25'!A1", "D25")</f>
        <v>D25</v>
      </c>
      <c r="B120" s="6" t="s">
        <v>237</v>
      </c>
      <c r="C120" s="6" t="s">
        <v>238</v>
      </c>
    </row>
    <row r="121" spans="1:3" ht="26" x14ac:dyDescent="0.35">
      <c r="A121" s="5" t="str">
        <f>HYPERLINK("#'D60'!A1", "D60")</f>
        <v>D60</v>
      </c>
      <c r="B121" s="6" t="s">
        <v>239</v>
      </c>
      <c r="C121" s="6" t="s">
        <v>240</v>
      </c>
    </row>
    <row r="122" spans="1:3" ht="26" x14ac:dyDescent="0.35">
      <c r="A122" s="5" t="str">
        <f>HYPERLINK("#'D70'!A1", "D70")</f>
        <v>D70</v>
      </c>
      <c r="B122" s="6" t="s">
        <v>241</v>
      </c>
      <c r="C122" s="6" t="s">
        <v>242</v>
      </c>
    </row>
    <row r="123" spans="1:3" ht="26" x14ac:dyDescent="0.35">
      <c r="A123" s="5" t="str">
        <f>HYPERLINK("#'D70a'!A1", "D70a")</f>
        <v>D70a</v>
      </c>
      <c r="B123" s="6" t="s">
        <v>243</v>
      </c>
      <c r="C123" s="6" t="s">
        <v>244</v>
      </c>
    </row>
    <row r="124" spans="1:3" x14ac:dyDescent="0.35">
      <c r="A124" s="5" t="str">
        <f>HYPERLINK("#'D43a'!A1", "D43a")</f>
        <v>D43a</v>
      </c>
      <c r="B124" s="6" t="s">
        <v>245</v>
      </c>
      <c r="C124" s="6" t="s">
        <v>246</v>
      </c>
    </row>
    <row r="125" spans="1:3" x14ac:dyDescent="0.35">
      <c r="A125" s="5" t="str">
        <f>HYPERLINK("#'D43b'!A1", "D43b")</f>
        <v>D43b</v>
      </c>
      <c r="B125" s="6" t="s">
        <v>247</v>
      </c>
      <c r="C125" s="6" t="s">
        <v>248</v>
      </c>
    </row>
    <row r="126" spans="1:3" x14ac:dyDescent="0.35">
      <c r="A126" s="5" t="str">
        <f>HYPERLINK("#'D43c'!A1", "D43c")</f>
        <v>D43c</v>
      </c>
      <c r="B126" s="6" t="s">
        <v>249</v>
      </c>
      <c r="C126" s="6" t="s">
        <v>250</v>
      </c>
    </row>
    <row r="127" spans="1:3" x14ac:dyDescent="0.35">
      <c r="A127" s="5" t="str">
        <f>HYPERLINK("#'D43T'!A1", "D43T")</f>
        <v>D43T</v>
      </c>
      <c r="B127" s="6" t="s">
        <v>251</v>
      </c>
      <c r="C127" s="6" t="s">
        <v>252</v>
      </c>
    </row>
    <row r="128" spans="1:3" x14ac:dyDescent="0.35">
      <c r="A128" s="5" t="str">
        <f>HYPERLINK("#'D62_1'!A1", "D62_1")</f>
        <v>D62_1</v>
      </c>
      <c r="B128" s="6" t="s">
        <v>253</v>
      </c>
      <c r="C128" s="6" t="s">
        <v>254</v>
      </c>
    </row>
    <row r="129" spans="1:3" x14ac:dyDescent="0.35">
      <c r="A129" s="5" t="str">
        <f>HYPERLINK("#'D62_2'!A1", "D62_2")</f>
        <v>D62_2</v>
      </c>
      <c r="B129" s="6" t="s">
        <v>255</v>
      </c>
      <c r="C129" s="6" t="s">
        <v>256</v>
      </c>
    </row>
    <row r="130" spans="1:3" ht="26" x14ac:dyDescent="0.35">
      <c r="A130" s="5" t="str">
        <f>HYPERLINK("#'D62_3'!A1", "D62_3")</f>
        <v>D62_3</v>
      </c>
      <c r="B130" s="6" t="s">
        <v>257</v>
      </c>
      <c r="C130" s="6" t="s">
        <v>258</v>
      </c>
    </row>
    <row r="131" spans="1:3" x14ac:dyDescent="0.35">
      <c r="A131" s="5" t="str">
        <f>HYPERLINK("#'D62_4'!A1", "D62_4")</f>
        <v>D62_4</v>
      </c>
      <c r="B131" s="6" t="s">
        <v>259</v>
      </c>
      <c r="C131" s="6" t="s">
        <v>260</v>
      </c>
    </row>
    <row r="132" spans="1:3" x14ac:dyDescent="0.35">
      <c r="A132" s="5" t="str">
        <f>HYPERLINK("#'D62R'!A1", "D62R")</f>
        <v>D62R</v>
      </c>
      <c r="B132" s="6" t="s">
        <v>261</v>
      </c>
      <c r="C132" s="6" t="s">
        <v>262</v>
      </c>
    </row>
    <row r="133" spans="1:3" x14ac:dyDescent="0.35">
      <c r="A133" s="5" t="str">
        <f>HYPERLINK("#'D63'!A1", "D63")</f>
        <v>D63</v>
      </c>
      <c r="B133" s="6" t="s">
        <v>263</v>
      </c>
      <c r="C133" s="6" t="s">
        <v>264</v>
      </c>
    </row>
    <row r="134" spans="1:3" ht="26" x14ac:dyDescent="0.35">
      <c r="A134" s="5" t="str">
        <f>HYPERLINK("#'D73_1'!A1", "D73_1")</f>
        <v>D73_1</v>
      </c>
      <c r="B134" s="6" t="s">
        <v>265</v>
      </c>
      <c r="C134" s="6" t="s">
        <v>266</v>
      </c>
    </row>
    <row r="135" spans="1:3" ht="26" x14ac:dyDescent="0.35">
      <c r="A135" s="5" t="str">
        <f>HYPERLINK("#'D73_2'!A1", "D73_2")</f>
        <v>D73_2</v>
      </c>
      <c r="B135" s="6" t="s">
        <v>267</v>
      </c>
      <c r="C135" s="6" t="s">
        <v>268</v>
      </c>
    </row>
    <row r="136" spans="1:3" ht="26" x14ac:dyDescent="0.35">
      <c r="A136" s="5" t="str">
        <f>HYPERLINK("#'D73_3'!A1", "D73_3")</f>
        <v>D73_3</v>
      </c>
      <c r="B136" s="6" t="s">
        <v>269</v>
      </c>
      <c r="C136" s="6" t="s">
        <v>270</v>
      </c>
    </row>
    <row r="137" spans="1:3" ht="26" x14ac:dyDescent="0.35">
      <c r="A137" s="5" t="str">
        <f>HYPERLINK("#'D73_4'!A1", "D73_4")</f>
        <v>D73_4</v>
      </c>
      <c r="B137" s="6" t="s">
        <v>271</v>
      </c>
      <c r="C137" s="6" t="s">
        <v>272</v>
      </c>
    </row>
    <row r="138" spans="1:3" ht="26" x14ac:dyDescent="0.35">
      <c r="A138" s="5" t="str">
        <f>HYPERLINK("#'D71_1'!A1", "D71_1")</f>
        <v>D71_1</v>
      </c>
      <c r="B138" s="6" t="s">
        <v>273</v>
      </c>
      <c r="C138" s="6" t="s">
        <v>274</v>
      </c>
    </row>
    <row r="139" spans="1:3" ht="26" x14ac:dyDescent="0.35">
      <c r="A139" s="5" t="str">
        <f>HYPERLINK("#'D71_2'!A1", "D71_2")</f>
        <v>D71_2</v>
      </c>
      <c r="B139" s="6" t="s">
        <v>275</v>
      </c>
      <c r="C139" s="6" t="s">
        <v>276</v>
      </c>
    </row>
    <row r="140" spans="1:3" ht="26" x14ac:dyDescent="0.35">
      <c r="A140" s="5" t="str">
        <f>HYPERLINK("#'D71_3'!A1", "D71_3")</f>
        <v>D71_3</v>
      </c>
      <c r="B140" s="6" t="s">
        <v>277</v>
      </c>
      <c r="C140" s="6" t="s">
        <v>278</v>
      </c>
    </row>
    <row r="141" spans="1:3" x14ac:dyDescent="0.35">
      <c r="A141" s="5" t="str">
        <f>HYPERLINK("#'C2'!A1", "C2")</f>
        <v>C2</v>
      </c>
      <c r="B141" s="6" t="s">
        <v>279</v>
      </c>
      <c r="C141" s="6" t="s">
        <v>280</v>
      </c>
    </row>
    <row r="142" spans="1:3" ht="26" x14ac:dyDescent="0.35">
      <c r="A142" s="5" t="str">
        <f>HYPERLINK("#'SD18a'!A1", "SD18a")</f>
        <v>SD18a</v>
      </c>
      <c r="B142" s="6" t="s">
        <v>281</v>
      </c>
      <c r="C142" s="6" t="s">
        <v>282</v>
      </c>
    </row>
    <row r="143" spans="1:3" x14ac:dyDescent="0.35">
      <c r="A143" s="5" t="str">
        <f>HYPERLINK("#'SD18b'!A1", "SD18b")</f>
        <v>SD18b</v>
      </c>
      <c r="B143" s="6" t="s">
        <v>283</v>
      </c>
      <c r="C143" s="6" t="s">
        <v>284</v>
      </c>
    </row>
    <row r="144" spans="1:3" ht="26" x14ac:dyDescent="0.35">
      <c r="A144" s="5" t="str">
        <f>HYPERLINK("#'D72_1'!A1", "D72_1")</f>
        <v>D72_1</v>
      </c>
      <c r="B144" s="6" t="s">
        <v>285</v>
      </c>
      <c r="C144" s="6" t="s">
        <v>286</v>
      </c>
    </row>
    <row r="145" spans="1:3" ht="26" x14ac:dyDescent="0.35">
      <c r="A145" s="5" t="str">
        <f>HYPERLINK("#'D72_2'!A1", "D72_2")</f>
        <v>D72_2</v>
      </c>
      <c r="B145" s="6" t="s">
        <v>287</v>
      </c>
      <c r="C145" s="6" t="s">
        <v>288</v>
      </c>
    </row>
    <row r="146" spans="1:3" ht="26" x14ac:dyDescent="0.35">
      <c r="A146" s="5" t="str">
        <f>HYPERLINK("#'D72_3'!A1", "D72_3")</f>
        <v>D72_3</v>
      </c>
      <c r="B146" s="6" t="s">
        <v>289</v>
      </c>
      <c r="C146" s="6" t="s">
        <v>290</v>
      </c>
    </row>
    <row r="147" spans="1:3" ht="38.5" x14ac:dyDescent="0.35">
      <c r="A147" s="5" t="str">
        <f>HYPERLINK("#'D1'!A1", "D1")</f>
        <v>D1</v>
      </c>
      <c r="B147" s="6" t="s">
        <v>291</v>
      </c>
      <c r="C147" s="6" t="s">
        <v>292</v>
      </c>
    </row>
    <row r="148" spans="1:3" x14ac:dyDescent="0.35">
      <c r="A148" s="5" t="str">
        <f>HYPERLINK("#'D1R1'!A1", "D1R1")</f>
        <v>D1R1</v>
      </c>
      <c r="B148" s="6" t="s">
        <v>293</v>
      </c>
      <c r="C148" s="6" t="s">
        <v>294</v>
      </c>
    </row>
    <row r="149" spans="1:3" x14ac:dyDescent="0.35">
      <c r="A149" s="5" t="str">
        <f>HYPERLINK("#'D1R2'!A1", "D1R2")</f>
        <v>D1R2</v>
      </c>
      <c r="B149" s="6" t="s">
        <v>295</v>
      </c>
      <c r="C149" s="6" t="s">
        <v>296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9</v>
      </c>
      <c r="C3" s="30"/>
      <c r="D3" s="30"/>
      <c r="E3" s="30"/>
      <c r="F3" s="30"/>
      <c r="H3" s="30" t="s">
        <v>10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324</v>
      </c>
      <c r="C12" s="12">
        <v>540</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1003</v>
      </c>
      <c r="Z12" s="12">
        <v>0</v>
      </c>
      <c r="AA12" s="12">
        <v>0</v>
      </c>
      <c r="AB12" s="12">
        <v>0</v>
      </c>
      <c r="AC12" s="12">
        <v>0</v>
      </c>
      <c r="AD12" s="12">
        <v>0</v>
      </c>
      <c r="AE12" s="12">
        <v>0</v>
      </c>
      <c r="AF12" s="12">
        <v>0</v>
      </c>
    </row>
    <row r="13" spans="1:32" x14ac:dyDescent="0.35">
      <c r="A13" s="31"/>
      <c r="B13" s="13" t="s">
        <v>324</v>
      </c>
      <c r="C13" s="14">
        <v>0.02</v>
      </c>
      <c r="D13" s="15" t="s">
        <v>333</v>
      </c>
      <c r="E13" s="15" t="s">
        <v>333</v>
      </c>
      <c r="F13" s="15" t="s">
        <v>333</v>
      </c>
      <c r="G13" s="15" t="s">
        <v>333</v>
      </c>
      <c r="H13" s="15" t="s">
        <v>333</v>
      </c>
      <c r="I13" s="15" t="s">
        <v>333</v>
      </c>
      <c r="J13" s="15" t="s">
        <v>333</v>
      </c>
      <c r="K13" s="15" t="s">
        <v>333</v>
      </c>
      <c r="L13" s="15" t="s">
        <v>333</v>
      </c>
      <c r="M13" s="15" t="s">
        <v>333</v>
      </c>
      <c r="N13" s="15" t="s">
        <v>333</v>
      </c>
      <c r="O13" s="15" t="s">
        <v>333</v>
      </c>
      <c r="P13" s="15" t="s">
        <v>333</v>
      </c>
      <c r="Q13" s="15" t="s">
        <v>333</v>
      </c>
      <c r="R13" s="15" t="s">
        <v>333</v>
      </c>
      <c r="S13" s="15" t="s">
        <v>333</v>
      </c>
      <c r="T13" s="15" t="s">
        <v>333</v>
      </c>
      <c r="U13" s="15" t="s">
        <v>333</v>
      </c>
      <c r="V13" s="15" t="s">
        <v>333</v>
      </c>
      <c r="W13" s="15" t="s">
        <v>333</v>
      </c>
      <c r="X13" s="15" t="s">
        <v>333</v>
      </c>
      <c r="Y13" s="14">
        <v>1</v>
      </c>
      <c r="Z13" s="15" t="s">
        <v>333</v>
      </c>
      <c r="AA13" s="15" t="s">
        <v>333</v>
      </c>
      <c r="AB13" s="15" t="s">
        <v>333</v>
      </c>
      <c r="AC13" s="15" t="s">
        <v>333</v>
      </c>
      <c r="AD13" s="15" t="s">
        <v>333</v>
      </c>
      <c r="AE13" s="15" t="s">
        <v>333</v>
      </c>
      <c r="AF13" s="15" t="s">
        <v>333</v>
      </c>
    </row>
    <row r="14" spans="1:32" x14ac:dyDescent="0.35">
      <c r="A14" s="31"/>
      <c r="B14" s="11" t="s">
        <v>303</v>
      </c>
      <c r="C14" s="12">
        <v>681</v>
      </c>
      <c r="D14" s="12">
        <v>1025</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row>
    <row r="15" spans="1:32" x14ac:dyDescent="0.35">
      <c r="A15" s="31"/>
      <c r="B15" s="13" t="s">
        <v>303</v>
      </c>
      <c r="C15" s="14">
        <v>0.03</v>
      </c>
      <c r="D15" s="14">
        <v>1</v>
      </c>
      <c r="E15" s="15" t="s">
        <v>333</v>
      </c>
      <c r="F15" s="15" t="s">
        <v>333</v>
      </c>
      <c r="G15" s="15" t="s">
        <v>333</v>
      </c>
      <c r="H15" s="15" t="s">
        <v>333</v>
      </c>
      <c r="I15" s="15" t="s">
        <v>333</v>
      </c>
      <c r="J15" s="15" t="s">
        <v>333</v>
      </c>
      <c r="K15" s="15" t="s">
        <v>333</v>
      </c>
      <c r="L15" s="15" t="s">
        <v>333</v>
      </c>
      <c r="M15" s="15" t="s">
        <v>333</v>
      </c>
      <c r="N15" s="15" t="s">
        <v>333</v>
      </c>
      <c r="O15" s="15" t="s">
        <v>333</v>
      </c>
      <c r="P15" s="15" t="s">
        <v>333</v>
      </c>
      <c r="Q15" s="15" t="s">
        <v>333</v>
      </c>
      <c r="R15" s="15" t="s">
        <v>333</v>
      </c>
      <c r="S15" s="15" t="s">
        <v>333</v>
      </c>
      <c r="T15" s="15" t="s">
        <v>333</v>
      </c>
      <c r="U15" s="15" t="s">
        <v>333</v>
      </c>
      <c r="V15" s="15" t="s">
        <v>333</v>
      </c>
      <c r="W15" s="15" t="s">
        <v>333</v>
      </c>
      <c r="X15" s="15" t="s">
        <v>333</v>
      </c>
      <c r="Y15" s="15" t="s">
        <v>333</v>
      </c>
      <c r="Z15" s="15" t="s">
        <v>333</v>
      </c>
      <c r="AA15" s="15" t="s">
        <v>333</v>
      </c>
      <c r="AB15" s="15" t="s">
        <v>333</v>
      </c>
      <c r="AC15" s="15" t="s">
        <v>333</v>
      </c>
      <c r="AD15" s="15" t="s">
        <v>333</v>
      </c>
      <c r="AE15" s="15" t="s">
        <v>333</v>
      </c>
      <c r="AF15" s="15" t="s">
        <v>333</v>
      </c>
    </row>
    <row r="16" spans="1:32" x14ac:dyDescent="0.35">
      <c r="A16" s="31"/>
      <c r="B16" s="11" t="s">
        <v>304</v>
      </c>
      <c r="C16" s="12">
        <v>381</v>
      </c>
      <c r="D16" s="12">
        <v>0</v>
      </c>
      <c r="E16" s="12">
        <v>1039</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row>
    <row r="17" spans="1:32" x14ac:dyDescent="0.35">
      <c r="A17" s="31"/>
      <c r="B17" s="13" t="s">
        <v>304</v>
      </c>
      <c r="C17" s="14">
        <v>0.02</v>
      </c>
      <c r="D17" s="15" t="s">
        <v>333</v>
      </c>
      <c r="E17" s="14">
        <v>1</v>
      </c>
      <c r="F17" s="15" t="s">
        <v>333</v>
      </c>
      <c r="G17" s="15" t="s">
        <v>333</v>
      </c>
      <c r="H17" s="15" t="s">
        <v>333</v>
      </c>
      <c r="I17" s="15" t="s">
        <v>333</v>
      </c>
      <c r="J17" s="15" t="s">
        <v>333</v>
      </c>
      <c r="K17" s="15" t="s">
        <v>333</v>
      </c>
      <c r="L17" s="15" t="s">
        <v>333</v>
      </c>
      <c r="M17" s="15" t="s">
        <v>333</v>
      </c>
      <c r="N17" s="15" t="s">
        <v>333</v>
      </c>
      <c r="O17" s="15" t="s">
        <v>333</v>
      </c>
      <c r="P17" s="15" t="s">
        <v>333</v>
      </c>
      <c r="Q17" s="15" t="s">
        <v>333</v>
      </c>
      <c r="R17" s="15" t="s">
        <v>333</v>
      </c>
      <c r="S17" s="15" t="s">
        <v>333</v>
      </c>
      <c r="T17" s="15" t="s">
        <v>333</v>
      </c>
      <c r="U17" s="15" t="s">
        <v>333</v>
      </c>
      <c r="V17" s="15" t="s">
        <v>333</v>
      </c>
      <c r="W17" s="15" t="s">
        <v>333</v>
      </c>
      <c r="X17" s="15" t="s">
        <v>333</v>
      </c>
      <c r="Y17" s="15" t="s">
        <v>333</v>
      </c>
      <c r="Z17" s="15" t="s">
        <v>333</v>
      </c>
      <c r="AA17" s="15" t="s">
        <v>333</v>
      </c>
      <c r="AB17" s="15" t="s">
        <v>333</v>
      </c>
      <c r="AC17" s="15" t="s">
        <v>333</v>
      </c>
      <c r="AD17" s="15" t="s">
        <v>333</v>
      </c>
      <c r="AE17" s="15" t="s">
        <v>333</v>
      </c>
      <c r="AF17" s="15" t="s">
        <v>333</v>
      </c>
    </row>
    <row r="18" spans="1:32" x14ac:dyDescent="0.35">
      <c r="A18" s="31"/>
      <c r="B18" s="11" t="s">
        <v>317</v>
      </c>
      <c r="C18" s="12">
        <v>56</v>
      </c>
      <c r="D18" s="12">
        <v>0</v>
      </c>
      <c r="E18" s="12">
        <v>0</v>
      </c>
      <c r="F18" s="12">
        <v>0</v>
      </c>
      <c r="G18" s="12">
        <v>0</v>
      </c>
      <c r="H18" s="12">
        <v>0</v>
      </c>
      <c r="I18" s="12">
        <v>0</v>
      </c>
      <c r="J18" s="12">
        <v>0</v>
      </c>
      <c r="K18" s="12">
        <v>0</v>
      </c>
      <c r="L18" s="12">
        <v>0</v>
      </c>
      <c r="M18" s="12">
        <v>0</v>
      </c>
      <c r="N18" s="12">
        <v>0</v>
      </c>
      <c r="O18" s="12">
        <v>0</v>
      </c>
      <c r="P18" s="12">
        <v>0</v>
      </c>
      <c r="Q18" s="12">
        <v>0</v>
      </c>
      <c r="R18" s="12">
        <v>501</v>
      </c>
      <c r="S18" s="12">
        <v>0</v>
      </c>
      <c r="T18" s="12">
        <v>0</v>
      </c>
      <c r="U18" s="12">
        <v>0</v>
      </c>
      <c r="V18" s="12">
        <v>0</v>
      </c>
      <c r="W18" s="12">
        <v>0</v>
      </c>
      <c r="X18" s="12">
        <v>0</v>
      </c>
      <c r="Y18" s="12">
        <v>0</v>
      </c>
      <c r="Z18" s="12">
        <v>0</v>
      </c>
      <c r="AA18" s="12">
        <v>0</v>
      </c>
      <c r="AB18" s="12">
        <v>0</v>
      </c>
      <c r="AC18" s="12">
        <v>0</v>
      </c>
      <c r="AD18" s="12">
        <v>0</v>
      </c>
      <c r="AE18" s="12">
        <v>0</v>
      </c>
      <c r="AF18" s="12">
        <v>0</v>
      </c>
    </row>
    <row r="19" spans="1:32" x14ac:dyDescent="0.35">
      <c r="A19" s="31"/>
      <c r="B19" s="13" t="s">
        <v>317</v>
      </c>
      <c r="C19" s="15" t="s">
        <v>333</v>
      </c>
      <c r="D19" s="15" t="s">
        <v>333</v>
      </c>
      <c r="E19" s="15" t="s">
        <v>333</v>
      </c>
      <c r="F19" s="15" t="s">
        <v>333</v>
      </c>
      <c r="G19" s="15" t="s">
        <v>333</v>
      </c>
      <c r="H19" s="15" t="s">
        <v>333</v>
      </c>
      <c r="I19" s="15" t="s">
        <v>333</v>
      </c>
      <c r="J19" s="15" t="s">
        <v>333</v>
      </c>
      <c r="K19" s="15" t="s">
        <v>333</v>
      </c>
      <c r="L19" s="15" t="s">
        <v>333</v>
      </c>
      <c r="M19" s="15" t="s">
        <v>333</v>
      </c>
      <c r="N19" s="15" t="s">
        <v>333</v>
      </c>
      <c r="O19" s="15" t="s">
        <v>333</v>
      </c>
      <c r="P19" s="15" t="s">
        <v>333</v>
      </c>
      <c r="Q19" s="15" t="s">
        <v>333</v>
      </c>
      <c r="R19" s="14">
        <v>1</v>
      </c>
      <c r="S19" s="15" t="s">
        <v>333</v>
      </c>
      <c r="T19" s="15" t="s">
        <v>333</v>
      </c>
      <c r="U19" s="15" t="s">
        <v>333</v>
      </c>
      <c r="V19" s="15" t="s">
        <v>333</v>
      </c>
      <c r="W19" s="15" t="s">
        <v>333</v>
      </c>
      <c r="X19" s="15" t="s">
        <v>333</v>
      </c>
      <c r="Y19" s="15" t="s">
        <v>333</v>
      </c>
      <c r="Z19" s="15" t="s">
        <v>333</v>
      </c>
      <c r="AA19" s="15" t="s">
        <v>333</v>
      </c>
      <c r="AB19" s="15" t="s">
        <v>333</v>
      </c>
      <c r="AC19" s="15" t="s">
        <v>333</v>
      </c>
      <c r="AD19" s="15" t="s">
        <v>333</v>
      </c>
      <c r="AE19" s="15" t="s">
        <v>333</v>
      </c>
      <c r="AF19" s="15" t="s">
        <v>333</v>
      </c>
    </row>
    <row r="20" spans="1:32" x14ac:dyDescent="0.35">
      <c r="A20" s="31"/>
      <c r="B20" s="11" t="s">
        <v>305</v>
      </c>
      <c r="C20" s="12">
        <v>632</v>
      </c>
      <c r="D20" s="12">
        <v>0</v>
      </c>
      <c r="E20" s="12">
        <v>0</v>
      </c>
      <c r="F20" s="12">
        <v>1018</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row>
    <row r="21" spans="1:32" x14ac:dyDescent="0.35">
      <c r="A21" s="31"/>
      <c r="B21" s="13" t="s">
        <v>305</v>
      </c>
      <c r="C21" s="14">
        <v>0.02</v>
      </c>
      <c r="D21" s="15" t="s">
        <v>333</v>
      </c>
      <c r="E21" s="15" t="s">
        <v>333</v>
      </c>
      <c r="F21" s="14">
        <v>1</v>
      </c>
      <c r="G21" s="15" t="s">
        <v>333</v>
      </c>
      <c r="H21" s="15" t="s">
        <v>333</v>
      </c>
      <c r="I21" s="15" t="s">
        <v>333</v>
      </c>
      <c r="J21" s="15" t="s">
        <v>333</v>
      </c>
      <c r="K21" s="15" t="s">
        <v>333</v>
      </c>
      <c r="L21" s="15" t="s">
        <v>333</v>
      </c>
      <c r="M21" s="15" t="s">
        <v>333</v>
      </c>
      <c r="N21" s="15" t="s">
        <v>333</v>
      </c>
      <c r="O21" s="15" t="s">
        <v>333</v>
      </c>
      <c r="P21" s="15" t="s">
        <v>333</v>
      </c>
      <c r="Q21" s="15" t="s">
        <v>333</v>
      </c>
      <c r="R21" s="15" t="s">
        <v>333</v>
      </c>
      <c r="S21" s="15" t="s">
        <v>333</v>
      </c>
      <c r="T21" s="15" t="s">
        <v>333</v>
      </c>
      <c r="U21" s="15" t="s">
        <v>333</v>
      </c>
      <c r="V21" s="15" t="s">
        <v>333</v>
      </c>
      <c r="W21" s="15" t="s">
        <v>333</v>
      </c>
      <c r="X21" s="15" t="s">
        <v>333</v>
      </c>
      <c r="Y21" s="15" t="s">
        <v>333</v>
      </c>
      <c r="Z21" s="15" t="s">
        <v>333</v>
      </c>
      <c r="AA21" s="15" t="s">
        <v>333</v>
      </c>
      <c r="AB21" s="15" t="s">
        <v>333</v>
      </c>
      <c r="AC21" s="15" t="s">
        <v>333</v>
      </c>
      <c r="AD21" s="15" t="s">
        <v>333</v>
      </c>
      <c r="AE21" s="15" t="s">
        <v>333</v>
      </c>
      <c r="AF21" s="15" t="s">
        <v>333</v>
      </c>
    </row>
    <row r="22" spans="1:32" x14ac:dyDescent="0.35">
      <c r="A22" s="31"/>
      <c r="B22" s="11" t="s">
        <v>306</v>
      </c>
      <c r="C22" s="12">
        <v>346</v>
      </c>
      <c r="D22" s="12">
        <v>0</v>
      </c>
      <c r="E22" s="12">
        <v>0</v>
      </c>
      <c r="F22" s="12">
        <v>0</v>
      </c>
      <c r="G22" s="12">
        <v>1017</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row>
    <row r="23" spans="1:32" x14ac:dyDescent="0.35">
      <c r="A23" s="31"/>
      <c r="B23" s="13" t="s">
        <v>306</v>
      </c>
      <c r="C23" s="14">
        <v>0.01</v>
      </c>
      <c r="D23" s="15" t="s">
        <v>333</v>
      </c>
      <c r="E23" s="15" t="s">
        <v>333</v>
      </c>
      <c r="F23" s="15" t="s">
        <v>333</v>
      </c>
      <c r="G23" s="14">
        <v>1</v>
      </c>
      <c r="H23" s="15" t="s">
        <v>333</v>
      </c>
      <c r="I23" s="15" t="s">
        <v>333</v>
      </c>
      <c r="J23" s="15" t="s">
        <v>333</v>
      </c>
      <c r="K23" s="15" t="s">
        <v>333</v>
      </c>
      <c r="L23" s="15" t="s">
        <v>333</v>
      </c>
      <c r="M23" s="15" t="s">
        <v>333</v>
      </c>
      <c r="N23" s="15" t="s">
        <v>333</v>
      </c>
      <c r="O23" s="15" t="s">
        <v>333</v>
      </c>
      <c r="P23" s="15" t="s">
        <v>333</v>
      </c>
      <c r="Q23" s="15" t="s">
        <v>333</v>
      </c>
      <c r="R23" s="15" t="s">
        <v>333</v>
      </c>
      <c r="S23" s="15" t="s">
        <v>333</v>
      </c>
      <c r="T23" s="15" t="s">
        <v>333</v>
      </c>
      <c r="U23" s="15" t="s">
        <v>333</v>
      </c>
      <c r="V23" s="15" t="s">
        <v>333</v>
      </c>
      <c r="W23" s="15" t="s">
        <v>333</v>
      </c>
      <c r="X23" s="15" t="s">
        <v>333</v>
      </c>
      <c r="Y23" s="15" t="s">
        <v>333</v>
      </c>
      <c r="Z23" s="15" t="s">
        <v>333</v>
      </c>
      <c r="AA23" s="15" t="s">
        <v>333</v>
      </c>
      <c r="AB23" s="15" t="s">
        <v>333</v>
      </c>
      <c r="AC23" s="15" t="s">
        <v>333</v>
      </c>
      <c r="AD23" s="15" t="s">
        <v>333</v>
      </c>
      <c r="AE23" s="15" t="s">
        <v>333</v>
      </c>
      <c r="AF23" s="15" t="s">
        <v>333</v>
      </c>
    </row>
    <row r="24" spans="1:32" x14ac:dyDescent="0.35">
      <c r="A24" s="31"/>
      <c r="B24" s="11" t="s">
        <v>310</v>
      </c>
      <c r="C24" s="12">
        <v>79</v>
      </c>
      <c r="D24" s="12">
        <v>0</v>
      </c>
      <c r="E24" s="12">
        <v>0</v>
      </c>
      <c r="F24" s="12">
        <v>0</v>
      </c>
      <c r="G24" s="12">
        <v>0</v>
      </c>
      <c r="H24" s="12">
        <v>0</v>
      </c>
      <c r="I24" s="12">
        <v>0</v>
      </c>
      <c r="J24" s="12">
        <v>0</v>
      </c>
      <c r="K24" s="12">
        <v>1009</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row>
    <row r="25" spans="1:32" x14ac:dyDescent="0.35">
      <c r="A25" s="31"/>
      <c r="B25" s="13" t="s">
        <v>310</v>
      </c>
      <c r="C25" s="15" t="s">
        <v>333</v>
      </c>
      <c r="D25" s="15" t="s">
        <v>333</v>
      </c>
      <c r="E25" s="15" t="s">
        <v>333</v>
      </c>
      <c r="F25" s="15" t="s">
        <v>333</v>
      </c>
      <c r="G25" s="15" t="s">
        <v>333</v>
      </c>
      <c r="H25" s="15" t="s">
        <v>333</v>
      </c>
      <c r="I25" s="15" t="s">
        <v>333</v>
      </c>
      <c r="J25" s="15" t="s">
        <v>333</v>
      </c>
      <c r="K25" s="14">
        <v>1</v>
      </c>
      <c r="L25" s="15" t="s">
        <v>333</v>
      </c>
      <c r="M25" s="15" t="s">
        <v>333</v>
      </c>
      <c r="N25" s="15" t="s">
        <v>333</v>
      </c>
      <c r="O25" s="15" t="s">
        <v>333</v>
      </c>
      <c r="P25" s="15" t="s">
        <v>333</v>
      </c>
      <c r="Q25" s="15" t="s">
        <v>333</v>
      </c>
      <c r="R25" s="15" t="s">
        <v>333</v>
      </c>
      <c r="S25" s="15" t="s">
        <v>333</v>
      </c>
      <c r="T25" s="15" t="s">
        <v>333</v>
      </c>
      <c r="U25" s="15" t="s">
        <v>333</v>
      </c>
      <c r="V25" s="15" t="s">
        <v>333</v>
      </c>
      <c r="W25" s="15" t="s">
        <v>333</v>
      </c>
      <c r="X25" s="15" t="s">
        <v>333</v>
      </c>
      <c r="Y25" s="15" t="s">
        <v>333</v>
      </c>
      <c r="Z25" s="15" t="s">
        <v>333</v>
      </c>
      <c r="AA25" s="15" t="s">
        <v>333</v>
      </c>
      <c r="AB25" s="15" t="s">
        <v>333</v>
      </c>
      <c r="AC25" s="15" t="s">
        <v>333</v>
      </c>
      <c r="AD25" s="15" t="s">
        <v>333</v>
      </c>
      <c r="AE25" s="15" t="s">
        <v>333</v>
      </c>
      <c r="AF25" s="15" t="s">
        <v>333</v>
      </c>
    </row>
    <row r="26" spans="1:32" x14ac:dyDescent="0.35">
      <c r="A26" s="31"/>
      <c r="B26" s="11" t="s">
        <v>312</v>
      </c>
      <c r="C26" s="12">
        <v>622</v>
      </c>
      <c r="D26" s="12">
        <v>0</v>
      </c>
      <c r="E26" s="12">
        <v>0</v>
      </c>
      <c r="F26" s="12">
        <v>0</v>
      </c>
      <c r="G26" s="12">
        <v>0</v>
      </c>
      <c r="H26" s="12">
        <v>0</v>
      </c>
      <c r="I26" s="12">
        <v>0</v>
      </c>
      <c r="J26" s="12">
        <v>0</v>
      </c>
      <c r="K26" s="12">
        <v>0</v>
      </c>
      <c r="L26" s="12">
        <v>0</v>
      </c>
      <c r="M26" s="12">
        <v>1004</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row>
    <row r="27" spans="1:32" x14ac:dyDescent="0.35">
      <c r="A27" s="31"/>
      <c r="B27" s="13" t="s">
        <v>312</v>
      </c>
      <c r="C27" s="14">
        <v>0.02</v>
      </c>
      <c r="D27" s="15" t="s">
        <v>333</v>
      </c>
      <c r="E27" s="15" t="s">
        <v>333</v>
      </c>
      <c r="F27" s="15" t="s">
        <v>333</v>
      </c>
      <c r="G27" s="15" t="s">
        <v>333</v>
      </c>
      <c r="H27" s="15" t="s">
        <v>333</v>
      </c>
      <c r="I27" s="15" t="s">
        <v>333</v>
      </c>
      <c r="J27" s="15" t="s">
        <v>333</v>
      </c>
      <c r="K27" s="15" t="s">
        <v>333</v>
      </c>
      <c r="L27" s="15" t="s">
        <v>333</v>
      </c>
      <c r="M27" s="14">
        <v>1</v>
      </c>
      <c r="N27" s="15" t="s">
        <v>333</v>
      </c>
      <c r="O27" s="15" t="s">
        <v>333</v>
      </c>
      <c r="P27" s="15" t="s">
        <v>333</v>
      </c>
      <c r="Q27" s="15" t="s">
        <v>333</v>
      </c>
      <c r="R27" s="15" t="s">
        <v>333</v>
      </c>
      <c r="S27" s="15" t="s">
        <v>333</v>
      </c>
      <c r="T27" s="15" t="s">
        <v>333</v>
      </c>
      <c r="U27" s="15" t="s">
        <v>333</v>
      </c>
      <c r="V27" s="15" t="s">
        <v>333</v>
      </c>
      <c r="W27" s="15" t="s">
        <v>333</v>
      </c>
      <c r="X27" s="15" t="s">
        <v>333</v>
      </c>
      <c r="Y27" s="15" t="s">
        <v>333</v>
      </c>
      <c r="Z27" s="15" t="s">
        <v>333</v>
      </c>
      <c r="AA27" s="15" t="s">
        <v>333</v>
      </c>
      <c r="AB27" s="15" t="s">
        <v>333</v>
      </c>
      <c r="AC27" s="15" t="s">
        <v>333</v>
      </c>
      <c r="AD27" s="15" t="s">
        <v>333</v>
      </c>
      <c r="AE27" s="15" t="s">
        <v>333</v>
      </c>
      <c r="AF27" s="15" t="s">
        <v>333</v>
      </c>
    </row>
    <row r="28" spans="1:32" x14ac:dyDescent="0.35">
      <c r="A28" s="31"/>
      <c r="B28" s="11" t="s">
        <v>313</v>
      </c>
      <c r="C28" s="12">
        <v>2905</v>
      </c>
      <c r="D28" s="12">
        <v>0</v>
      </c>
      <c r="E28" s="12">
        <v>0</v>
      </c>
      <c r="F28" s="12">
        <v>0</v>
      </c>
      <c r="G28" s="12">
        <v>0</v>
      </c>
      <c r="H28" s="12">
        <v>0</v>
      </c>
      <c r="I28" s="12">
        <v>0</v>
      </c>
      <c r="J28" s="12">
        <v>0</v>
      </c>
      <c r="K28" s="12">
        <v>0</v>
      </c>
      <c r="L28" s="12">
        <v>0</v>
      </c>
      <c r="M28" s="12">
        <v>0</v>
      </c>
      <c r="N28" s="12">
        <v>1000</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row>
    <row r="29" spans="1:32" x14ac:dyDescent="0.35">
      <c r="A29" s="31"/>
      <c r="B29" s="13" t="s">
        <v>313</v>
      </c>
      <c r="C29" s="14">
        <v>0.11</v>
      </c>
      <c r="D29" s="15" t="s">
        <v>333</v>
      </c>
      <c r="E29" s="15" t="s">
        <v>333</v>
      </c>
      <c r="F29" s="15" t="s">
        <v>333</v>
      </c>
      <c r="G29" s="15" t="s">
        <v>333</v>
      </c>
      <c r="H29" s="15" t="s">
        <v>333</v>
      </c>
      <c r="I29" s="15" t="s">
        <v>333</v>
      </c>
      <c r="J29" s="15" t="s">
        <v>333</v>
      </c>
      <c r="K29" s="15" t="s">
        <v>333</v>
      </c>
      <c r="L29" s="15" t="s">
        <v>333</v>
      </c>
      <c r="M29" s="15" t="s">
        <v>333</v>
      </c>
      <c r="N29" s="14">
        <v>1</v>
      </c>
      <c r="O29" s="15" t="s">
        <v>333</v>
      </c>
      <c r="P29" s="15" t="s">
        <v>333</v>
      </c>
      <c r="Q29" s="15" t="s">
        <v>333</v>
      </c>
      <c r="R29" s="15" t="s">
        <v>333</v>
      </c>
      <c r="S29" s="15" t="s">
        <v>333</v>
      </c>
      <c r="T29" s="15" t="s">
        <v>333</v>
      </c>
      <c r="U29" s="15" t="s">
        <v>333</v>
      </c>
      <c r="V29" s="15" t="s">
        <v>333</v>
      </c>
      <c r="W29" s="15" t="s">
        <v>333</v>
      </c>
      <c r="X29" s="15" t="s">
        <v>333</v>
      </c>
      <c r="Y29" s="15" t="s">
        <v>333</v>
      </c>
      <c r="Z29" s="15" t="s">
        <v>333</v>
      </c>
      <c r="AA29" s="15" t="s">
        <v>333</v>
      </c>
      <c r="AB29" s="15" t="s">
        <v>333</v>
      </c>
      <c r="AC29" s="15" t="s">
        <v>333</v>
      </c>
      <c r="AD29" s="15" t="s">
        <v>333</v>
      </c>
      <c r="AE29" s="15" t="s">
        <v>333</v>
      </c>
      <c r="AF29" s="15" t="s">
        <v>333</v>
      </c>
    </row>
    <row r="30" spans="1:32" x14ac:dyDescent="0.35">
      <c r="A30" s="31"/>
      <c r="B30" s="11" t="s">
        <v>330</v>
      </c>
      <c r="C30" s="12">
        <v>329</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1007</v>
      </c>
      <c r="AF30" s="12">
        <v>0</v>
      </c>
    </row>
    <row r="31" spans="1:32" x14ac:dyDescent="0.35">
      <c r="A31" s="31"/>
      <c r="B31" s="13" t="s">
        <v>330</v>
      </c>
      <c r="C31" s="14">
        <v>0.01</v>
      </c>
      <c r="D31" s="15" t="s">
        <v>333</v>
      </c>
      <c r="E31" s="15" t="s">
        <v>333</v>
      </c>
      <c r="F31" s="15" t="s">
        <v>333</v>
      </c>
      <c r="G31" s="15" t="s">
        <v>333</v>
      </c>
      <c r="H31" s="15" t="s">
        <v>333</v>
      </c>
      <c r="I31" s="15" t="s">
        <v>333</v>
      </c>
      <c r="J31" s="15" t="s">
        <v>333</v>
      </c>
      <c r="K31" s="15" t="s">
        <v>333</v>
      </c>
      <c r="L31" s="15" t="s">
        <v>333</v>
      </c>
      <c r="M31" s="15" t="s">
        <v>333</v>
      </c>
      <c r="N31" s="15" t="s">
        <v>333</v>
      </c>
      <c r="O31" s="15" t="s">
        <v>333</v>
      </c>
      <c r="P31" s="15" t="s">
        <v>333</v>
      </c>
      <c r="Q31" s="15" t="s">
        <v>333</v>
      </c>
      <c r="R31" s="15" t="s">
        <v>333</v>
      </c>
      <c r="S31" s="15" t="s">
        <v>333</v>
      </c>
      <c r="T31" s="15" t="s">
        <v>333</v>
      </c>
      <c r="U31" s="15" t="s">
        <v>333</v>
      </c>
      <c r="V31" s="15" t="s">
        <v>333</v>
      </c>
      <c r="W31" s="15" t="s">
        <v>333</v>
      </c>
      <c r="X31" s="15" t="s">
        <v>333</v>
      </c>
      <c r="Y31" s="15" t="s">
        <v>333</v>
      </c>
      <c r="Z31" s="15" t="s">
        <v>333</v>
      </c>
      <c r="AA31" s="15" t="s">
        <v>333</v>
      </c>
      <c r="AB31" s="15" t="s">
        <v>333</v>
      </c>
      <c r="AC31" s="15" t="s">
        <v>333</v>
      </c>
      <c r="AD31" s="15" t="s">
        <v>333</v>
      </c>
      <c r="AE31" s="14">
        <v>1</v>
      </c>
      <c r="AF31" s="15" t="s">
        <v>333</v>
      </c>
    </row>
    <row r="32" spans="1:32" x14ac:dyDescent="0.35">
      <c r="A32" s="31"/>
      <c r="B32" s="11" t="s">
        <v>314</v>
      </c>
      <c r="C32" s="12">
        <v>3914</v>
      </c>
      <c r="D32" s="12">
        <v>0</v>
      </c>
      <c r="E32" s="12">
        <v>0</v>
      </c>
      <c r="F32" s="12">
        <v>0</v>
      </c>
      <c r="G32" s="12">
        <v>0</v>
      </c>
      <c r="H32" s="12">
        <v>0</v>
      </c>
      <c r="I32" s="12">
        <v>0</v>
      </c>
      <c r="J32" s="12">
        <v>0</v>
      </c>
      <c r="K32" s="12">
        <v>0</v>
      </c>
      <c r="L32" s="12">
        <v>0</v>
      </c>
      <c r="M32" s="12">
        <v>0</v>
      </c>
      <c r="N32" s="12">
        <v>0</v>
      </c>
      <c r="O32" s="12">
        <v>1000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x14ac:dyDescent="0.35">
      <c r="A33" s="31"/>
      <c r="B33" s="13" t="s">
        <v>314</v>
      </c>
      <c r="C33" s="14">
        <v>0.15</v>
      </c>
      <c r="D33" s="15" t="s">
        <v>333</v>
      </c>
      <c r="E33" s="15" t="s">
        <v>333</v>
      </c>
      <c r="F33" s="15" t="s">
        <v>333</v>
      </c>
      <c r="G33" s="15" t="s">
        <v>333</v>
      </c>
      <c r="H33" s="15" t="s">
        <v>333</v>
      </c>
      <c r="I33" s="15" t="s">
        <v>333</v>
      </c>
      <c r="J33" s="15" t="s">
        <v>333</v>
      </c>
      <c r="K33" s="15" t="s">
        <v>333</v>
      </c>
      <c r="L33" s="15" t="s">
        <v>333</v>
      </c>
      <c r="M33" s="15" t="s">
        <v>333</v>
      </c>
      <c r="N33" s="15" t="s">
        <v>333</v>
      </c>
      <c r="O33" s="14">
        <v>1</v>
      </c>
      <c r="P33" s="15" t="s">
        <v>333</v>
      </c>
      <c r="Q33" s="15" t="s">
        <v>333</v>
      </c>
      <c r="R33" s="15" t="s">
        <v>333</v>
      </c>
      <c r="S33" s="15" t="s">
        <v>333</v>
      </c>
      <c r="T33" s="15" t="s">
        <v>333</v>
      </c>
      <c r="U33" s="15" t="s">
        <v>333</v>
      </c>
      <c r="V33" s="15" t="s">
        <v>333</v>
      </c>
      <c r="W33" s="15" t="s">
        <v>333</v>
      </c>
      <c r="X33" s="15" t="s">
        <v>333</v>
      </c>
      <c r="Y33" s="15" t="s">
        <v>333</v>
      </c>
      <c r="Z33" s="15" t="s">
        <v>333</v>
      </c>
      <c r="AA33" s="15" t="s">
        <v>333</v>
      </c>
      <c r="AB33" s="15" t="s">
        <v>333</v>
      </c>
      <c r="AC33" s="15" t="s">
        <v>333</v>
      </c>
      <c r="AD33" s="15" t="s">
        <v>333</v>
      </c>
      <c r="AE33" s="15" t="s">
        <v>333</v>
      </c>
      <c r="AF33" s="15" t="s">
        <v>333</v>
      </c>
    </row>
    <row r="34" spans="1:32" x14ac:dyDescent="0.35">
      <c r="A34" s="31"/>
      <c r="B34" s="11" t="s">
        <v>315</v>
      </c>
      <c r="C34" s="12">
        <v>229</v>
      </c>
      <c r="D34" s="12">
        <v>0</v>
      </c>
      <c r="E34" s="12">
        <v>0</v>
      </c>
      <c r="F34" s="12">
        <v>0</v>
      </c>
      <c r="G34" s="12">
        <v>0</v>
      </c>
      <c r="H34" s="12">
        <v>0</v>
      </c>
      <c r="I34" s="12">
        <v>0</v>
      </c>
      <c r="J34" s="12">
        <v>0</v>
      </c>
      <c r="K34" s="12">
        <v>0</v>
      </c>
      <c r="L34" s="12">
        <v>0</v>
      </c>
      <c r="M34" s="12">
        <v>0</v>
      </c>
      <c r="N34" s="12">
        <v>0</v>
      </c>
      <c r="O34" s="12">
        <v>0</v>
      </c>
      <c r="P34" s="12">
        <v>1004</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row>
    <row r="35" spans="1:32" x14ac:dyDescent="0.35">
      <c r="A35" s="31"/>
      <c r="B35" s="13" t="s">
        <v>315</v>
      </c>
      <c r="C35" s="14">
        <v>0.01</v>
      </c>
      <c r="D35" s="15" t="s">
        <v>333</v>
      </c>
      <c r="E35" s="15" t="s">
        <v>333</v>
      </c>
      <c r="F35" s="15" t="s">
        <v>333</v>
      </c>
      <c r="G35" s="15" t="s">
        <v>333</v>
      </c>
      <c r="H35" s="15" t="s">
        <v>333</v>
      </c>
      <c r="I35" s="15" t="s">
        <v>333</v>
      </c>
      <c r="J35" s="15" t="s">
        <v>333</v>
      </c>
      <c r="K35" s="15" t="s">
        <v>333</v>
      </c>
      <c r="L35" s="15" t="s">
        <v>333</v>
      </c>
      <c r="M35" s="15" t="s">
        <v>333</v>
      </c>
      <c r="N35" s="15" t="s">
        <v>333</v>
      </c>
      <c r="O35" s="15" t="s">
        <v>333</v>
      </c>
      <c r="P35" s="14">
        <v>1</v>
      </c>
      <c r="Q35" s="15" t="s">
        <v>333</v>
      </c>
      <c r="R35" s="15" t="s">
        <v>333</v>
      </c>
      <c r="S35" s="15" t="s">
        <v>333</v>
      </c>
      <c r="T35" s="15" t="s">
        <v>333</v>
      </c>
      <c r="U35" s="15" t="s">
        <v>333</v>
      </c>
      <c r="V35" s="15" t="s">
        <v>333</v>
      </c>
      <c r="W35" s="15" t="s">
        <v>333</v>
      </c>
      <c r="X35" s="15" t="s">
        <v>333</v>
      </c>
      <c r="Y35" s="15" t="s">
        <v>333</v>
      </c>
      <c r="Z35" s="15" t="s">
        <v>333</v>
      </c>
      <c r="AA35" s="15" t="s">
        <v>333</v>
      </c>
      <c r="AB35" s="15" t="s">
        <v>333</v>
      </c>
      <c r="AC35" s="15" t="s">
        <v>333</v>
      </c>
      <c r="AD35" s="15" t="s">
        <v>333</v>
      </c>
      <c r="AE35" s="15" t="s">
        <v>333</v>
      </c>
      <c r="AF35" s="15" t="s">
        <v>333</v>
      </c>
    </row>
    <row r="36" spans="1:32" x14ac:dyDescent="0.35">
      <c r="A36" s="31"/>
      <c r="B36" s="11" t="s">
        <v>321</v>
      </c>
      <c r="C36" s="12">
        <v>565</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1014</v>
      </c>
      <c r="W36" s="12">
        <v>0</v>
      </c>
      <c r="X36" s="12">
        <v>0</v>
      </c>
      <c r="Y36" s="12">
        <v>0</v>
      </c>
      <c r="Z36" s="12">
        <v>0</v>
      </c>
      <c r="AA36" s="12">
        <v>0</v>
      </c>
      <c r="AB36" s="12">
        <v>0</v>
      </c>
      <c r="AC36" s="12">
        <v>0</v>
      </c>
      <c r="AD36" s="12">
        <v>0</v>
      </c>
      <c r="AE36" s="12">
        <v>0</v>
      </c>
      <c r="AF36" s="12">
        <v>0</v>
      </c>
    </row>
    <row r="37" spans="1:32" x14ac:dyDescent="0.35">
      <c r="A37" s="31"/>
      <c r="B37" s="13" t="s">
        <v>321</v>
      </c>
      <c r="C37" s="14">
        <v>0.02</v>
      </c>
      <c r="D37" s="15" t="s">
        <v>333</v>
      </c>
      <c r="E37" s="15" t="s">
        <v>333</v>
      </c>
      <c r="F37" s="15" t="s">
        <v>333</v>
      </c>
      <c r="G37" s="15" t="s">
        <v>333</v>
      </c>
      <c r="H37" s="15" t="s">
        <v>333</v>
      </c>
      <c r="I37" s="15" t="s">
        <v>333</v>
      </c>
      <c r="J37" s="15" t="s">
        <v>333</v>
      </c>
      <c r="K37" s="15" t="s">
        <v>333</v>
      </c>
      <c r="L37" s="15" t="s">
        <v>333</v>
      </c>
      <c r="M37" s="15" t="s">
        <v>333</v>
      </c>
      <c r="N37" s="15" t="s">
        <v>333</v>
      </c>
      <c r="O37" s="15" t="s">
        <v>333</v>
      </c>
      <c r="P37" s="15" t="s">
        <v>333</v>
      </c>
      <c r="Q37" s="15" t="s">
        <v>333</v>
      </c>
      <c r="R37" s="15" t="s">
        <v>333</v>
      </c>
      <c r="S37" s="15" t="s">
        <v>333</v>
      </c>
      <c r="T37" s="15" t="s">
        <v>333</v>
      </c>
      <c r="U37" s="15" t="s">
        <v>333</v>
      </c>
      <c r="V37" s="14">
        <v>1</v>
      </c>
      <c r="W37" s="15" t="s">
        <v>333</v>
      </c>
      <c r="X37" s="15" t="s">
        <v>333</v>
      </c>
      <c r="Y37" s="15" t="s">
        <v>333</v>
      </c>
      <c r="Z37" s="15" t="s">
        <v>333</v>
      </c>
      <c r="AA37" s="15" t="s">
        <v>333</v>
      </c>
      <c r="AB37" s="15" t="s">
        <v>333</v>
      </c>
      <c r="AC37" s="15" t="s">
        <v>333</v>
      </c>
      <c r="AD37" s="15" t="s">
        <v>333</v>
      </c>
      <c r="AE37" s="15" t="s">
        <v>333</v>
      </c>
      <c r="AF37" s="15" t="s">
        <v>333</v>
      </c>
    </row>
    <row r="38" spans="1:32" x14ac:dyDescent="0.35">
      <c r="A38" s="31"/>
      <c r="B38" s="11" t="s">
        <v>311</v>
      </c>
      <c r="C38" s="12">
        <v>299</v>
      </c>
      <c r="D38" s="12">
        <v>0</v>
      </c>
      <c r="E38" s="12">
        <v>0</v>
      </c>
      <c r="F38" s="12">
        <v>0</v>
      </c>
      <c r="G38" s="12">
        <v>0</v>
      </c>
      <c r="H38" s="12">
        <v>0</v>
      </c>
      <c r="I38" s="12">
        <v>0</v>
      </c>
      <c r="J38" s="12">
        <v>0</v>
      </c>
      <c r="K38" s="12">
        <v>0</v>
      </c>
      <c r="L38" s="12">
        <v>1004</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row>
    <row r="39" spans="1:32" x14ac:dyDescent="0.35">
      <c r="A39" s="31"/>
      <c r="B39" s="13" t="s">
        <v>311</v>
      </c>
      <c r="C39" s="14">
        <v>0.01</v>
      </c>
      <c r="D39" s="15" t="s">
        <v>333</v>
      </c>
      <c r="E39" s="15" t="s">
        <v>333</v>
      </c>
      <c r="F39" s="15" t="s">
        <v>333</v>
      </c>
      <c r="G39" s="15" t="s">
        <v>333</v>
      </c>
      <c r="H39" s="15" t="s">
        <v>333</v>
      </c>
      <c r="I39" s="15" t="s">
        <v>333</v>
      </c>
      <c r="J39" s="15" t="s">
        <v>333</v>
      </c>
      <c r="K39" s="15" t="s">
        <v>333</v>
      </c>
      <c r="L39" s="14">
        <v>1</v>
      </c>
      <c r="M39" s="15" t="s">
        <v>333</v>
      </c>
      <c r="N39" s="15" t="s">
        <v>333</v>
      </c>
      <c r="O39" s="15" t="s">
        <v>333</v>
      </c>
      <c r="P39" s="15" t="s">
        <v>333</v>
      </c>
      <c r="Q39" s="15" t="s">
        <v>333</v>
      </c>
      <c r="R39" s="15" t="s">
        <v>333</v>
      </c>
      <c r="S39" s="15" t="s">
        <v>333</v>
      </c>
      <c r="T39" s="15" t="s">
        <v>333</v>
      </c>
      <c r="U39" s="15" t="s">
        <v>333</v>
      </c>
      <c r="V39" s="15" t="s">
        <v>333</v>
      </c>
      <c r="W39" s="15" t="s">
        <v>333</v>
      </c>
      <c r="X39" s="15" t="s">
        <v>333</v>
      </c>
      <c r="Y39" s="15" t="s">
        <v>333</v>
      </c>
      <c r="Z39" s="15" t="s">
        <v>333</v>
      </c>
      <c r="AA39" s="15" t="s">
        <v>333</v>
      </c>
      <c r="AB39" s="15" t="s">
        <v>333</v>
      </c>
      <c r="AC39" s="15" t="s">
        <v>333</v>
      </c>
      <c r="AD39" s="15" t="s">
        <v>333</v>
      </c>
      <c r="AE39" s="15" t="s">
        <v>333</v>
      </c>
      <c r="AF39" s="15" t="s">
        <v>333</v>
      </c>
    </row>
    <row r="40" spans="1:32" x14ac:dyDescent="0.35">
      <c r="A40" s="31"/>
      <c r="B40" s="11" t="s">
        <v>316</v>
      </c>
      <c r="C40" s="12">
        <v>3565</v>
      </c>
      <c r="D40" s="12">
        <v>0</v>
      </c>
      <c r="E40" s="12">
        <v>0</v>
      </c>
      <c r="F40" s="12">
        <v>0</v>
      </c>
      <c r="G40" s="12">
        <v>0</v>
      </c>
      <c r="H40" s="12">
        <v>0</v>
      </c>
      <c r="I40" s="12">
        <v>0</v>
      </c>
      <c r="J40" s="12">
        <v>0</v>
      </c>
      <c r="K40" s="12">
        <v>0</v>
      </c>
      <c r="L40" s="12">
        <v>0</v>
      </c>
      <c r="M40" s="12">
        <v>0</v>
      </c>
      <c r="N40" s="12">
        <v>0</v>
      </c>
      <c r="O40" s="12">
        <v>0</v>
      </c>
      <c r="P40" s="12">
        <v>0</v>
      </c>
      <c r="Q40" s="12">
        <v>1035</v>
      </c>
      <c r="R40" s="12">
        <v>0</v>
      </c>
      <c r="S40" s="12">
        <v>0</v>
      </c>
      <c r="T40" s="12">
        <v>0</v>
      </c>
      <c r="U40" s="12">
        <v>0</v>
      </c>
      <c r="V40" s="12">
        <v>0</v>
      </c>
      <c r="W40" s="12">
        <v>0</v>
      </c>
      <c r="X40" s="12">
        <v>0</v>
      </c>
      <c r="Y40" s="12">
        <v>0</v>
      </c>
      <c r="Z40" s="12">
        <v>0</v>
      </c>
      <c r="AA40" s="12">
        <v>0</v>
      </c>
      <c r="AB40" s="12">
        <v>0</v>
      </c>
      <c r="AC40" s="12">
        <v>0</v>
      </c>
      <c r="AD40" s="12">
        <v>0</v>
      </c>
      <c r="AE40" s="12">
        <v>0</v>
      </c>
      <c r="AF40" s="12">
        <v>0</v>
      </c>
    </row>
    <row r="41" spans="1:32" x14ac:dyDescent="0.35">
      <c r="A41" s="31"/>
      <c r="B41" s="13" t="s">
        <v>316</v>
      </c>
      <c r="C41" s="14">
        <v>0.14000000000000001</v>
      </c>
      <c r="D41" s="15" t="s">
        <v>333</v>
      </c>
      <c r="E41" s="15" t="s">
        <v>333</v>
      </c>
      <c r="F41" s="15" t="s">
        <v>333</v>
      </c>
      <c r="G41" s="15" t="s">
        <v>333</v>
      </c>
      <c r="H41" s="15" t="s">
        <v>333</v>
      </c>
      <c r="I41" s="15" t="s">
        <v>333</v>
      </c>
      <c r="J41" s="15" t="s">
        <v>333</v>
      </c>
      <c r="K41" s="15" t="s">
        <v>333</v>
      </c>
      <c r="L41" s="15" t="s">
        <v>333</v>
      </c>
      <c r="M41" s="15" t="s">
        <v>333</v>
      </c>
      <c r="N41" s="15" t="s">
        <v>333</v>
      </c>
      <c r="O41" s="15" t="s">
        <v>333</v>
      </c>
      <c r="P41" s="15" t="s">
        <v>333</v>
      </c>
      <c r="Q41" s="14">
        <v>1</v>
      </c>
      <c r="R41" s="15" t="s">
        <v>333</v>
      </c>
      <c r="S41" s="15" t="s">
        <v>333</v>
      </c>
      <c r="T41" s="15" t="s">
        <v>333</v>
      </c>
      <c r="U41" s="15" t="s">
        <v>333</v>
      </c>
      <c r="V41" s="15" t="s">
        <v>333</v>
      </c>
      <c r="W41" s="15" t="s">
        <v>333</v>
      </c>
      <c r="X41" s="15" t="s">
        <v>333</v>
      </c>
      <c r="Y41" s="15" t="s">
        <v>333</v>
      </c>
      <c r="Z41" s="15" t="s">
        <v>333</v>
      </c>
      <c r="AA41" s="15" t="s">
        <v>333</v>
      </c>
      <c r="AB41" s="15" t="s">
        <v>333</v>
      </c>
      <c r="AC41" s="15" t="s">
        <v>333</v>
      </c>
      <c r="AD41" s="15" t="s">
        <v>333</v>
      </c>
      <c r="AE41" s="15" t="s">
        <v>333</v>
      </c>
      <c r="AF41" s="15" t="s">
        <v>333</v>
      </c>
    </row>
    <row r="42" spans="1:32" x14ac:dyDescent="0.35">
      <c r="A42" s="31"/>
      <c r="B42" s="11" t="s">
        <v>319</v>
      </c>
      <c r="C42" s="12">
        <v>170</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1017</v>
      </c>
      <c r="U42" s="12">
        <v>0</v>
      </c>
      <c r="V42" s="12">
        <v>0</v>
      </c>
      <c r="W42" s="12">
        <v>0</v>
      </c>
      <c r="X42" s="12">
        <v>0</v>
      </c>
      <c r="Y42" s="12">
        <v>0</v>
      </c>
      <c r="Z42" s="12">
        <v>0</v>
      </c>
      <c r="AA42" s="12">
        <v>0</v>
      </c>
      <c r="AB42" s="12">
        <v>0</v>
      </c>
      <c r="AC42" s="12">
        <v>0</v>
      </c>
      <c r="AD42" s="12">
        <v>0</v>
      </c>
      <c r="AE42" s="12">
        <v>0</v>
      </c>
      <c r="AF42" s="12">
        <v>0</v>
      </c>
    </row>
    <row r="43" spans="1:32" x14ac:dyDescent="0.35">
      <c r="A43" s="31"/>
      <c r="B43" s="13" t="s">
        <v>319</v>
      </c>
      <c r="C43" s="14">
        <v>0.01</v>
      </c>
      <c r="D43" s="15" t="s">
        <v>333</v>
      </c>
      <c r="E43" s="15" t="s">
        <v>333</v>
      </c>
      <c r="F43" s="15" t="s">
        <v>333</v>
      </c>
      <c r="G43" s="15" t="s">
        <v>333</v>
      </c>
      <c r="H43" s="15" t="s">
        <v>333</v>
      </c>
      <c r="I43" s="15" t="s">
        <v>333</v>
      </c>
      <c r="J43" s="15" t="s">
        <v>333</v>
      </c>
      <c r="K43" s="15" t="s">
        <v>333</v>
      </c>
      <c r="L43" s="15" t="s">
        <v>333</v>
      </c>
      <c r="M43" s="15" t="s">
        <v>333</v>
      </c>
      <c r="N43" s="15" t="s">
        <v>333</v>
      </c>
      <c r="O43" s="15" t="s">
        <v>333</v>
      </c>
      <c r="P43" s="15" t="s">
        <v>333</v>
      </c>
      <c r="Q43" s="15" t="s">
        <v>333</v>
      </c>
      <c r="R43" s="15" t="s">
        <v>333</v>
      </c>
      <c r="S43" s="15" t="s">
        <v>333</v>
      </c>
      <c r="T43" s="14">
        <v>1</v>
      </c>
      <c r="U43" s="15" t="s">
        <v>333</v>
      </c>
      <c r="V43" s="15" t="s">
        <v>333</v>
      </c>
      <c r="W43" s="15" t="s">
        <v>333</v>
      </c>
      <c r="X43" s="15" t="s">
        <v>333</v>
      </c>
      <c r="Y43" s="15" t="s">
        <v>333</v>
      </c>
      <c r="Z43" s="15" t="s">
        <v>333</v>
      </c>
      <c r="AA43" s="15" t="s">
        <v>333</v>
      </c>
      <c r="AB43" s="15" t="s">
        <v>333</v>
      </c>
      <c r="AC43" s="15" t="s">
        <v>333</v>
      </c>
      <c r="AD43" s="15" t="s">
        <v>333</v>
      </c>
      <c r="AE43" s="15" t="s">
        <v>333</v>
      </c>
      <c r="AF43" s="15" t="s">
        <v>333</v>
      </c>
    </row>
    <row r="44" spans="1:32" x14ac:dyDescent="0.35">
      <c r="A44" s="31"/>
      <c r="B44" s="11" t="s">
        <v>320</v>
      </c>
      <c r="C44" s="12">
        <v>39</v>
      </c>
      <c r="D44" s="12">
        <v>0</v>
      </c>
      <c r="E44" s="12">
        <v>0</v>
      </c>
      <c r="F44" s="12">
        <v>0</v>
      </c>
      <c r="G44" s="12">
        <v>0</v>
      </c>
      <c r="H44" s="12">
        <v>0</v>
      </c>
      <c r="I44" s="12">
        <v>0</v>
      </c>
      <c r="J44" s="12">
        <v>0</v>
      </c>
      <c r="K44" s="12">
        <v>0</v>
      </c>
      <c r="L44" s="12">
        <v>0</v>
      </c>
      <c r="M44" s="12">
        <v>0</v>
      </c>
      <c r="N44" s="12">
        <v>0</v>
      </c>
      <c r="O44" s="12">
        <v>0</v>
      </c>
      <c r="P44" s="12">
        <v>0</v>
      </c>
      <c r="Q44" s="12">
        <v>0</v>
      </c>
      <c r="R44" s="12">
        <v>0</v>
      </c>
      <c r="S44" s="12">
        <v>0</v>
      </c>
      <c r="T44" s="12">
        <v>0</v>
      </c>
      <c r="U44" s="12">
        <v>509</v>
      </c>
      <c r="V44" s="12">
        <v>0</v>
      </c>
      <c r="W44" s="12">
        <v>0</v>
      </c>
      <c r="X44" s="12">
        <v>0</v>
      </c>
      <c r="Y44" s="12">
        <v>0</v>
      </c>
      <c r="Z44" s="12">
        <v>0</v>
      </c>
      <c r="AA44" s="12">
        <v>0</v>
      </c>
      <c r="AB44" s="12">
        <v>0</v>
      </c>
      <c r="AC44" s="12">
        <v>0</v>
      </c>
      <c r="AD44" s="12">
        <v>0</v>
      </c>
      <c r="AE44" s="12">
        <v>0</v>
      </c>
      <c r="AF44" s="12">
        <v>0</v>
      </c>
    </row>
    <row r="45" spans="1:32" x14ac:dyDescent="0.35">
      <c r="A45" s="31"/>
      <c r="B45" s="13" t="s">
        <v>320</v>
      </c>
      <c r="C45" s="15" t="s">
        <v>333</v>
      </c>
      <c r="D45" s="15" t="s">
        <v>333</v>
      </c>
      <c r="E45" s="15" t="s">
        <v>333</v>
      </c>
      <c r="F45" s="15" t="s">
        <v>333</v>
      </c>
      <c r="G45" s="15" t="s">
        <v>333</v>
      </c>
      <c r="H45" s="15" t="s">
        <v>333</v>
      </c>
      <c r="I45" s="15" t="s">
        <v>333</v>
      </c>
      <c r="J45" s="15" t="s">
        <v>333</v>
      </c>
      <c r="K45" s="15" t="s">
        <v>333</v>
      </c>
      <c r="L45" s="15" t="s">
        <v>333</v>
      </c>
      <c r="M45" s="15" t="s">
        <v>333</v>
      </c>
      <c r="N45" s="15" t="s">
        <v>333</v>
      </c>
      <c r="O45" s="15" t="s">
        <v>333</v>
      </c>
      <c r="P45" s="15" t="s">
        <v>333</v>
      </c>
      <c r="Q45" s="15" t="s">
        <v>333</v>
      </c>
      <c r="R45" s="15" t="s">
        <v>333</v>
      </c>
      <c r="S45" s="15" t="s">
        <v>333</v>
      </c>
      <c r="T45" s="15" t="s">
        <v>333</v>
      </c>
      <c r="U45" s="14">
        <v>1</v>
      </c>
      <c r="V45" s="15" t="s">
        <v>333</v>
      </c>
      <c r="W45" s="15" t="s">
        <v>333</v>
      </c>
      <c r="X45" s="15" t="s">
        <v>333</v>
      </c>
      <c r="Y45" s="15" t="s">
        <v>333</v>
      </c>
      <c r="Z45" s="15" t="s">
        <v>333</v>
      </c>
      <c r="AA45" s="15" t="s">
        <v>333</v>
      </c>
      <c r="AB45" s="15" t="s">
        <v>333</v>
      </c>
      <c r="AC45" s="15" t="s">
        <v>333</v>
      </c>
      <c r="AD45" s="15" t="s">
        <v>333</v>
      </c>
      <c r="AE45" s="15" t="s">
        <v>333</v>
      </c>
      <c r="AF45" s="15" t="s">
        <v>333</v>
      </c>
    </row>
    <row r="46" spans="1:32" x14ac:dyDescent="0.35">
      <c r="A46" s="31"/>
      <c r="B46" s="11" t="s">
        <v>318</v>
      </c>
      <c r="C46" s="12">
        <v>109</v>
      </c>
      <c r="D46" s="12">
        <v>0</v>
      </c>
      <c r="E46" s="12">
        <v>0</v>
      </c>
      <c r="F46" s="12">
        <v>0</v>
      </c>
      <c r="G46" s="12">
        <v>0</v>
      </c>
      <c r="H46" s="12">
        <v>0</v>
      </c>
      <c r="I46" s="12">
        <v>0</v>
      </c>
      <c r="J46" s="12">
        <v>0</v>
      </c>
      <c r="K46" s="12">
        <v>0</v>
      </c>
      <c r="L46" s="12">
        <v>0</v>
      </c>
      <c r="M46" s="12">
        <v>0</v>
      </c>
      <c r="N46" s="12">
        <v>0</v>
      </c>
      <c r="O46" s="12">
        <v>0</v>
      </c>
      <c r="P46" s="12">
        <v>0</v>
      </c>
      <c r="Q46" s="12">
        <v>0</v>
      </c>
      <c r="R46" s="12">
        <v>0</v>
      </c>
      <c r="S46" s="12">
        <v>1021</v>
      </c>
      <c r="T46" s="12">
        <v>0</v>
      </c>
      <c r="U46" s="12">
        <v>0</v>
      </c>
      <c r="V46" s="12">
        <v>0</v>
      </c>
      <c r="W46" s="12">
        <v>0</v>
      </c>
      <c r="X46" s="12">
        <v>0</v>
      </c>
      <c r="Y46" s="12">
        <v>0</v>
      </c>
      <c r="Z46" s="12">
        <v>0</v>
      </c>
      <c r="AA46" s="12">
        <v>0</v>
      </c>
      <c r="AB46" s="12">
        <v>0</v>
      </c>
      <c r="AC46" s="12">
        <v>0</v>
      </c>
      <c r="AD46" s="12">
        <v>0</v>
      </c>
      <c r="AE46" s="12">
        <v>0</v>
      </c>
      <c r="AF46" s="12">
        <v>0</v>
      </c>
    </row>
    <row r="47" spans="1:32" x14ac:dyDescent="0.35">
      <c r="A47" s="31"/>
      <c r="B47" s="13" t="s">
        <v>318</v>
      </c>
      <c r="C47" s="15" t="s">
        <v>333</v>
      </c>
      <c r="D47" s="15" t="s">
        <v>333</v>
      </c>
      <c r="E47" s="15" t="s">
        <v>333</v>
      </c>
      <c r="F47" s="15" t="s">
        <v>333</v>
      </c>
      <c r="G47" s="15" t="s">
        <v>333</v>
      </c>
      <c r="H47" s="15" t="s">
        <v>333</v>
      </c>
      <c r="I47" s="15" t="s">
        <v>333</v>
      </c>
      <c r="J47" s="15" t="s">
        <v>333</v>
      </c>
      <c r="K47" s="15" t="s">
        <v>333</v>
      </c>
      <c r="L47" s="15" t="s">
        <v>333</v>
      </c>
      <c r="M47" s="15" t="s">
        <v>333</v>
      </c>
      <c r="N47" s="15" t="s">
        <v>333</v>
      </c>
      <c r="O47" s="15" t="s">
        <v>333</v>
      </c>
      <c r="P47" s="15" t="s">
        <v>333</v>
      </c>
      <c r="Q47" s="15" t="s">
        <v>333</v>
      </c>
      <c r="R47" s="15" t="s">
        <v>333</v>
      </c>
      <c r="S47" s="14">
        <v>1</v>
      </c>
      <c r="T47" s="15" t="s">
        <v>333</v>
      </c>
      <c r="U47" s="15" t="s">
        <v>333</v>
      </c>
      <c r="V47" s="15" t="s">
        <v>333</v>
      </c>
      <c r="W47" s="15" t="s">
        <v>333</v>
      </c>
      <c r="X47" s="15" t="s">
        <v>333</v>
      </c>
      <c r="Y47" s="15" t="s">
        <v>333</v>
      </c>
      <c r="Z47" s="15" t="s">
        <v>333</v>
      </c>
      <c r="AA47" s="15" t="s">
        <v>333</v>
      </c>
      <c r="AB47" s="15" t="s">
        <v>333</v>
      </c>
      <c r="AC47" s="15" t="s">
        <v>333</v>
      </c>
      <c r="AD47" s="15" t="s">
        <v>333</v>
      </c>
      <c r="AE47" s="15" t="s">
        <v>333</v>
      </c>
      <c r="AF47" s="15" t="s">
        <v>333</v>
      </c>
    </row>
    <row r="48" spans="1:32" x14ac:dyDescent="0.35">
      <c r="A48" s="31"/>
      <c r="B48" s="11" t="s">
        <v>322</v>
      </c>
      <c r="C48" s="12">
        <v>34</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501</v>
      </c>
      <c r="X48" s="12">
        <v>0</v>
      </c>
      <c r="Y48" s="12">
        <v>0</v>
      </c>
      <c r="Z48" s="12">
        <v>0</v>
      </c>
      <c r="AA48" s="12">
        <v>0</v>
      </c>
      <c r="AB48" s="12">
        <v>0</v>
      </c>
      <c r="AC48" s="12">
        <v>0</v>
      </c>
      <c r="AD48" s="12">
        <v>0</v>
      </c>
      <c r="AE48" s="12">
        <v>0</v>
      </c>
      <c r="AF48" s="12">
        <v>0</v>
      </c>
    </row>
    <row r="49" spans="1:32" x14ac:dyDescent="0.35">
      <c r="A49" s="31"/>
      <c r="B49" s="13" t="s">
        <v>322</v>
      </c>
      <c r="C49" s="15" t="s">
        <v>333</v>
      </c>
      <c r="D49" s="15" t="s">
        <v>333</v>
      </c>
      <c r="E49" s="15" t="s">
        <v>333</v>
      </c>
      <c r="F49" s="15" t="s">
        <v>333</v>
      </c>
      <c r="G49" s="15" t="s">
        <v>333</v>
      </c>
      <c r="H49" s="15" t="s">
        <v>333</v>
      </c>
      <c r="I49" s="15" t="s">
        <v>333</v>
      </c>
      <c r="J49" s="15" t="s">
        <v>333</v>
      </c>
      <c r="K49" s="15" t="s">
        <v>333</v>
      </c>
      <c r="L49" s="15" t="s">
        <v>333</v>
      </c>
      <c r="M49" s="15" t="s">
        <v>333</v>
      </c>
      <c r="N49" s="15" t="s">
        <v>333</v>
      </c>
      <c r="O49" s="15" t="s">
        <v>333</v>
      </c>
      <c r="P49" s="15" t="s">
        <v>333</v>
      </c>
      <c r="Q49" s="15" t="s">
        <v>333</v>
      </c>
      <c r="R49" s="15" t="s">
        <v>333</v>
      </c>
      <c r="S49" s="15" t="s">
        <v>333</v>
      </c>
      <c r="T49" s="15" t="s">
        <v>333</v>
      </c>
      <c r="U49" s="15" t="s">
        <v>333</v>
      </c>
      <c r="V49" s="15" t="s">
        <v>333</v>
      </c>
      <c r="W49" s="14">
        <v>1</v>
      </c>
      <c r="X49" s="15" t="s">
        <v>333</v>
      </c>
      <c r="Y49" s="15" t="s">
        <v>333</v>
      </c>
      <c r="Z49" s="15" t="s">
        <v>333</v>
      </c>
      <c r="AA49" s="15" t="s">
        <v>333</v>
      </c>
      <c r="AB49" s="15" t="s">
        <v>333</v>
      </c>
      <c r="AC49" s="15" t="s">
        <v>333</v>
      </c>
      <c r="AD49" s="15" t="s">
        <v>333</v>
      </c>
      <c r="AE49" s="15" t="s">
        <v>333</v>
      </c>
      <c r="AF49" s="15" t="s">
        <v>333</v>
      </c>
    </row>
    <row r="50" spans="1:32" x14ac:dyDescent="0.35">
      <c r="A50" s="31"/>
      <c r="B50" s="11" t="s">
        <v>323</v>
      </c>
      <c r="C50" s="12">
        <v>1048</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1010</v>
      </c>
      <c r="Y50" s="12">
        <v>0</v>
      </c>
      <c r="Z50" s="12">
        <v>0</v>
      </c>
      <c r="AA50" s="12">
        <v>0</v>
      </c>
      <c r="AB50" s="12">
        <v>0</v>
      </c>
      <c r="AC50" s="12">
        <v>0</v>
      </c>
      <c r="AD50" s="12">
        <v>0</v>
      </c>
      <c r="AE50" s="12">
        <v>0</v>
      </c>
      <c r="AF50" s="12">
        <v>0</v>
      </c>
    </row>
    <row r="51" spans="1:32" x14ac:dyDescent="0.35">
      <c r="A51" s="31"/>
      <c r="B51" s="13" t="s">
        <v>323</v>
      </c>
      <c r="C51" s="14">
        <v>0.04</v>
      </c>
      <c r="D51" s="15" t="s">
        <v>333</v>
      </c>
      <c r="E51" s="15" t="s">
        <v>333</v>
      </c>
      <c r="F51" s="15" t="s">
        <v>333</v>
      </c>
      <c r="G51" s="15" t="s">
        <v>333</v>
      </c>
      <c r="H51" s="15" t="s">
        <v>333</v>
      </c>
      <c r="I51" s="15" t="s">
        <v>333</v>
      </c>
      <c r="J51" s="15" t="s">
        <v>333</v>
      </c>
      <c r="K51" s="15" t="s">
        <v>333</v>
      </c>
      <c r="L51" s="15" t="s">
        <v>333</v>
      </c>
      <c r="M51" s="15" t="s">
        <v>333</v>
      </c>
      <c r="N51" s="15" t="s">
        <v>333</v>
      </c>
      <c r="O51" s="15" t="s">
        <v>333</v>
      </c>
      <c r="P51" s="15" t="s">
        <v>333</v>
      </c>
      <c r="Q51" s="15" t="s">
        <v>333</v>
      </c>
      <c r="R51" s="15" t="s">
        <v>333</v>
      </c>
      <c r="S51" s="15" t="s">
        <v>333</v>
      </c>
      <c r="T51" s="15" t="s">
        <v>333</v>
      </c>
      <c r="U51" s="15" t="s">
        <v>333</v>
      </c>
      <c r="V51" s="15" t="s">
        <v>333</v>
      </c>
      <c r="W51" s="15" t="s">
        <v>333</v>
      </c>
      <c r="X51" s="14">
        <v>1</v>
      </c>
      <c r="Y51" s="15" t="s">
        <v>333</v>
      </c>
      <c r="Z51" s="15" t="s">
        <v>333</v>
      </c>
      <c r="AA51" s="15" t="s">
        <v>333</v>
      </c>
      <c r="AB51" s="15" t="s">
        <v>333</v>
      </c>
      <c r="AC51" s="15" t="s">
        <v>333</v>
      </c>
      <c r="AD51" s="15" t="s">
        <v>333</v>
      </c>
      <c r="AE51" s="15" t="s">
        <v>333</v>
      </c>
      <c r="AF51" s="15" t="s">
        <v>333</v>
      </c>
    </row>
    <row r="52" spans="1:32" x14ac:dyDescent="0.35">
      <c r="A52" s="31"/>
      <c r="B52" s="11" t="s">
        <v>325</v>
      </c>
      <c r="C52" s="12">
        <v>2140</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0</v>
      </c>
      <c r="V52" s="12">
        <v>0</v>
      </c>
      <c r="W52" s="12">
        <v>0</v>
      </c>
      <c r="X52" s="12">
        <v>0</v>
      </c>
      <c r="Y52" s="12">
        <v>0</v>
      </c>
      <c r="Z52" s="12">
        <v>1019</v>
      </c>
      <c r="AA52" s="12">
        <v>0</v>
      </c>
      <c r="AB52" s="12">
        <v>0</v>
      </c>
      <c r="AC52" s="12">
        <v>0</v>
      </c>
      <c r="AD52" s="12">
        <v>0</v>
      </c>
      <c r="AE52" s="12">
        <v>0</v>
      </c>
      <c r="AF52" s="12">
        <v>0</v>
      </c>
    </row>
    <row r="53" spans="1:32" x14ac:dyDescent="0.35">
      <c r="A53" s="31"/>
      <c r="B53" s="13" t="s">
        <v>325</v>
      </c>
      <c r="C53" s="14">
        <v>0.08</v>
      </c>
      <c r="D53" s="15" t="s">
        <v>333</v>
      </c>
      <c r="E53" s="15" t="s">
        <v>333</v>
      </c>
      <c r="F53" s="15" t="s">
        <v>333</v>
      </c>
      <c r="G53" s="15" t="s">
        <v>333</v>
      </c>
      <c r="H53" s="15" t="s">
        <v>333</v>
      </c>
      <c r="I53" s="15" t="s">
        <v>333</v>
      </c>
      <c r="J53" s="15" t="s">
        <v>333</v>
      </c>
      <c r="K53" s="15" t="s">
        <v>333</v>
      </c>
      <c r="L53" s="15" t="s">
        <v>333</v>
      </c>
      <c r="M53" s="15" t="s">
        <v>333</v>
      </c>
      <c r="N53" s="15" t="s">
        <v>333</v>
      </c>
      <c r="O53" s="15" t="s">
        <v>333</v>
      </c>
      <c r="P53" s="15" t="s">
        <v>333</v>
      </c>
      <c r="Q53" s="15" t="s">
        <v>333</v>
      </c>
      <c r="R53" s="15" t="s">
        <v>333</v>
      </c>
      <c r="S53" s="15" t="s">
        <v>333</v>
      </c>
      <c r="T53" s="15" t="s">
        <v>333</v>
      </c>
      <c r="U53" s="15" t="s">
        <v>333</v>
      </c>
      <c r="V53" s="15" t="s">
        <v>333</v>
      </c>
      <c r="W53" s="15" t="s">
        <v>333</v>
      </c>
      <c r="X53" s="15" t="s">
        <v>333</v>
      </c>
      <c r="Y53" s="15" t="s">
        <v>333</v>
      </c>
      <c r="Z53" s="14">
        <v>1</v>
      </c>
      <c r="AA53" s="15" t="s">
        <v>333</v>
      </c>
      <c r="AB53" s="15" t="s">
        <v>333</v>
      </c>
      <c r="AC53" s="15" t="s">
        <v>333</v>
      </c>
      <c r="AD53" s="15" t="s">
        <v>333</v>
      </c>
      <c r="AE53" s="15" t="s">
        <v>333</v>
      </c>
      <c r="AF53" s="15" t="s">
        <v>333</v>
      </c>
    </row>
    <row r="54" spans="1:32" x14ac:dyDescent="0.35">
      <c r="A54" s="31"/>
      <c r="B54" s="11" t="s">
        <v>326</v>
      </c>
      <c r="C54" s="12">
        <v>639</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1030</v>
      </c>
      <c r="AB54" s="12">
        <v>0</v>
      </c>
      <c r="AC54" s="12">
        <v>0</v>
      </c>
      <c r="AD54" s="12">
        <v>0</v>
      </c>
      <c r="AE54" s="12">
        <v>0</v>
      </c>
      <c r="AF54" s="12">
        <v>0</v>
      </c>
    </row>
    <row r="55" spans="1:32" x14ac:dyDescent="0.35">
      <c r="A55" s="31"/>
      <c r="B55" s="13" t="s">
        <v>326</v>
      </c>
      <c r="C55" s="14">
        <v>0.03</v>
      </c>
      <c r="D55" s="15" t="s">
        <v>333</v>
      </c>
      <c r="E55" s="15" t="s">
        <v>333</v>
      </c>
      <c r="F55" s="15" t="s">
        <v>333</v>
      </c>
      <c r="G55" s="15" t="s">
        <v>333</v>
      </c>
      <c r="H55" s="15" t="s">
        <v>333</v>
      </c>
      <c r="I55" s="15" t="s">
        <v>333</v>
      </c>
      <c r="J55" s="15" t="s">
        <v>333</v>
      </c>
      <c r="K55" s="15" t="s">
        <v>333</v>
      </c>
      <c r="L55" s="15" t="s">
        <v>333</v>
      </c>
      <c r="M55" s="15" t="s">
        <v>333</v>
      </c>
      <c r="N55" s="15" t="s">
        <v>333</v>
      </c>
      <c r="O55" s="15" t="s">
        <v>333</v>
      </c>
      <c r="P55" s="15" t="s">
        <v>333</v>
      </c>
      <c r="Q55" s="15" t="s">
        <v>333</v>
      </c>
      <c r="R55" s="15" t="s">
        <v>333</v>
      </c>
      <c r="S55" s="15" t="s">
        <v>333</v>
      </c>
      <c r="T55" s="15" t="s">
        <v>333</v>
      </c>
      <c r="U55" s="15" t="s">
        <v>333</v>
      </c>
      <c r="V55" s="15" t="s">
        <v>333</v>
      </c>
      <c r="W55" s="15" t="s">
        <v>333</v>
      </c>
      <c r="X55" s="15" t="s">
        <v>333</v>
      </c>
      <c r="Y55" s="15" t="s">
        <v>333</v>
      </c>
      <c r="Z55" s="15" t="s">
        <v>333</v>
      </c>
      <c r="AA55" s="14">
        <v>1</v>
      </c>
      <c r="AB55" s="15" t="s">
        <v>333</v>
      </c>
      <c r="AC55" s="15" t="s">
        <v>333</v>
      </c>
      <c r="AD55" s="15" t="s">
        <v>333</v>
      </c>
      <c r="AE55" s="15" t="s">
        <v>333</v>
      </c>
      <c r="AF55" s="15" t="s">
        <v>333</v>
      </c>
    </row>
    <row r="56" spans="1:32" x14ac:dyDescent="0.35">
      <c r="A56" s="31"/>
      <c r="B56" s="11" t="s">
        <v>327</v>
      </c>
      <c r="C56" s="12">
        <v>1104</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1056</v>
      </c>
      <c r="AC56" s="12">
        <v>0</v>
      </c>
      <c r="AD56" s="12">
        <v>0</v>
      </c>
      <c r="AE56" s="12">
        <v>0</v>
      </c>
      <c r="AF56" s="12">
        <v>0</v>
      </c>
    </row>
    <row r="57" spans="1:32" x14ac:dyDescent="0.35">
      <c r="A57" s="31"/>
      <c r="B57" s="13" t="s">
        <v>327</v>
      </c>
      <c r="C57" s="14">
        <v>0.04</v>
      </c>
      <c r="D57" s="15" t="s">
        <v>333</v>
      </c>
      <c r="E57" s="15" t="s">
        <v>333</v>
      </c>
      <c r="F57" s="15" t="s">
        <v>333</v>
      </c>
      <c r="G57" s="15" t="s">
        <v>333</v>
      </c>
      <c r="H57" s="15" t="s">
        <v>333</v>
      </c>
      <c r="I57" s="15" t="s">
        <v>333</v>
      </c>
      <c r="J57" s="15" t="s">
        <v>333</v>
      </c>
      <c r="K57" s="15" t="s">
        <v>333</v>
      </c>
      <c r="L57" s="15" t="s">
        <v>333</v>
      </c>
      <c r="M57" s="15" t="s">
        <v>333</v>
      </c>
      <c r="N57" s="15" t="s">
        <v>333</v>
      </c>
      <c r="O57" s="15" t="s">
        <v>333</v>
      </c>
      <c r="P57" s="15" t="s">
        <v>333</v>
      </c>
      <c r="Q57" s="15" t="s">
        <v>333</v>
      </c>
      <c r="R57" s="15" t="s">
        <v>333</v>
      </c>
      <c r="S57" s="15" t="s">
        <v>333</v>
      </c>
      <c r="T57" s="15" t="s">
        <v>333</v>
      </c>
      <c r="U57" s="15" t="s">
        <v>333</v>
      </c>
      <c r="V57" s="15" t="s">
        <v>333</v>
      </c>
      <c r="W57" s="15" t="s">
        <v>333</v>
      </c>
      <c r="X57" s="15" t="s">
        <v>333</v>
      </c>
      <c r="Y57" s="15" t="s">
        <v>333</v>
      </c>
      <c r="Z57" s="15" t="s">
        <v>333</v>
      </c>
      <c r="AA57" s="15" t="s">
        <v>333</v>
      </c>
      <c r="AB57" s="14">
        <v>1</v>
      </c>
      <c r="AC57" s="15" t="s">
        <v>333</v>
      </c>
      <c r="AD57" s="15" t="s">
        <v>333</v>
      </c>
      <c r="AE57" s="15" t="s">
        <v>333</v>
      </c>
      <c r="AF57" s="15" t="s">
        <v>333</v>
      </c>
    </row>
    <row r="58" spans="1:32" x14ac:dyDescent="0.35">
      <c r="A58" s="31"/>
      <c r="B58" s="11" t="s">
        <v>331</v>
      </c>
      <c r="C58" s="12">
        <v>602</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1020</v>
      </c>
    </row>
    <row r="59" spans="1:32" x14ac:dyDescent="0.35">
      <c r="A59" s="31"/>
      <c r="B59" s="13" t="s">
        <v>331</v>
      </c>
      <c r="C59" s="14">
        <v>0.02</v>
      </c>
      <c r="D59" s="15" t="s">
        <v>333</v>
      </c>
      <c r="E59" s="15" t="s">
        <v>333</v>
      </c>
      <c r="F59" s="15" t="s">
        <v>333</v>
      </c>
      <c r="G59" s="15" t="s">
        <v>333</v>
      </c>
      <c r="H59" s="15" t="s">
        <v>333</v>
      </c>
      <c r="I59" s="15" t="s">
        <v>333</v>
      </c>
      <c r="J59" s="15" t="s">
        <v>333</v>
      </c>
      <c r="K59" s="15" t="s">
        <v>333</v>
      </c>
      <c r="L59" s="15" t="s">
        <v>333</v>
      </c>
      <c r="M59" s="15" t="s">
        <v>333</v>
      </c>
      <c r="N59" s="15" t="s">
        <v>333</v>
      </c>
      <c r="O59" s="15" t="s">
        <v>333</v>
      </c>
      <c r="P59" s="15" t="s">
        <v>333</v>
      </c>
      <c r="Q59" s="15" t="s">
        <v>333</v>
      </c>
      <c r="R59" s="15" t="s">
        <v>333</v>
      </c>
      <c r="S59" s="15" t="s">
        <v>333</v>
      </c>
      <c r="T59" s="15" t="s">
        <v>333</v>
      </c>
      <c r="U59" s="15" t="s">
        <v>333</v>
      </c>
      <c r="V59" s="15" t="s">
        <v>333</v>
      </c>
      <c r="W59" s="15" t="s">
        <v>333</v>
      </c>
      <c r="X59" s="15" t="s">
        <v>333</v>
      </c>
      <c r="Y59" s="15" t="s">
        <v>333</v>
      </c>
      <c r="Z59" s="15" t="s">
        <v>333</v>
      </c>
      <c r="AA59" s="15" t="s">
        <v>333</v>
      </c>
      <c r="AB59" s="15" t="s">
        <v>333</v>
      </c>
      <c r="AC59" s="15" t="s">
        <v>333</v>
      </c>
      <c r="AD59" s="15" t="s">
        <v>333</v>
      </c>
      <c r="AE59" s="15" t="s">
        <v>333</v>
      </c>
      <c r="AF59" s="14">
        <v>1</v>
      </c>
    </row>
    <row r="60" spans="1:32" x14ac:dyDescent="0.35">
      <c r="A60" s="31"/>
      <c r="B60" s="11" t="s">
        <v>328</v>
      </c>
      <c r="C60" s="12">
        <v>125</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1013</v>
      </c>
      <c r="AD60" s="12">
        <v>0</v>
      </c>
      <c r="AE60" s="12">
        <v>0</v>
      </c>
      <c r="AF60" s="12">
        <v>0</v>
      </c>
    </row>
    <row r="61" spans="1:32" x14ac:dyDescent="0.35">
      <c r="A61" s="31"/>
      <c r="B61" s="13" t="s">
        <v>328</v>
      </c>
      <c r="C61" s="14">
        <v>0.01</v>
      </c>
      <c r="D61" s="15" t="s">
        <v>333</v>
      </c>
      <c r="E61" s="15" t="s">
        <v>333</v>
      </c>
      <c r="F61" s="15" t="s">
        <v>333</v>
      </c>
      <c r="G61" s="15" t="s">
        <v>333</v>
      </c>
      <c r="H61" s="15" t="s">
        <v>333</v>
      </c>
      <c r="I61" s="15" t="s">
        <v>333</v>
      </c>
      <c r="J61" s="15" t="s">
        <v>333</v>
      </c>
      <c r="K61" s="15" t="s">
        <v>333</v>
      </c>
      <c r="L61" s="15" t="s">
        <v>333</v>
      </c>
      <c r="M61" s="15" t="s">
        <v>333</v>
      </c>
      <c r="N61" s="15" t="s">
        <v>333</v>
      </c>
      <c r="O61" s="15" t="s">
        <v>333</v>
      </c>
      <c r="P61" s="15" t="s">
        <v>333</v>
      </c>
      <c r="Q61" s="15" t="s">
        <v>333</v>
      </c>
      <c r="R61" s="15" t="s">
        <v>333</v>
      </c>
      <c r="S61" s="15" t="s">
        <v>333</v>
      </c>
      <c r="T61" s="15" t="s">
        <v>333</v>
      </c>
      <c r="U61" s="15" t="s">
        <v>333</v>
      </c>
      <c r="V61" s="15" t="s">
        <v>333</v>
      </c>
      <c r="W61" s="15" t="s">
        <v>333</v>
      </c>
      <c r="X61" s="15" t="s">
        <v>333</v>
      </c>
      <c r="Y61" s="15" t="s">
        <v>333</v>
      </c>
      <c r="Z61" s="15" t="s">
        <v>333</v>
      </c>
      <c r="AA61" s="15" t="s">
        <v>333</v>
      </c>
      <c r="AB61" s="15" t="s">
        <v>333</v>
      </c>
      <c r="AC61" s="14">
        <v>1</v>
      </c>
      <c r="AD61" s="15" t="s">
        <v>333</v>
      </c>
      <c r="AE61" s="15" t="s">
        <v>333</v>
      </c>
      <c r="AF61" s="15" t="s">
        <v>333</v>
      </c>
    </row>
    <row r="62" spans="1:32" x14ac:dyDescent="0.35">
      <c r="A62" s="31"/>
      <c r="B62" s="11" t="s">
        <v>329</v>
      </c>
      <c r="C62" s="12">
        <v>314</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0</v>
      </c>
      <c r="AC62" s="12">
        <v>0</v>
      </c>
      <c r="AD62" s="12">
        <v>1004</v>
      </c>
      <c r="AE62" s="12">
        <v>0</v>
      </c>
      <c r="AF62" s="12">
        <v>0</v>
      </c>
    </row>
    <row r="63" spans="1:32" x14ac:dyDescent="0.35">
      <c r="A63" s="31"/>
      <c r="B63" s="13" t="s">
        <v>329</v>
      </c>
      <c r="C63" s="14">
        <v>0.01</v>
      </c>
      <c r="D63" s="15" t="s">
        <v>333</v>
      </c>
      <c r="E63" s="15" t="s">
        <v>333</v>
      </c>
      <c r="F63" s="15" t="s">
        <v>333</v>
      </c>
      <c r="G63" s="15" t="s">
        <v>333</v>
      </c>
      <c r="H63" s="15" t="s">
        <v>333</v>
      </c>
      <c r="I63" s="15" t="s">
        <v>333</v>
      </c>
      <c r="J63" s="15" t="s">
        <v>333</v>
      </c>
      <c r="K63" s="15" t="s">
        <v>333</v>
      </c>
      <c r="L63" s="15" t="s">
        <v>333</v>
      </c>
      <c r="M63" s="15" t="s">
        <v>333</v>
      </c>
      <c r="N63" s="15" t="s">
        <v>333</v>
      </c>
      <c r="O63" s="15" t="s">
        <v>333</v>
      </c>
      <c r="P63" s="15" t="s">
        <v>333</v>
      </c>
      <c r="Q63" s="15" t="s">
        <v>333</v>
      </c>
      <c r="R63" s="15" t="s">
        <v>333</v>
      </c>
      <c r="S63" s="15" t="s">
        <v>333</v>
      </c>
      <c r="T63" s="15" t="s">
        <v>333</v>
      </c>
      <c r="U63" s="15" t="s">
        <v>333</v>
      </c>
      <c r="V63" s="15" t="s">
        <v>333</v>
      </c>
      <c r="W63" s="15" t="s">
        <v>333</v>
      </c>
      <c r="X63" s="15" t="s">
        <v>333</v>
      </c>
      <c r="Y63" s="15" t="s">
        <v>333</v>
      </c>
      <c r="Z63" s="15" t="s">
        <v>333</v>
      </c>
      <c r="AA63" s="15" t="s">
        <v>333</v>
      </c>
      <c r="AB63" s="15" t="s">
        <v>333</v>
      </c>
      <c r="AC63" s="15" t="s">
        <v>333</v>
      </c>
      <c r="AD63" s="14">
        <v>1</v>
      </c>
      <c r="AE63" s="15" t="s">
        <v>333</v>
      </c>
      <c r="AF63" s="15" t="s">
        <v>333</v>
      </c>
    </row>
    <row r="64" spans="1:32" x14ac:dyDescent="0.35">
      <c r="A64" s="31"/>
      <c r="B64" s="11" t="s">
        <v>307</v>
      </c>
      <c r="C64" s="12">
        <v>3982</v>
      </c>
      <c r="D64" s="12">
        <v>0</v>
      </c>
      <c r="E64" s="12">
        <v>0</v>
      </c>
      <c r="F64" s="12">
        <v>0</v>
      </c>
      <c r="G64" s="12">
        <v>0</v>
      </c>
      <c r="H64" s="12">
        <v>1232</v>
      </c>
      <c r="I64" s="12">
        <v>1232</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row>
    <row r="65" spans="1:32" x14ac:dyDescent="0.35">
      <c r="A65" s="31"/>
      <c r="B65" s="13" t="s">
        <v>307</v>
      </c>
      <c r="C65" s="14">
        <v>0.15</v>
      </c>
      <c r="D65" s="15" t="s">
        <v>333</v>
      </c>
      <c r="E65" s="15" t="s">
        <v>333</v>
      </c>
      <c r="F65" s="15" t="s">
        <v>333</v>
      </c>
      <c r="G65" s="15" t="s">
        <v>333</v>
      </c>
      <c r="H65" s="14">
        <v>1</v>
      </c>
      <c r="I65" s="14">
        <v>0.81</v>
      </c>
      <c r="J65" s="15" t="s">
        <v>333</v>
      </c>
      <c r="K65" s="15" t="s">
        <v>333</v>
      </c>
      <c r="L65" s="15" t="s">
        <v>333</v>
      </c>
      <c r="M65" s="15" t="s">
        <v>333</v>
      </c>
      <c r="N65" s="15" t="s">
        <v>333</v>
      </c>
      <c r="O65" s="15" t="s">
        <v>333</v>
      </c>
      <c r="P65" s="15" t="s">
        <v>333</v>
      </c>
      <c r="Q65" s="15" t="s">
        <v>333</v>
      </c>
      <c r="R65" s="15" t="s">
        <v>333</v>
      </c>
      <c r="S65" s="15" t="s">
        <v>333</v>
      </c>
      <c r="T65" s="15" t="s">
        <v>333</v>
      </c>
      <c r="U65" s="15" t="s">
        <v>333</v>
      </c>
      <c r="V65" s="15" t="s">
        <v>333</v>
      </c>
      <c r="W65" s="15" t="s">
        <v>333</v>
      </c>
      <c r="X65" s="15" t="s">
        <v>333</v>
      </c>
      <c r="Y65" s="15" t="s">
        <v>333</v>
      </c>
      <c r="Z65" s="15" t="s">
        <v>333</v>
      </c>
      <c r="AA65" s="15" t="s">
        <v>333</v>
      </c>
      <c r="AB65" s="15" t="s">
        <v>333</v>
      </c>
      <c r="AC65" s="15" t="s">
        <v>333</v>
      </c>
      <c r="AD65" s="15" t="s">
        <v>333</v>
      </c>
      <c r="AE65" s="15" t="s">
        <v>333</v>
      </c>
      <c r="AF65" s="15" t="s">
        <v>333</v>
      </c>
    </row>
    <row r="66" spans="1:32" x14ac:dyDescent="0.35">
      <c r="A66" s="31"/>
      <c r="B66" s="11" t="s">
        <v>309</v>
      </c>
      <c r="C66" s="12">
        <v>962</v>
      </c>
      <c r="D66" s="12">
        <v>0</v>
      </c>
      <c r="E66" s="12">
        <v>0</v>
      </c>
      <c r="F66" s="12">
        <v>0</v>
      </c>
      <c r="G66" s="12">
        <v>0</v>
      </c>
      <c r="H66" s="12">
        <v>0</v>
      </c>
      <c r="I66" s="12">
        <v>298</v>
      </c>
      <c r="J66" s="12">
        <v>298</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row>
    <row r="67" spans="1:32" x14ac:dyDescent="0.35">
      <c r="A67" s="31"/>
      <c r="B67" s="13" t="s">
        <v>309</v>
      </c>
      <c r="C67" s="14">
        <v>0.04</v>
      </c>
      <c r="D67" s="15" t="s">
        <v>333</v>
      </c>
      <c r="E67" s="15" t="s">
        <v>333</v>
      </c>
      <c r="F67" s="15" t="s">
        <v>333</v>
      </c>
      <c r="G67" s="15" t="s">
        <v>333</v>
      </c>
      <c r="H67" s="15" t="s">
        <v>333</v>
      </c>
      <c r="I67" s="14">
        <v>0.19</v>
      </c>
      <c r="J67" s="14">
        <v>1</v>
      </c>
      <c r="K67" s="15" t="s">
        <v>333</v>
      </c>
      <c r="L67" s="15" t="s">
        <v>333</v>
      </c>
      <c r="M67" s="15" t="s">
        <v>333</v>
      </c>
      <c r="N67" s="15" t="s">
        <v>333</v>
      </c>
      <c r="O67" s="15" t="s">
        <v>333</v>
      </c>
      <c r="P67" s="15" t="s">
        <v>333</v>
      </c>
      <c r="Q67" s="15" t="s">
        <v>333</v>
      </c>
      <c r="R67" s="15" t="s">
        <v>333</v>
      </c>
      <c r="S67" s="15" t="s">
        <v>333</v>
      </c>
      <c r="T67" s="15" t="s">
        <v>333</v>
      </c>
      <c r="U67" s="15" t="s">
        <v>333</v>
      </c>
      <c r="V67" s="15" t="s">
        <v>333</v>
      </c>
      <c r="W67" s="15" t="s">
        <v>333</v>
      </c>
      <c r="X67" s="15" t="s">
        <v>333</v>
      </c>
      <c r="Y67" s="15" t="s">
        <v>333</v>
      </c>
      <c r="Z67" s="15" t="s">
        <v>333</v>
      </c>
      <c r="AA67" s="15" t="s">
        <v>333</v>
      </c>
      <c r="AB67" s="15" t="s">
        <v>333</v>
      </c>
      <c r="AC67" s="15" t="s">
        <v>333</v>
      </c>
      <c r="AD67" s="15" t="s">
        <v>333</v>
      </c>
      <c r="AE67" s="15" t="s">
        <v>333</v>
      </c>
      <c r="AF67" s="15" t="s">
        <v>333</v>
      </c>
    </row>
  </sheetData>
  <mergeCells count="9">
    <mergeCell ref="B10:B11"/>
    <mergeCell ref="H4:L4"/>
    <mergeCell ref="A10:A67"/>
    <mergeCell ref="B4:F4"/>
    <mergeCell ref="H3:L3"/>
    <mergeCell ref="C8:AF8"/>
    <mergeCell ref="B3:F3"/>
    <mergeCell ref="B5:F5"/>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9"/>
  <sheetViews>
    <sheetView workbookViewId="0">
      <pane xSplit="3" ySplit="9" topLeftCell="D10" activePane="bottomRight" state="frozen"/>
      <selection pane="topRight"/>
      <selection pane="bottomLeft"/>
      <selection pane="bottomRight" activeCell="H2" sqref="H2"/>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11</v>
      </c>
      <c r="C3" s="30"/>
      <c r="D3" s="30"/>
      <c r="E3" s="30"/>
      <c r="F3" s="30"/>
      <c r="H3" s="30" t="s">
        <v>12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334</v>
      </c>
      <c r="C12" s="12">
        <v>1216</v>
      </c>
      <c r="D12" s="12">
        <v>48</v>
      </c>
      <c r="E12" s="12">
        <v>116</v>
      </c>
      <c r="F12" s="12">
        <v>26</v>
      </c>
      <c r="G12" s="12">
        <v>125</v>
      </c>
      <c r="H12" s="12">
        <v>58</v>
      </c>
      <c r="I12" s="12">
        <v>69</v>
      </c>
      <c r="J12" s="12">
        <v>11</v>
      </c>
      <c r="K12" s="12">
        <v>32</v>
      </c>
      <c r="L12" s="12">
        <v>177</v>
      </c>
      <c r="M12" s="12">
        <v>29</v>
      </c>
      <c r="N12" s="12">
        <v>29</v>
      </c>
      <c r="O12" s="12">
        <v>20</v>
      </c>
      <c r="P12" s="12">
        <v>107</v>
      </c>
      <c r="Q12" s="12">
        <v>44</v>
      </c>
      <c r="R12" s="12">
        <v>14</v>
      </c>
      <c r="S12" s="12">
        <v>17</v>
      </c>
      <c r="T12" s="12">
        <v>28</v>
      </c>
      <c r="U12" s="12">
        <v>38</v>
      </c>
      <c r="V12" s="12">
        <v>44</v>
      </c>
      <c r="W12" s="12">
        <v>46</v>
      </c>
      <c r="X12" s="12">
        <v>36</v>
      </c>
      <c r="Y12" s="12">
        <v>53</v>
      </c>
      <c r="Z12" s="12">
        <v>78</v>
      </c>
      <c r="AA12" s="12">
        <v>68</v>
      </c>
      <c r="AB12" s="12">
        <v>57</v>
      </c>
      <c r="AC12" s="12">
        <v>21</v>
      </c>
      <c r="AD12" s="12">
        <v>73</v>
      </c>
      <c r="AE12" s="12">
        <v>35</v>
      </c>
      <c r="AF12" s="12">
        <v>65</v>
      </c>
    </row>
    <row r="13" spans="1:32" x14ac:dyDescent="0.35">
      <c r="A13" s="31"/>
      <c r="B13" s="13" t="s">
        <v>335</v>
      </c>
      <c r="C13" s="14">
        <v>0.05</v>
      </c>
      <c r="D13" s="14">
        <v>0.05</v>
      </c>
      <c r="E13" s="14">
        <v>0.11</v>
      </c>
      <c r="F13" s="14">
        <v>0.03</v>
      </c>
      <c r="G13" s="14">
        <v>0.12</v>
      </c>
      <c r="H13" s="14">
        <v>0.05</v>
      </c>
      <c r="I13" s="14">
        <v>0.04</v>
      </c>
      <c r="J13" s="14">
        <v>0.03</v>
      </c>
      <c r="K13" s="14">
        <v>0.03</v>
      </c>
      <c r="L13" s="14">
        <v>0.18</v>
      </c>
      <c r="M13" s="14">
        <v>0.03</v>
      </c>
      <c r="N13" s="14">
        <v>0.03</v>
      </c>
      <c r="O13" s="14">
        <v>0.02</v>
      </c>
      <c r="P13" s="14">
        <v>0.11</v>
      </c>
      <c r="Q13" s="14">
        <v>0.04</v>
      </c>
      <c r="R13" s="14">
        <v>0.03</v>
      </c>
      <c r="S13" s="14">
        <v>0.01</v>
      </c>
      <c r="T13" s="14">
        <v>0.03</v>
      </c>
      <c r="U13" s="14">
        <v>7.0000000000000007E-2</v>
      </c>
      <c r="V13" s="14">
        <v>0.05</v>
      </c>
      <c r="W13" s="14">
        <v>0.09</v>
      </c>
      <c r="X13" s="14">
        <v>0.03</v>
      </c>
      <c r="Y13" s="14">
        <v>0.05</v>
      </c>
      <c r="Z13" s="14">
        <v>0.08</v>
      </c>
      <c r="AA13" s="14">
        <v>0.06</v>
      </c>
      <c r="AB13" s="14">
        <v>0.05</v>
      </c>
      <c r="AC13" s="14">
        <v>0.02</v>
      </c>
      <c r="AD13" s="14">
        <v>7.0000000000000007E-2</v>
      </c>
      <c r="AE13" s="14">
        <v>0.03</v>
      </c>
      <c r="AF13" s="14">
        <v>0.06</v>
      </c>
    </row>
    <row r="14" spans="1:32" x14ac:dyDescent="0.35">
      <c r="A14" s="31"/>
      <c r="B14" s="11" t="s">
        <v>336</v>
      </c>
      <c r="C14" s="12">
        <v>9566</v>
      </c>
      <c r="D14" s="12">
        <v>347</v>
      </c>
      <c r="E14" s="12">
        <v>345</v>
      </c>
      <c r="F14" s="12">
        <v>246</v>
      </c>
      <c r="G14" s="12">
        <v>493</v>
      </c>
      <c r="H14" s="12">
        <v>528</v>
      </c>
      <c r="I14" s="12">
        <v>602</v>
      </c>
      <c r="J14" s="12">
        <v>74</v>
      </c>
      <c r="K14" s="12">
        <v>316</v>
      </c>
      <c r="L14" s="12">
        <v>374</v>
      </c>
      <c r="M14" s="12">
        <v>300</v>
      </c>
      <c r="N14" s="12">
        <v>325</v>
      </c>
      <c r="O14" s="12">
        <v>271</v>
      </c>
      <c r="P14" s="12">
        <v>336</v>
      </c>
      <c r="Q14" s="12">
        <v>425</v>
      </c>
      <c r="R14" s="12">
        <v>154</v>
      </c>
      <c r="S14" s="12">
        <v>283</v>
      </c>
      <c r="T14" s="12">
        <v>355</v>
      </c>
      <c r="U14" s="12">
        <v>245</v>
      </c>
      <c r="V14" s="12">
        <v>323</v>
      </c>
      <c r="W14" s="12">
        <v>233</v>
      </c>
      <c r="X14" s="12">
        <v>424</v>
      </c>
      <c r="Y14" s="12">
        <v>279</v>
      </c>
      <c r="Z14" s="12">
        <v>426</v>
      </c>
      <c r="AA14" s="12">
        <v>606</v>
      </c>
      <c r="AB14" s="12">
        <v>355</v>
      </c>
      <c r="AC14" s="12">
        <v>273</v>
      </c>
      <c r="AD14" s="12">
        <v>334</v>
      </c>
      <c r="AE14" s="12">
        <v>340</v>
      </c>
      <c r="AF14" s="12">
        <v>468</v>
      </c>
    </row>
    <row r="15" spans="1:32" x14ac:dyDescent="0.35">
      <c r="A15" s="31"/>
      <c r="B15" s="13" t="s">
        <v>337</v>
      </c>
      <c r="C15" s="14">
        <v>0.36</v>
      </c>
      <c r="D15" s="14">
        <v>0.34</v>
      </c>
      <c r="E15" s="14">
        <v>0.33</v>
      </c>
      <c r="F15" s="14">
        <v>0.24</v>
      </c>
      <c r="G15" s="14">
        <v>0.48</v>
      </c>
      <c r="H15" s="14">
        <v>0.43</v>
      </c>
      <c r="I15" s="14">
        <v>0.39</v>
      </c>
      <c r="J15" s="14">
        <v>0.25</v>
      </c>
      <c r="K15" s="14">
        <v>0.31</v>
      </c>
      <c r="L15" s="14">
        <v>0.37</v>
      </c>
      <c r="M15" s="14">
        <v>0.3</v>
      </c>
      <c r="N15" s="14">
        <v>0.33</v>
      </c>
      <c r="O15" s="14">
        <v>0.27</v>
      </c>
      <c r="P15" s="14">
        <v>0.34</v>
      </c>
      <c r="Q15" s="14">
        <v>0.41</v>
      </c>
      <c r="R15" s="14">
        <v>0.31</v>
      </c>
      <c r="S15" s="14">
        <v>0.28000000000000003</v>
      </c>
      <c r="T15" s="14">
        <v>0.35</v>
      </c>
      <c r="U15" s="14">
        <v>0.48</v>
      </c>
      <c r="V15" s="14">
        <v>0.32</v>
      </c>
      <c r="W15" s="14">
        <v>0.47</v>
      </c>
      <c r="X15" s="14">
        <v>0.42</v>
      </c>
      <c r="Y15" s="14">
        <v>0.28000000000000003</v>
      </c>
      <c r="Z15" s="14">
        <v>0.42</v>
      </c>
      <c r="AA15" s="14">
        <v>0.59</v>
      </c>
      <c r="AB15" s="14">
        <v>0.34</v>
      </c>
      <c r="AC15" s="14">
        <v>0.27</v>
      </c>
      <c r="AD15" s="14">
        <v>0.33</v>
      </c>
      <c r="AE15" s="14">
        <v>0.34</v>
      </c>
      <c r="AF15" s="14">
        <v>0.46</v>
      </c>
    </row>
    <row r="16" spans="1:32" x14ac:dyDescent="0.35">
      <c r="A16" s="31"/>
      <c r="B16" s="11" t="s">
        <v>338</v>
      </c>
      <c r="C16" s="12">
        <v>10326</v>
      </c>
      <c r="D16" s="12">
        <v>409</v>
      </c>
      <c r="E16" s="12">
        <v>299</v>
      </c>
      <c r="F16" s="12">
        <v>443</v>
      </c>
      <c r="G16" s="12">
        <v>312</v>
      </c>
      <c r="H16" s="12">
        <v>459</v>
      </c>
      <c r="I16" s="12">
        <v>593</v>
      </c>
      <c r="J16" s="12">
        <v>134</v>
      </c>
      <c r="K16" s="12">
        <v>446</v>
      </c>
      <c r="L16" s="12">
        <v>316</v>
      </c>
      <c r="M16" s="12">
        <v>384</v>
      </c>
      <c r="N16" s="12">
        <v>428</v>
      </c>
      <c r="O16" s="12">
        <v>430</v>
      </c>
      <c r="P16" s="12">
        <v>378</v>
      </c>
      <c r="Q16" s="12">
        <v>382</v>
      </c>
      <c r="R16" s="12">
        <v>239</v>
      </c>
      <c r="S16" s="12">
        <v>558</v>
      </c>
      <c r="T16" s="12">
        <v>498</v>
      </c>
      <c r="U16" s="12">
        <v>156</v>
      </c>
      <c r="V16" s="12">
        <v>458</v>
      </c>
      <c r="W16" s="12">
        <v>162</v>
      </c>
      <c r="X16" s="12">
        <v>372</v>
      </c>
      <c r="Y16" s="12">
        <v>398</v>
      </c>
      <c r="Z16" s="12">
        <v>399</v>
      </c>
      <c r="AA16" s="12">
        <v>235</v>
      </c>
      <c r="AB16" s="12">
        <v>334</v>
      </c>
      <c r="AC16" s="12">
        <v>501</v>
      </c>
      <c r="AD16" s="12">
        <v>406</v>
      </c>
      <c r="AE16" s="12">
        <v>484</v>
      </c>
      <c r="AF16" s="12">
        <v>379</v>
      </c>
    </row>
    <row r="17" spans="1:32" x14ac:dyDescent="0.35">
      <c r="A17" s="31"/>
      <c r="B17" s="13" t="s">
        <v>339</v>
      </c>
      <c r="C17" s="14">
        <v>0.39</v>
      </c>
      <c r="D17" s="14">
        <v>0.4</v>
      </c>
      <c r="E17" s="14">
        <v>0.28999999999999998</v>
      </c>
      <c r="F17" s="14">
        <v>0.43</v>
      </c>
      <c r="G17" s="14">
        <v>0.31</v>
      </c>
      <c r="H17" s="14">
        <v>0.37</v>
      </c>
      <c r="I17" s="14">
        <v>0.39</v>
      </c>
      <c r="J17" s="14">
        <v>0.45</v>
      </c>
      <c r="K17" s="14">
        <v>0.44</v>
      </c>
      <c r="L17" s="14">
        <v>0.32</v>
      </c>
      <c r="M17" s="14">
        <v>0.38</v>
      </c>
      <c r="N17" s="14">
        <v>0.43</v>
      </c>
      <c r="O17" s="14">
        <v>0.43</v>
      </c>
      <c r="P17" s="14">
        <v>0.38</v>
      </c>
      <c r="Q17" s="14">
        <v>0.37</v>
      </c>
      <c r="R17" s="14">
        <v>0.48</v>
      </c>
      <c r="S17" s="14">
        <v>0.55000000000000004</v>
      </c>
      <c r="T17" s="14">
        <v>0.49</v>
      </c>
      <c r="U17" s="14">
        <v>0.31</v>
      </c>
      <c r="V17" s="14">
        <v>0.45</v>
      </c>
      <c r="W17" s="14">
        <v>0.32</v>
      </c>
      <c r="X17" s="14">
        <v>0.37</v>
      </c>
      <c r="Y17" s="14">
        <v>0.4</v>
      </c>
      <c r="Z17" s="14">
        <v>0.39</v>
      </c>
      <c r="AA17" s="14">
        <v>0.23</v>
      </c>
      <c r="AB17" s="14">
        <v>0.32</v>
      </c>
      <c r="AC17" s="14">
        <v>0.49</v>
      </c>
      <c r="AD17" s="14">
        <v>0.41</v>
      </c>
      <c r="AE17" s="14">
        <v>0.48</v>
      </c>
      <c r="AF17" s="14">
        <v>0.37</v>
      </c>
    </row>
    <row r="18" spans="1:32" x14ac:dyDescent="0.35">
      <c r="A18" s="31"/>
      <c r="B18" s="11" t="s">
        <v>340</v>
      </c>
      <c r="C18" s="12">
        <v>3776</v>
      </c>
      <c r="D18" s="12">
        <v>166</v>
      </c>
      <c r="E18" s="12">
        <v>166</v>
      </c>
      <c r="F18" s="12">
        <v>222</v>
      </c>
      <c r="G18" s="12">
        <v>62</v>
      </c>
      <c r="H18" s="12">
        <v>138</v>
      </c>
      <c r="I18" s="12">
        <v>193</v>
      </c>
      <c r="J18" s="12">
        <v>55</v>
      </c>
      <c r="K18" s="12">
        <v>146</v>
      </c>
      <c r="L18" s="12">
        <v>74</v>
      </c>
      <c r="M18" s="12">
        <v>188</v>
      </c>
      <c r="N18" s="12">
        <v>135</v>
      </c>
      <c r="O18" s="12">
        <v>189</v>
      </c>
      <c r="P18" s="12">
        <v>141</v>
      </c>
      <c r="Q18" s="12">
        <v>140</v>
      </c>
      <c r="R18" s="12">
        <v>47</v>
      </c>
      <c r="S18" s="12">
        <v>99</v>
      </c>
      <c r="T18" s="12">
        <v>87</v>
      </c>
      <c r="U18" s="12">
        <v>45</v>
      </c>
      <c r="V18" s="12">
        <v>155</v>
      </c>
      <c r="W18" s="12">
        <v>47</v>
      </c>
      <c r="X18" s="12">
        <v>137</v>
      </c>
      <c r="Y18" s="12">
        <v>210</v>
      </c>
      <c r="Z18" s="12">
        <v>96</v>
      </c>
      <c r="AA18" s="12">
        <v>82</v>
      </c>
      <c r="AB18" s="12">
        <v>235</v>
      </c>
      <c r="AC18" s="12">
        <v>144</v>
      </c>
      <c r="AD18" s="12">
        <v>150</v>
      </c>
      <c r="AE18" s="12">
        <v>110</v>
      </c>
      <c r="AF18" s="12">
        <v>81</v>
      </c>
    </row>
    <row r="19" spans="1:32" x14ac:dyDescent="0.35">
      <c r="A19" s="31"/>
      <c r="B19" s="13" t="s">
        <v>341</v>
      </c>
      <c r="C19" s="14">
        <v>0.14000000000000001</v>
      </c>
      <c r="D19" s="14">
        <v>0.16</v>
      </c>
      <c r="E19" s="14">
        <v>0.16</v>
      </c>
      <c r="F19" s="14">
        <v>0.22</v>
      </c>
      <c r="G19" s="14">
        <v>0.06</v>
      </c>
      <c r="H19" s="14">
        <v>0.11</v>
      </c>
      <c r="I19" s="14">
        <v>0.13</v>
      </c>
      <c r="J19" s="14">
        <v>0.19</v>
      </c>
      <c r="K19" s="14">
        <v>0.15</v>
      </c>
      <c r="L19" s="14">
        <v>7.0000000000000007E-2</v>
      </c>
      <c r="M19" s="14">
        <v>0.19</v>
      </c>
      <c r="N19" s="14">
        <v>0.13</v>
      </c>
      <c r="O19" s="14">
        <v>0.19</v>
      </c>
      <c r="P19" s="14">
        <v>0.14000000000000001</v>
      </c>
      <c r="Q19" s="14">
        <v>0.14000000000000001</v>
      </c>
      <c r="R19" s="14">
        <v>0.09</v>
      </c>
      <c r="S19" s="14">
        <v>0.1</v>
      </c>
      <c r="T19" s="14">
        <v>0.08</v>
      </c>
      <c r="U19" s="14">
        <v>0.09</v>
      </c>
      <c r="V19" s="14">
        <v>0.15</v>
      </c>
      <c r="W19" s="14">
        <v>0.09</v>
      </c>
      <c r="X19" s="14">
        <v>0.14000000000000001</v>
      </c>
      <c r="Y19" s="14">
        <v>0.21</v>
      </c>
      <c r="Z19" s="14">
        <v>0.09</v>
      </c>
      <c r="AA19" s="14">
        <v>0.08</v>
      </c>
      <c r="AB19" s="14">
        <v>0.22</v>
      </c>
      <c r="AC19" s="14">
        <v>0.14000000000000001</v>
      </c>
      <c r="AD19" s="14">
        <v>0.15</v>
      </c>
      <c r="AE19" s="14">
        <v>0.11</v>
      </c>
      <c r="AF19" s="14">
        <v>0.08</v>
      </c>
    </row>
    <row r="20" spans="1:32" x14ac:dyDescent="0.35">
      <c r="A20" s="31"/>
      <c r="B20" s="11" t="s">
        <v>342</v>
      </c>
      <c r="C20" s="12">
        <v>1148</v>
      </c>
      <c r="D20" s="12">
        <v>49</v>
      </c>
      <c r="E20" s="12">
        <v>80</v>
      </c>
      <c r="F20" s="12">
        <v>69</v>
      </c>
      <c r="G20" s="12">
        <v>16</v>
      </c>
      <c r="H20" s="12">
        <v>45</v>
      </c>
      <c r="I20" s="12">
        <v>69</v>
      </c>
      <c r="J20" s="12">
        <v>24</v>
      </c>
      <c r="K20" s="12">
        <v>51</v>
      </c>
      <c r="L20" s="12">
        <v>53</v>
      </c>
      <c r="M20" s="12">
        <v>93</v>
      </c>
      <c r="N20" s="12">
        <v>51</v>
      </c>
      <c r="O20" s="12">
        <v>65</v>
      </c>
      <c r="P20" s="12">
        <v>35</v>
      </c>
      <c r="Q20" s="12">
        <v>30</v>
      </c>
      <c r="R20" s="12">
        <v>39</v>
      </c>
      <c r="S20" s="12">
        <v>29</v>
      </c>
      <c r="T20" s="12">
        <v>12</v>
      </c>
      <c r="U20" s="12">
        <v>17</v>
      </c>
      <c r="V20" s="12">
        <v>34</v>
      </c>
      <c r="W20" s="12">
        <v>12</v>
      </c>
      <c r="X20" s="12">
        <v>37</v>
      </c>
      <c r="Y20" s="12">
        <v>54</v>
      </c>
      <c r="Z20" s="12">
        <v>18</v>
      </c>
      <c r="AA20" s="12">
        <v>7</v>
      </c>
      <c r="AB20" s="12">
        <v>45</v>
      </c>
      <c r="AC20" s="12">
        <v>47</v>
      </c>
      <c r="AD20" s="12">
        <v>38</v>
      </c>
      <c r="AE20" s="12">
        <v>23</v>
      </c>
      <c r="AF20" s="12">
        <v>18</v>
      </c>
    </row>
    <row r="21" spans="1:32" x14ac:dyDescent="0.35">
      <c r="A21" s="31"/>
      <c r="B21" s="13" t="s">
        <v>343</v>
      </c>
      <c r="C21" s="14">
        <v>0.04</v>
      </c>
      <c r="D21" s="14">
        <v>0.05</v>
      </c>
      <c r="E21" s="14">
        <v>0.08</v>
      </c>
      <c r="F21" s="14">
        <v>7.0000000000000007E-2</v>
      </c>
      <c r="G21" s="14">
        <v>0.02</v>
      </c>
      <c r="H21" s="14">
        <v>0.04</v>
      </c>
      <c r="I21" s="14">
        <v>0.05</v>
      </c>
      <c r="J21" s="14">
        <v>0.08</v>
      </c>
      <c r="K21" s="14">
        <v>0.05</v>
      </c>
      <c r="L21" s="14">
        <v>0.05</v>
      </c>
      <c r="M21" s="14">
        <v>0.09</v>
      </c>
      <c r="N21" s="14">
        <v>0.05</v>
      </c>
      <c r="O21" s="14">
        <v>7.0000000000000007E-2</v>
      </c>
      <c r="P21" s="14">
        <v>0.03</v>
      </c>
      <c r="Q21" s="14">
        <v>0.03</v>
      </c>
      <c r="R21" s="14">
        <v>0.08</v>
      </c>
      <c r="S21" s="14">
        <v>0.03</v>
      </c>
      <c r="T21" s="14">
        <v>0.01</v>
      </c>
      <c r="U21" s="14">
        <v>0.03</v>
      </c>
      <c r="V21" s="14">
        <v>0.03</v>
      </c>
      <c r="W21" s="14">
        <v>0.03</v>
      </c>
      <c r="X21" s="14">
        <v>0.04</v>
      </c>
      <c r="Y21" s="14">
        <v>0.05</v>
      </c>
      <c r="Z21" s="14">
        <v>0.02</v>
      </c>
      <c r="AA21" s="14">
        <v>0.01</v>
      </c>
      <c r="AB21" s="14">
        <v>0.04</v>
      </c>
      <c r="AC21" s="14">
        <v>0.05</v>
      </c>
      <c r="AD21" s="14">
        <v>0.04</v>
      </c>
      <c r="AE21" s="14">
        <v>0.02</v>
      </c>
      <c r="AF21" s="14">
        <v>0.02</v>
      </c>
    </row>
    <row r="22" spans="1:32" x14ac:dyDescent="0.35">
      <c r="A22" s="31"/>
      <c r="B22" s="11" t="s">
        <v>344</v>
      </c>
      <c r="C22" s="12">
        <v>379</v>
      </c>
      <c r="D22" s="12">
        <v>5</v>
      </c>
      <c r="E22" s="12">
        <v>33</v>
      </c>
      <c r="F22" s="12">
        <v>11</v>
      </c>
      <c r="G22" s="12">
        <v>9</v>
      </c>
      <c r="H22" s="12">
        <v>5</v>
      </c>
      <c r="I22" s="12">
        <v>5</v>
      </c>
      <c r="J22" s="12">
        <v>1</v>
      </c>
      <c r="K22" s="12">
        <v>16</v>
      </c>
      <c r="L22" s="12">
        <v>10</v>
      </c>
      <c r="M22" s="12">
        <v>10</v>
      </c>
      <c r="N22" s="12">
        <v>32</v>
      </c>
      <c r="O22" s="12">
        <v>24</v>
      </c>
      <c r="P22" s="12">
        <v>5</v>
      </c>
      <c r="Q22" s="12">
        <v>14</v>
      </c>
      <c r="R22" s="12">
        <v>8</v>
      </c>
      <c r="S22" s="12">
        <v>34</v>
      </c>
      <c r="T22" s="12">
        <v>37</v>
      </c>
      <c r="U22" s="12">
        <v>8</v>
      </c>
      <c r="V22" s="12">
        <v>0</v>
      </c>
      <c r="W22" s="12">
        <v>0</v>
      </c>
      <c r="X22" s="12">
        <v>3</v>
      </c>
      <c r="Y22" s="12">
        <v>9</v>
      </c>
      <c r="Z22" s="12">
        <v>2</v>
      </c>
      <c r="AA22" s="12">
        <v>32</v>
      </c>
      <c r="AB22" s="12">
        <v>29</v>
      </c>
      <c r="AC22" s="12">
        <v>27</v>
      </c>
      <c r="AD22" s="12">
        <v>3</v>
      </c>
      <c r="AE22" s="12">
        <v>16</v>
      </c>
      <c r="AF22" s="12">
        <v>10</v>
      </c>
    </row>
    <row r="23" spans="1:32" x14ac:dyDescent="0.35">
      <c r="A23" s="31"/>
      <c r="B23" s="13" t="s">
        <v>345</v>
      </c>
      <c r="C23" s="14">
        <v>0.02</v>
      </c>
      <c r="D23" s="15" t="s">
        <v>333</v>
      </c>
      <c r="E23" s="14">
        <v>0.03</v>
      </c>
      <c r="F23" s="14">
        <v>0.01</v>
      </c>
      <c r="G23" s="14">
        <v>0.01</v>
      </c>
      <c r="H23" s="15" t="s">
        <v>333</v>
      </c>
      <c r="I23" s="15" t="s">
        <v>333</v>
      </c>
      <c r="J23" s="15" t="s">
        <v>333</v>
      </c>
      <c r="K23" s="14">
        <v>0.02</v>
      </c>
      <c r="L23" s="14">
        <v>0.01</v>
      </c>
      <c r="M23" s="14">
        <v>0.01</v>
      </c>
      <c r="N23" s="14">
        <v>0.03</v>
      </c>
      <c r="O23" s="14">
        <v>0.02</v>
      </c>
      <c r="P23" s="15" t="s">
        <v>333</v>
      </c>
      <c r="Q23" s="14">
        <v>0.01</v>
      </c>
      <c r="R23" s="14">
        <v>0.01</v>
      </c>
      <c r="S23" s="14">
        <v>0.03</v>
      </c>
      <c r="T23" s="14">
        <v>0.04</v>
      </c>
      <c r="U23" s="14">
        <v>0.02</v>
      </c>
      <c r="V23" s="15" t="s">
        <v>333</v>
      </c>
      <c r="W23" s="15" t="s">
        <v>333</v>
      </c>
      <c r="X23" s="15" t="s">
        <v>333</v>
      </c>
      <c r="Y23" s="14">
        <v>0.01</v>
      </c>
      <c r="Z23" s="15" t="s">
        <v>333</v>
      </c>
      <c r="AA23" s="14">
        <v>0.03</v>
      </c>
      <c r="AB23" s="14">
        <v>0.03</v>
      </c>
      <c r="AC23" s="14">
        <v>0.03</v>
      </c>
      <c r="AD23" s="15" t="s">
        <v>333</v>
      </c>
      <c r="AE23" s="14">
        <v>0.02</v>
      </c>
      <c r="AF23" s="14">
        <v>0.01</v>
      </c>
    </row>
    <row r="24" spans="1:32" x14ac:dyDescent="0.35">
      <c r="A24" s="31"/>
      <c r="B24" s="11" t="s">
        <v>346</v>
      </c>
      <c r="C24" s="12">
        <v>10782</v>
      </c>
      <c r="D24" s="12">
        <v>395</v>
      </c>
      <c r="E24" s="12">
        <v>461</v>
      </c>
      <c r="F24" s="12">
        <v>272</v>
      </c>
      <c r="G24" s="12">
        <v>618</v>
      </c>
      <c r="H24" s="12">
        <v>586</v>
      </c>
      <c r="I24" s="12">
        <v>671</v>
      </c>
      <c r="J24" s="12">
        <v>85</v>
      </c>
      <c r="K24" s="12">
        <v>348</v>
      </c>
      <c r="L24" s="12">
        <v>551</v>
      </c>
      <c r="M24" s="12">
        <v>329</v>
      </c>
      <c r="N24" s="12">
        <v>354</v>
      </c>
      <c r="O24" s="12">
        <v>291</v>
      </c>
      <c r="P24" s="12">
        <v>443</v>
      </c>
      <c r="Q24" s="12">
        <v>469</v>
      </c>
      <c r="R24" s="12">
        <v>168</v>
      </c>
      <c r="S24" s="12">
        <v>300</v>
      </c>
      <c r="T24" s="12">
        <v>383</v>
      </c>
      <c r="U24" s="12">
        <v>283</v>
      </c>
      <c r="V24" s="12">
        <v>367</v>
      </c>
      <c r="W24" s="12">
        <v>279</v>
      </c>
      <c r="X24" s="12">
        <v>460</v>
      </c>
      <c r="Y24" s="12">
        <v>332</v>
      </c>
      <c r="Z24" s="12">
        <v>504</v>
      </c>
      <c r="AA24" s="12">
        <v>674</v>
      </c>
      <c r="AB24" s="12">
        <v>412</v>
      </c>
      <c r="AC24" s="12">
        <v>294</v>
      </c>
      <c r="AD24" s="12">
        <v>407</v>
      </c>
      <c r="AE24" s="12">
        <v>375</v>
      </c>
      <c r="AF24" s="12">
        <v>533</v>
      </c>
    </row>
    <row r="25" spans="1:32" x14ac:dyDescent="0.35">
      <c r="A25" s="31"/>
      <c r="B25" s="13" t="s">
        <v>346</v>
      </c>
      <c r="C25" s="14">
        <v>0.41</v>
      </c>
      <c r="D25" s="14">
        <v>0.39</v>
      </c>
      <c r="E25" s="14">
        <v>0.44</v>
      </c>
      <c r="F25" s="14">
        <v>0.27</v>
      </c>
      <c r="G25" s="14">
        <v>0.6</v>
      </c>
      <c r="H25" s="14">
        <v>0.48</v>
      </c>
      <c r="I25" s="14">
        <v>0.43</v>
      </c>
      <c r="J25" s="14">
        <v>0.28000000000000003</v>
      </c>
      <c r="K25" s="14">
        <v>0.34</v>
      </c>
      <c r="L25" s="14">
        <v>0.55000000000000004</v>
      </c>
      <c r="M25" s="14">
        <v>0.33</v>
      </c>
      <c r="N25" s="14">
        <v>0.36</v>
      </c>
      <c r="O25" s="14">
        <v>0.28999999999999998</v>
      </c>
      <c r="P25" s="14">
        <v>0.45</v>
      </c>
      <c r="Q25" s="14">
        <v>0.45</v>
      </c>
      <c r="R25" s="14">
        <v>0.34</v>
      </c>
      <c r="S25" s="14">
        <v>0.28999999999999998</v>
      </c>
      <c r="T25" s="14">
        <v>0.38</v>
      </c>
      <c r="U25" s="14">
        <v>0.55000000000000004</v>
      </c>
      <c r="V25" s="14">
        <v>0.37</v>
      </c>
      <c r="W25" s="14">
        <v>0.56000000000000005</v>
      </c>
      <c r="X25" s="14">
        <v>0.45</v>
      </c>
      <c r="Y25" s="14">
        <v>0.33</v>
      </c>
      <c r="Z25" s="14">
        <v>0.5</v>
      </c>
      <c r="AA25" s="14">
        <v>0.65</v>
      </c>
      <c r="AB25" s="14">
        <v>0.39</v>
      </c>
      <c r="AC25" s="14">
        <v>0.28999999999999998</v>
      </c>
      <c r="AD25" s="14">
        <v>0.4</v>
      </c>
      <c r="AE25" s="14">
        <v>0.37</v>
      </c>
      <c r="AF25" s="14">
        <v>0.52</v>
      </c>
    </row>
    <row r="26" spans="1:32" x14ac:dyDescent="0.35">
      <c r="A26" s="31"/>
      <c r="B26" s="11" t="s">
        <v>338</v>
      </c>
      <c r="C26" s="12">
        <v>10326</v>
      </c>
      <c r="D26" s="12">
        <v>409</v>
      </c>
      <c r="E26" s="12">
        <v>299</v>
      </c>
      <c r="F26" s="12">
        <v>443</v>
      </c>
      <c r="G26" s="12">
        <v>312</v>
      </c>
      <c r="H26" s="12">
        <v>459</v>
      </c>
      <c r="I26" s="12">
        <v>593</v>
      </c>
      <c r="J26" s="12">
        <v>134</v>
      </c>
      <c r="K26" s="12">
        <v>446</v>
      </c>
      <c r="L26" s="12">
        <v>316</v>
      </c>
      <c r="M26" s="12">
        <v>384</v>
      </c>
      <c r="N26" s="12">
        <v>428</v>
      </c>
      <c r="O26" s="12">
        <v>430</v>
      </c>
      <c r="P26" s="12">
        <v>378</v>
      </c>
      <c r="Q26" s="12">
        <v>382</v>
      </c>
      <c r="R26" s="12">
        <v>239</v>
      </c>
      <c r="S26" s="12">
        <v>558</v>
      </c>
      <c r="T26" s="12">
        <v>498</v>
      </c>
      <c r="U26" s="12">
        <v>156</v>
      </c>
      <c r="V26" s="12">
        <v>458</v>
      </c>
      <c r="W26" s="12">
        <v>162</v>
      </c>
      <c r="X26" s="12">
        <v>372</v>
      </c>
      <c r="Y26" s="12">
        <v>398</v>
      </c>
      <c r="Z26" s="12">
        <v>399</v>
      </c>
      <c r="AA26" s="12">
        <v>235</v>
      </c>
      <c r="AB26" s="12">
        <v>334</v>
      </c>
      <c r="AC26" s="12">
        <v>501</v>
      </c>
      <c r="AD26" s="12">
        <v>406</v>
      </c>
      <c r="AE26" s="12">
        <v>484</v>
      </c>
      <c r="AF26" s="12">
        <v>379</v>
      </c>
    </row>
    <row r="27" spans="1:32" x14ac:dyDescent="0.35">
      <c r="A27" s="31"/>
      <c r="B27" s="13" t="s">
        <v>339</v>
      </c>
      <c r="C27" s="14">
        <v>0.39</v>
      </c>
      <c r="D27" s="14">
        <v>0.4</v>
      </c>
      <c r="E27" s="14">
        <v>0.28999999999999998</v>
      </c>
      <c r="F27" s="14">
        <v>0.43</v>
      </c>
      <c r="G27" s="14">
        <v>0.31</v>
      </c>
      <c r="H27" s="14">
        <v>0.37</v>
      </c>
      <c r="I27" s="14">
        <v>0.39</v>
      </c>
      <c r="J27" s="14">
        <v>0.45</v>
      </c>
      <c r="K27" s="14">
        <v>0.44</v>
      </c>
      <c r="L27" s="14">
        <v>0.32</v>
      </c>
      <c r="M27" s="14">
        <v>0.38</v>
      </c>
      <c r="N27" s="14">
        <v>0.43</v>
      </c>
      <c r="O27" s="14">
        <v>0.43</v>
      </c>
      <c r="P27" s="14">
        <v>0.38</v>
      </c>
      <c r="Q27" s="14">
        <v>0.37</v>
      </c>
      <c r="R27" s="14">
        <v>0.48</v>
      </c>
      <c r="S27" s="14">
        <v>0.55000000000000004</v>
      </c>
      <c r="T27" s="14">
        <v>0.49</v>
      </c>
      <c r="U27" s="14">
        <v>0.31</v>
      </c>
      <c r="V27" s="14">
        <v>0.45</v>
      </c>
      <c r="W27" s="14">
        <v>0.32</v>
      </c>
      <c r="X27" s="14">
        <v>0.37</v>
      </c>
      <c r="Y27" s="14">
        <v>0.4</v>
      </c>
      <c r="Z27" s="14">
        <v>0.39</v>
      </c>
      <c r="AA27" s="14">
        <v>0.23</v>
      </c>
      <c r="AB27" s="14">
        <v>0.32</v>
      </c>
      <c r="AC27" s="14">
        <v>0.49</v>
      </c>
      <c r="AD27" s="14">
        <v>0.41</v>
      </c>
      <c r="AE27" s="14">
        <v>0.48</v>
      </c>
      <c r="AF27" s="14">
        <v>0.37</v>
      </c>
    </row>
    <row r="28" spans="1:32" x14ac:dyDescent="0.35">
      <c r="A28" s="31"/>
      <c r="B28" s="11" t="s">
        <v>347</v>
      </c>
      <c r="C28" s="12">
        <v>4924</v>
      </c>
      <c r="D28" s="12">
        <v>215</v>
      </c>
      <c r="E28" s="12">
        <v>246</v>
      </c>
      <c r="F28" s="12">
        <v>291</v>
      </c>
      <c r="G28" s="12">
        <v>78</v>
      </c>
      <c r="H28" s="12">
        <v>183</v>
      </c>
      <c r="I28" s="12">
        <v>262</v>
      </c>
      <c r="J28" s="12">
        <v>79</v>
      </c>
      <c r="K28" s="12">
        <v>197</v>
      </c>
      <c r="L28" s="12">
        <v>127</v>
      </c>
      <c r="M28" s="12">
        <v>281</v>
      </c>
      <c r="N28" s="12">
        <v>186</v>
      </c>
      <c r="O28" s="12">
        <v>254</v>
      </c>
      <c r="P28" s="12">
        <v>176</v>
      </c>
      <c r="Q28" s="12">
        <v>170</v>
      </c>
      <c r="R28" s="12">
        <v>86</v>
      </c>
      <c r="S28" s="12">
        <v>128</v>
      </c>
      <c r="T28" s="12">
        <v>99</v>
      </c>
      <c r="U28" s="12">
        <v>62</v>
      </c>
      <c r="V28" s="12">
        <v>189</v>
      </c>
      <c r="W28" s="12">
        <v>59</v>
      </c>
      <c r="X28" s="12">
        <v>174</v>
      </c>
      <c r="Y28" s="12">
        <v>264</v>
      </c>
      <c r="Z28" s="12">
        <v>114</v>
      </c>
      <c r="AA28" s="12">
        <v>89</v>
      </c>
      <c r="AB28" s="12">
        <v>280</v>
      </c>
      <c r="AC28" s="12">
        <v>191</v>
      </c>
      <c r="AD28" s="12">
        <v>188</v>
      </c>
      <c r="AE28" s="12">
        <v>133</v>
      </c>
      <c r="AF28" s="12">
        <v>99</v>
      </c>
    </row>
    <row r="29" spans="1:32" x14ac:dyDescent="0.35">
      <c r="A29" s="31"/>
      <c r="B29" s="13" t="s">
        <v>348</v>
      </c>
      <c r="C29" s="14">
        <v>0.18</v>
      </c>
      <c r="D29" s="14">
        <v>0.21</v>
      </c>
      <c r="E29" s="14">
        <v>0.24</v>
      </c>
      <c r="F29" s="14">
        <v>0.28999999999999998</v>
      </c>
      <c r="G29" s="14">
        <v>0.08</v>
      </c>
      <c r="H29" s="14">
        <v>0.15</v>
      </c>
      <c r="I29" s="14">
        <v>0.18</v>
      </c>
      <c r="J29" s="14">
        <v>0.27</v>
      </c>
      <c r="K29" s="14">
        <v>0.2</v>
      </c>
      <c r="L29" s="14">
        <v>0.12</v>
      </c>
      <c r="M29" s="14">
        <v>0.28000000000000003</v>
      </c>
      <c r="N29" s="14">
        <v>0.18</v>
      </c>
      <c r="O29" s="14">
        <v>0.26</v>
      </c>
      <c r="P29" s="14">
        <v>0.17</v>
      </c>
      <c r="Q29" s="14">
        <v>0.17</v>
      </c>
      <c r="R29" s="14">
        <v>0.17</v>
      </c>
      <c r="S29" s="14">
        <v>0.13</v>
      </c>
      <c r="T29" s="14">
        <v>0.09</v>
      </c>
      <c r="U29" s="14">
        <v>0.12</v>
      </c>
      <c r="V29" s="14">
        <v>0.18</v>
      </c>
      <c r="W29" s="14">
        <v>0.12</v>
      </c>
      <c r="X29" s="14">
        <v>0.18</v>
      </c>
      <c r="Y29" s="14">
        <v>0.26</v>
      </c>
      <c r="Z29" s="14">
        <v>0.11</v>
      </c>
      <c r="AA29" s="14">
        <v>0.09</v>
      </c>
      <c r="AB29" s="14">
        <v>0.26</v>
      </c>
      <c r="AC29" s="14">
        <v>0.19</v>
      </c>
      <c r="AD29" s="14">
        <v>0.19</v>
      </c>
      <c r="AE29" s="14">
        <v>0.13</v>
      </c>
      <c r="AF29" s="14">
        <v>0.1</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v>
      </c>
      <c r="C3" s="30"/>
      <c r="D3" s="30"/>
      <c r="E3" s="30"/>
      <c r="F3" s="30"/>
      <c r="H3" s="30" t="s">
        <v>14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349</v>
      </c>
      <c r="C12" s="12">
        <v>16486</v>
      </c>
      <c r="D12" s="12">
        <v>754</v>
      </c>
      <c r="E12" s="12">
        <v>446</v>
      </c>
      <c r="F12" s="12">
        <v>417</v>
      </c>
      <c r="G12" s="12">
        <v>484</v>
      </c>
      <c r="H12" s="12">
        <v>872</v>
      </c>
      <c r="I12" s="12">
        <v>1008</v>
      </c>
      <c r="J12" s="12">
        <v>136</v>
      </c>
      <c r="K12" s="12">
        <v>399</v>
      </c>
      <c r="L12" s="12">
        <v>578</v>
      </c>
      <c r="M12" s="12">
        <v>736</v>
      </c>
      <c r="N12" s="12">
        <v>767</v>
      </c>
      <c r="O12" s="12">
        <v>528</v>
      </c>
      <c r="P12" s="12">
        <v>647</v>
      </c>
      <c r="Q12" s="12">
        <v>706</v>
      </c>
      <c r="R12" s="12">
        <v>454</v>
      </c>
      <c r="S12" s="12">
        <v>637</v>
      </c>
      <c r="T12" s="12">
        <v>706</v>
      </c>
      <c r="U12" s="12">
        <v>374</v>
      </c>
      <c r="V12" s="12">
        <v>609</v>
      </c>
      <c r="W12" s="12">
        <v>423</v>
      </c>
      <c r="X12" s="12">
        <v>702</v>
      </c>
      <c r="Y12" s="12">
        <v>509</v>
      </c>
      <c r="Z12" s="12">
        <v>519</v>
      </c>
      <c r="AA12" s="12">
        <v>877</v>
      </c>
      <c r="AB12" s="12">
        <v>621</v>
      </c>
      <c r="AC12" s="12">
        <v>632</v>
      </c>
      <c r="AD12" s="12">
        <v>426</v>
      </c>
      <c r="AE12" s="12">
        <v>545</v>
      </c>
      <c r="AF12" s="12">
        <v>511</v>
      </c>
    </row>
    <row r="13" spans="1:32" x14ac:dyDescent="0.35">
      <c r="A13" s="31"/>
      <c r="B13" s="13" t="s">
        <v>350</v>
      </c>
      <c r="C13" s="14">
        <v>0.62</v>
      </c>
      <c r="D13" s="14">
        <v>0.74</v>
      </c>
      <c r="E13" s="14">
        <v>0.43</v>
      </c>
      <c r="F13" s="14">
        <v>0.41</v>
      </c>
      <c r="G13" s="14">
        <v>0.48</v>
      </c>
      <c r="H13" s="14">
        <v>0.71</v>
      </c>
      <c r="I13" s="14">
        <v>0.66</v>
      </c>
      <c r="J13" s="14">
        <v>0.45</v>
      </c>
      <c r="K13" s="14">
        <v>0.4</v>
      </c>
      <c r="L13" s="14">
        <v>0.57999999999999996</v>
      </c>
      <c r="M13" s="14">
        <v>0.73</v>
      </c>
      <c r="N13" s="14">
        <v>0.77</v>
      </c>
      <c r="O13" s="14">
        <v>0.53</v>
      </c>
      <c r="P13" s="14">
        <v>0.64</v>
      </c>
      <c r="Q13" s="14">
        <v>0.68</v>
      </c>
      <c r="R13" s="14">
        <v>0.91</v>
      </c>
      <c r="S13" s="14">
        <v>0.62</v>
      </c>
      <c r="T13" s="14">
        <v>0.69000000000000006</v>
      </c>
      <c r="U13" s="14">
        <v>0.73</v>
      </c>
      <c r="V13" s="14">
        <v>0.6</v>
      </c>
      <c r="W13" s="14">
        <v>0.84</v>
      </c>
      <c r="X13" s="14">
        <v>0.70000000000000007</v>
      </c>
      <c r="Y13" s="14">
        <v>0.51</v>
      </c>
      <c r="Z13" s="14">
        <v>0.51</v>
      </c>
      <c r="AA13" s="14">
        <v>0.85</v>
      </c>
      <c r="AB13" s="14">
        <v>0.59</v>
      </c>
      <c r="AC13" s="14">
        <v>0.63</v>
      </c>
      <c r="AD13" s="14">
        <v>0.42</v>
      </c>
      <c r="AE13" s="14">
        <v>0.54</v>
      </c>
      <c r="AF13" s="14">
        <v>0.5</v>
      </c>
    </row>
    <row r="14" spans="1:32" x14ac:dyDescent="0.35">
      <c r="A14" s="31"/>
      <c r="B14" s="11" t="s">
        <v>351</v>
      </c>
      <c r="C14" s="12">
        <v>6226</v>
      </c>
      <c r="D14" s="12">
        <v>209</v>
      </c>
      <c r="E14" s="12">
        <v>370</v>
      </c>
      <c r="F14" s="12">
        <v>463</v>
      </c>
      <c r="G14" s="12">
        <v>246</v>
      </c>
      <c r="H14" s="12">
        <v>247</v>
      </c>
      <c r="I14" s="12">
        <v>375</v>
      </c>
      <c r="J14" s="12">
        <v>128</v>
      </c>
      <c r="K14" s="12">
        <v>366</v>
      </c>
      <c r="L14" s="12">
        <v>235</v>
      </c>
      <c r="M14" s="12">
        <v>200</v>
      </c>
      <c r="N14" s="12">
        <v>85</v>
      </c>
      <c r="O14" s="12">
        <v>280</v>
      </c>
      <c r="P14" s="12">
        <v>272</v>
      </c>
      <c r="Q14" s="12">
        <v>196</v>
      </c>
      <c r="R14" s="12">
        <v>33</v>
      </c>
      <c r="S14" s="12">
        <v>238</v>
      </c>
      <c r="T14" s="12">
        <v>121</v>
      </c>
      <c r="U14" s="12">
        <v>65</v>
      </c>
      <c r="V14" s="12">
        <v>315</v>
      </c>
      <c r="W14" s="12">
        <v>56</v>
      </c>
      <c r="X14" s="12">
        <v>254</v>
      </c>
      <c r="Y14" s="12">
        <v>300</v>
      </c>
      <c r="Z14" s="12">
        <v>302</v>
      </c>
      <c r="AA14" s="12">
        <v>27</v>
      </c>
      <c r="AB14" s="12">
        <v>313</v>
      </c>
      <c r="AC14" s="12">
        <v>225</v>
      </c>
      <c r="AD14" s="12">
        <v>387</v>
      </c>
      <c r="AE14" s="12">
        <v>308</v>
      </c>
      <c r="AF14" s="12">
        <v>305</v>
      </c>
    </row>
    <row r="15" spans="1:32" x14ac:dyDescent="0.35">
      <c r="A15" s="31"/>
      <c r="B15" s="13" t="s">
        <v>352</v>
      </c>
      <c r="C15" s="14">
        <v>0.24</v>
      </c>
      <c r="D15" s="14">
        <v>0.2</v>
      </c>
      <c r="E15" s="14">
        <v>0.36</v>
      </c>
      <c r="F15" s="14">
        <v>0.46</v>
      </c>
      <c r="G15" s="14">
        <v>0.24</v>
      </c>
      <c r="H15" s="14">
        <v>0.2</v>
      </c>
      <c r="I15" s="14">
        <v>0.24</v>
      </c>
      <c r="J15" s="14">
        <v>0.43</v>
      </c>
      <c r="K15" s="14">
        <v>0.36</v>
      </c>
      <c r="L15" s="14">
        <v>0.23</v>
      </c>
      <c r="M15" s="14">
        <v>0.2</v>
      </c>
      <c r="N15" s="14">
        <v>0.08</v>
      </c>
      <c r="O15" s="14">
        <v>0.28000000000000003</v>
      </c>
      <c r="P15" s="14">
        <v>0.27</v>
      </c>
      <c r="Q15" s="14">
        <v>0.19</v>
      </c>
      <c r="R15" s="14">
        <v>0.06</v>
      </c>
      <c r="S15" s="14">
        <v>0.23</v>
      </c>
      <c r="T15" s="14">
        <v>0.12</v>
      </c>
      <c r="U15" s="14">
        <v>0.13</v>
      </c>
      <c r="V15" s="14">
        <v>0.31</v>
      </c>
      <c r="W15" s="14">
        <v>0.11</v>
      </c>
      <c r="X15" s="14">
        <v>0.25</v>
      </c>
      <c r="Y15" s="14">
        <v>0.3</v>
      </c>
      <c r="Z15" s="14">
        <v>0.3</v>
      </c>
      <c r="AA15" s="14">
        <v>0.03</v>
      </c>
      <c r="AB15" s="14">
        <v>0.3</v>
      </c>
      <c r="AC15" s="14">
        <v>0.22</v>
      </c>
      <c r="AD15" s="14">
        <v>0.39</v>
      </c>
      <c r="AE15" s="14">
        <v>0.3</v>
      </c>
      <c r="AF15" s="14">
        <v>0.3</v>
      </c>
    </row>
    <row r="16" spans="1:32" ht="21.5" x14ac:dyDescent="0.35">
      <c r="A16" s="31"/>
      <c r="B16" s="11" t="s">
        <v>353</v>
      </c>
      <c r="C16" s="12">
        <v>2484</v>
      </c>
      <c r="D16" s="12">
        <v>42</v>
      </c>
      <c r="E16" s="12">
        <v>157</v>
      </c>
      <c r="F16" s="12">
        <v>114</v>
      </c>
      <c r="G16" s="12">
        <v>239</v>
      </c>
      <c r="H16" s="12">
        <v>71</v>
      </c>
      <c r="I16" s="12">
        <v>101</v>
      </c>
      <c r="J16" s="12">
        <v>30</v>
      </c>
      <c r="K16" s="12">
        <v>179</v>
      </c>
      <c r="L16" s="12">
        <v>136</v>
      </c>
      <c r="M16" s="12">
        <v>45</v>
      </c>
      <c r="N16" s="12">
        <v>84</v>
      </c>
      <c r="O16" s="12">
        <v>95</v>
      </c>
      <c r="P16" s="12">
        <v>66</v>
      </c>
      <c r="Q16" s="12">
        <v>104</v>
      </c>
      <c r="R16" s="12">
        <v>13</v>
      </c>
      <c r="S16" s="12">
        <v>81</v>
      </c>
      <c r="T16" s="12">
        <v>137</v>
      </c>
      <c r="U16" s="12">
        <v>36</v>
      </c>
      <c r="V16" s="12">
        <v>71</v>
      </c>
      <c r="W16" s="12">
        <v>17</v>
      </c>
      <c r="X16" s="12">
        <v>44</v>
      </c>
      <c r="Y16" s="12">
        <v>163</v>
      </c>
      <c r="Z16" s="12">
        <v>153</v>
      </c>
      <c r="AA16" s="12">
        <v>66</v>
      </c>
      <c r="AB16" s="12">
        <v>77</v>
      </c>
      <c r="AC16" s="12">
        <v>124</v>
      </c>
      <c r="AD16" s="12">
        <v>172</v>
      </c>
      <c r="AE16" s="12">
        <v>97</v>
      </c>
      <c r="AF16" s="12">
        <v>159</v>
      </c>
    </row>
    <row r="17" spans="1:32" ht="21.5" x14ac:dyDescent="0.35">
      <c r="A17" s="31"/>
      <c r="B17" s="13" t="s">
        <v>354</v>
      </c>
      <c r="C17" s="14">
        <v>0.09</v>
      </c>
      <c r="D17" s="14">
        <v>0.04</v>
      </c>
      <c r="E17" s="14">
        <v>0.15</v>
      </c>
      <c r="F17" s="14">
        <v>0.11</v>
      </c>
      <c r="G17" s="14">
        <v>0.23</v>
      </c>
      <c r="H17" s="14">
        <v>0.06</v>
      </c>
      <c r="I17" s="14">
        <v>7.0000000000000007E-2</v>
      </c>
      <c r="J17" s="14">
        <v>0.1</v>
      </c>
      <c r="K17" s="14">
        <v>0.18</v>
      </c>
      <c r="L17" s="14">
        <v>0.13</v>
      </c>
      <c r="M17" s="14">
        <v>0.05</v>
      </c>
      <c r="N17" s="14">
        <v>0.08</v>
      </c>
      <c r="O17" s="14">
        <v>0.09</v>
      </c>
      <c r="P17" s="14">
        <v>7.0000000000000007E-2</v>
      </c>
      <c r="Q17" s="14">
        <v>0.1</v>
      </c>
      <c r="R17" s="14">
        <v>0.03</v>
      </c>
      <c r="S17" s="14">
        <v>0.08</v>
      </c>
      <c r="T17" s="14">
        <v>0.14000000000000001</v>
      </c>
      <c r="U17" s="14">
        <v>7.0000000000000007E-2</v>
      </c>
      <c r="V17" s="14">
        <v>7.0000000000000007E-2</v>
      </c>
      <c r="W17" s="14">
        <v>0.04</v>
      </c>
      <c r="X17" s="14">
        <v>0.04</v>
      </c>
      <c r="Y17" s="14">
        <v>0.16</v>
      </c>
      <c r="Z17" s="14">
        <v>0.15</v>
      </c>
      <c r="AA17" s="14">
        <v>0.06</v>
      </c>
      <c r="AB17" s="14">
        <v>7.0000000000000007E-2</v>
      </c>
      <c r="AC17" s="14">
        <v>0.12</v>
      </c>
      <c r="AD17" s="14">
        <v>0.17</v>
      </c>
      <c r="AE17" s="14">
        <v>0.1</v>
      </c>
      <c r="AF17" s="14">
        <v>0.16</v>
      </c>
    </row>
    <row r="18" spans="1:32" x14ac:dyDescent="0.35">
      <c r="A18" s="31"/>
      <c r="B18" s="11" t="s">
        <v>344</v>
      </c>
      <c r="C18" s="12">
        <v>1213</v>
      </c>
      <c r="D18" s="12">
        <v>21</v>
      </c>
      <c r="E18" s="12">
        <v>66</v>
      </c>
      <c r="F18" s="12">
        <v>24</v>
      </c>
      <c r="G18" s="12">
        <v>47</v>
      </c>
      <c r="H18" s="12">
        <v>41</v>
      </c>
      <c r="I18" s="12">
        <v>45</v>
      </c>
      <c r="J18" s="12">
        <v>5</v>
      </c>
      <c r="K18" s="12">
        <v>64</v>
      </c>
      <c r="L18" s="12">
        <v>56</v>
      </c>
      <c r="M18" s="12">
        <v>22</v>
      </c>
      <c r="N18" s="12">
        <v>65</v>
      </c>
      <c r="O18" s="12">
        <v>97</v>
      </c>
      <c r="P18" s="12">
        <v>19</v>
      </c>
      <c r="Q18" s="12">
        <v>29</v>
      </c>
      <c r="R18" s="12">
        <v>2</v>
      </c>
      <c r="S18" s="12">
        <v>65</v>
      </c>
      <c r="T18" s="12">
        <v>53</v>
      </c>
      <c r="U18" s="12">
        <v>34</v>
      </c>
      <c r="V18" s="12">
        <v>19</v>
      </c>
      <c r="W18" s="12">
        <v>5</v>
      </c>
      <c r="X18" s="12">
        <v>9</v>
      </c>
      <c r="Y18" s="12">
        <v>31</v>
      </c>
      <c r="Z18" s="12">
        <v>45</v>
      </c>
      <c r="AA18" s="12">
        <v>60</v>
      </c>
      <c r="AB18" s="12">
        <v>46</v>
      </c>
      <c r="AC18" s="12">
        <v>32</v>
      </c>
      <c r="AD18" s="12">
        <v>19</v>
      </c>
      <c r="AE18" s="12">
        <v>57</v>
      </c>
      <c r="AF18" s="12">
        <v>45</v>
      </c>
    </row>
    <row r="19" spans="1:32" x14ac:dyDescent="0.35">
      <c r="A19" s="31"/>
      <c r="B19" s="13" t="s">
        <v>345</v>
      </c>
      <c r="C19" s="14">
        <v>0.05</v>
      </c>
      <c r="D19" s="14">
        <v>0.02</v>
      </c>
      <c r="E19" s="14">
        <v>0.06</v>
      </c>
      <c r="F19" s="14">
        <v>0.02</v>
      </c>
      <c r="G19" s="14">
        <v>0.05</v>
      </c>
      <c r="H19" s="14">
        <v>0.03</v>
      </c>
      <c r="I19" s="14">
        <v>0.03</v>
      </c>
      <c r="J19" s="14">
        <v>0.02</v>
      </c>
      <c r="K19" s="14">
        <v>0.06</v>
      </c>
      <c r="L19" s="14">
        <v>0.06</v>
      </c>
      <c r="M19" s="14">
        <v>0.02</v>
      </c>
      <c r="N19" s="14">
        <v>7.0000000000000007E-2</v>
      </c>
      <c r="O19" s="14">
        <v>0.1</v>
      </c>
      <c r="P19" s="14">
        <v>0.02</v>
      </c>
      <c r="Q19" s="14">
        <v>0.03</v>
      </c>
      <c r="R19" s="15" t="s">
        <v>333</v>
      </c>
      <c r="S19" s="14">
        <v>7.0000000000000007E-2</v>
      </c>
      <c r="T19" s="14">
        <v>0.05</v>
      </c>
      <c r="U19" s="14">
        <v>7.0000000000000007E-2</v>
      </c>
      <c r="V19" s="14">
        <v>0.02</v>
      </c>
      <c r="W19" s="14">
        <v>0.01</v>
      </c>
      <c r="X19" s="14">
        <v>0.01</v>
      </c>
      <c r="Y19" s="14">
        <v>0.03</v>
      </c>
      <c r="Z19" s="14">
        <v>0.04</v>
      </c>
      <c r="AA19" s="14">
        <v>0.06</v>
      </c>
      <c r="AB19" s="14">
        <v>0.04</v>
      </c>
      <c r="AC19" s="14">
        <v>0.03</v>
      </c>
      <c r="AD19" s="14">
        <v>0.02</v>
      </c>
      <c r="AE19" s="14">
        <v>0.06</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9"/>
  <sheetViews>
    <sheetView workbookViewId="0">
      <pane xSplit="3" ySplit="9" topLeftCell="D10" activePane="bottomRight" state="frozen"/>
      <selection pane="topRight"/>
      <selection pane="bottomLeft"/>
      <selection pane="bottomRight" activeCell="H2" sqref="H2"/>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15</v>
      </c>
      <c r="C3" s="30"/>
      <c r="D3" s="30"/>
      <c r="E3" s="30"/>
      <c r="F3" s="30"/>
      <c r="H3" s="30" t="s">
        <v>16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334</v>
      </c>
      <c r="C12" s="12">
        <v>2102</v>
      </c>
      <c r="D12" s="12">
        <v>71</v>
      </c>
      <c r="E12" s="12">
        <v>116</v>
      </c>
      <c r="F12" s="12">
        <v>54</v>
      </c>
      <c r="G12" s="12">
        <v>165</v>
      </c>
      <c r="H12" s="12">
        <v>153</v>
      </c>
      <c r="I12" s="12">
        <v>169</v>
      </c>
      <c r="J12" s="12">
        <v>16</v>
      </c>
      <c r="K12" s="12">
        <v>57</v>
      </c>
      <c r="L12" s="12">
        <v>256</v>
      </c>
      <c r="M12" s="12">
        <v>51</v>
      </c>
      <c r="N12" s="12">
        <v>54</v>
      </c>
      <c r="O12" s="12">
        <v>38</v>
      </c>
      <c r="P12" s="12">
        <v>123</v>
      </c>
      <c r="Q12" s="12">
        <v>71</v>
      </c>
      <c r="R12" s="12">
        <v>21</v>
      </c>
      <c r="S12" s="12">
        <v>95</v>
      </c>
      <c r="T12" s="12">
        <v>98</v>
      </c>
      <c r="U12" s="12">
        <v>70</v>
      </c>
      <c r="V12" s="12">
        <v>40</v>
      </c>
      <c r="W12" s="12">
        <v>54</v>
      </c>
      <c r="X12" s="12">
        <v>106</v>
      </c>
      <c r="Y12" s="12">
        <v>90</v>
      </c>
      <c r="Z12" s="12">
        <v>92</v>
      </c>
      <c r="AA12" s="12">
        <v>81</v>
      </c>
      <c r="AB12" s="12">
        <v>47</v>
      </c>
      <c r="AC12" s="12">
        <v>45</v>
      </c>
      <c r="AD12" s="12">
        <v>106</v>
      </c>
      <c r="AE12" s="12">
        <v>76</v>
      </c>
      <c r="AF12" s="12">
        <v>189</v>
      </c>
    </row>
    <row r="13" spans="1:32" x14ac:dyDescent="0.35">
      <c r="A13" s="31"/>
      <c r="B13" s="13" t="s">
        <v>335</v>
      </c>
      <c r="C13" s="14">
        <v>0.08</v>
      </c>
      <c r="D13" s="14">
        <v>7.0000000000000007E-2</v>
      </c>
      <c r="E13" s="14">
        <v>0.11</v>
      </c>
      <c r="F13" s="14">
        <v>0.05</v>
      </c>
      <c r="G13" s="14">
        <v>0.16</v>
      </c>
      <c r="H13" s="14">
        <v>0.12</v>
      </c>
      <c r="I13" s="14">
        <v>0.11</v>
      </c>
      <c r="J13" s="14">
        <v>0.05</v>
      </c>
      <c r="K13" s="14">
        <v>0.05</v>
      </c>
      <c r="L13" s="14">
        <v>0.26</v>
      </c>
      <c r="M13" s="14">
        <v>0.05</v>
      </c>
      <c r="N13" s="14">
        <v>0.06</v>
      </c>
      <c r="O13" s="14">
        <v>0.04</v>
      </c>
      <c r="P13" s="14">
        <v>0.12</v>
      </c>
      <c r="Q13" s="14">
        <v>7.0000000000000007E-2</v>
      </c>
      <c r="R13" s="14">
        <v>0.04</v>
      </c>
      <c r="S13" s="14">
        <v>0.09</v>
      </c>
      <c r="T13" s="14">
        <v>0.1</v>
      </c>
      <c r="U13" s="14">
        <v>0.14000000000000001</v>
      </c>
      <c r="V13" s="14">
        <v>0.04</v>
      </c>
      <c r="W13" s="14">
        <v>0.11</v>
      </c>
      <c r="X13" s="14">
        <v>0.11</v>
      </c>
      <c r="Y13" s="14">
        <v>0.09</v>
      </c>
      <c r="Z13" s="14">
        <v>0.09</v>
      </c>
      <c r="AA13" s="14">
        <v>0.08</v>
      </c>
      <c r="AB13" s="14">
        <v>0.05</v>
      </c>
      <c r="AC13" s="14">
        <v>0.05</v>
      </c>
      <c r="AD13" s="14">
        <v>0.11</v>
      </c>
      <c r="AE13" s="14">
        <v>0.08</v>
      </c>
      <c r="AF13" s="14">
        <v>0.19</v>
      </c>
    </row>
    <row r="14" spans="1:32" x14ac:dyDescent="0.35">
      <c r="A14" s="31"/>
      <c r="B14" s="11" t="s">
        <v>355</v>
      </c>
      <c r="C14" s="12">
        <v>11517</v>
      </c>
      <c r="D14" s="12">
        <v>443</v>
      </c>
      <c r="E14" s="12">
        <v>405</v>
      </c>
      <c r="F14" s="12">
        <v>310</v>
      </c>
      <c r="G14" s="12">
        <v>532</v>
      </c>
      <c r="H14" s="12">
        <v>599</v>
      </c>
      <c r="I14" s="12">
        <v>689</v>
      </c>
      <c r="J14" s="12">
        <v>89</v>
      </c>
      <c r="K14" s="12">
        <v>444</v>
      </c>
      <c r="L14" s="12">
        <v>444</v>
      </c>
      <c r="M14" s="12">
        <v>316</v>
      </c>
      <c r="N14" s="12">
        <v>411</v>
      </c>
      <c r="O14" s="12">
        <v>397</v>
      </c>
      <c r="P14" s="12">
        <v>413</v>
      </c>
      <c r="Q14" s="12">
        <v>474</v>
      </c>
      <c r="R14" s="12">
        <v>196</v>
      </c>
      <c r="S14" s="12">
        <v>421</v>
      </c>
      <c r="T14" s="12">
        <v>509</v>
      </c>
      <c r="U14" s="12">
        <v>270</v>
      </c>
      <c r="V14" s="12">
        <v>411</v>
      </c>
      <c r="W14" s="12">
        <v>254</v>
      </c>
      <c r="X14" s="12">
        <v>494</v>
      </c>
      <c r="Y14" s="12">
        <v>292</v>
      </c>
      <c r="Z14" s="12">
        <v>493</v>
      </c>
      <c r="AA14" s="12">
        <v>678</v>
      </c>
      <c r="AB14" s="12">
        <v>427</v>
      </c>
      <c r="AC14" s="12">
        <v>413</v>
      </c>
      <c r="AD14" s="12">
        <v>392</v>
      </c>
      <c r="AE14" s="12">
        <v>474</v>
      </c>
      <c r="AF14" s="12">
        <v>550</v>
      </c>
    </row>
    <row r="15" spans="1:32" x14ac:dyDescent="0.35">
      <c r="A15" s="31"/>
      <c r="B15" s="13" t="s">
        <v>337</v>
      </c>
      <c r="C15" s="14">
        <v>0.44</v>
      </c>
      <c r="D15" s="14">
        <v>0.43</v>
      </c>
      <c r="E15" s="14">
        <v>0.39</v>
      </c>
      <c r="F15" s="14">
        <v>0.3</v>
      </c>
      <c r="G15" s="14">
        <v>0.52</v>
      </c>
      <c r="H15" s="14">
        <v>0.49</v>
      </c>
      <c r="I15" s="14">
        <v>0.45</v>
      </c>
      <c r="J15" s="14">
        <v>0.3</v>
      </c>
      <c r="K15" s="14">
        <v>0.44</v>
      </c>
      <c r="L15" s="14">
        <v>0.44</v>
      </c>
      <c r="M15" s="14">
        <v>0.31</v>
      </c>
      <c r="N15" s="14">
        <v>0.41</v>
      </c>
      <c r="O15" s="14">
        <v>0.4</v>
      </c>
      <c r="P15" s="14">
        <v>0.41</v>
      </c>
      <c r="Q15" s="14">
        <v>0.46</v>
      </c>
      <c r="R15" s="14">
        <v>0.39</v>
      </c>
      <c r="S15" s="14">
        <v>0.41</v>
      </c>
      <c r="T15" s="14">
        <v>0.5</v>
      </c>
      <c r="U15" s="14">
        <v>0.53</v>
      </c>
      <c r="V15" s="14">
        <v>0.41</v>
      </c>
      <c r="W15" s="14">
        <v>0.51</v>
      </c>
      <c r="X15" s="14">
        <v>0.49</v>
      </c>
      <c r="Y15" s="14">
        <v>0.28999999999999998</v>
      </c>
      <c r="Z15" s="14">
        <v>0.48</v>
      </c>
      <c r="AA15" s="14">
        <v>0.66</v>
      </c>
      <c r="AB15" s="14">
        <v>0.4</v>
      </c>
      <c r="AC15" s="14">
        <v>0.41</v>
      </c>
      <c r="AD15" s="14">
        <v>0.39</v>
      </c>
      <c r="AE15" s="14">
        <v>0.47</v>
      </c>
      <c r="AF15" s="14">
        <v>0.54</v>
      </c>
    </row>
    <row r="16" spans="1:32" x14ac:dyDescent="0.35">
      <c r="A16" s="31"/>
      <c r="B16" s="11" t="s">
        <v>338</v>
      </c>
      <c r="C16" s="12">
        <v>8389</v>
      </c>
      <c r="D16" s="12">
        <v>320</v>
      </c>
      <c r="E16" s="12">
        <v>293</v>
      </c>
      <c r="F16" s="12">
        <v>378</v>
      </c>
      <c r="G16" s="12">
        <v>240</v>
      </c>
      <c r="H16" s="12">
        <v>352</v>
      </c>
      <c r="I16" s="12">
        <v>479</v>
      </c>
      <c r="J16" s="12">
        <v>127</v>
      </c>
      <c r="K16" s="12">
        <v>332</v>
      </c>
      <c r="L16" s="12">
        <v>205</v>
      </c>
      <c r="M16" s="12">
        <v>346</v>
      </c>
      <c r="N16" s="12">
        <v>362</v>
      </c>
      <c r="O16" s="12">
        <v>311</v>
      </c>
      <c r="P16" s="12">
        <v>337</v>
      </c>
      <c r="Q16" s="12">
        <v>330</v>
      </c>
      <c r="R16" s="12">
        <v>176</v>
      </c>
      <c r="S16" s="12">
        <v>382</v>
      </c>
      <c r="T16" s="12">
        <v>340</v>
      </c>
      <c r="U16" s="12">
        <v>105</v>
      </c>
      <c r="V16" s="12">
        <v>431</v>
      </c>
      <c r="W16" s="12">
        <v>150</v>
      </c>
      <c r="X16" s="12">
        <v>243</v>
      </c>
      <c r="Y16" s="12">
        <v>393</v>
      </c>
      <c r="Z16" s="12">
        <v>338</v>
      </c>
      <c r="AA16" s="12">
        <v>183</v>
      </c>
      <c r="AB16" s="12">
        <v>371</v>
      </c>
      <c r="AC16" s="12">
        <v>388</v>
      </c>
      <c r="AD16" s="12">
        <v>331</v>
      </c>
      <c r="AE16" s="12">
        <v>307</v>
      </c>
      <c r="AF16" s="12">
        <v>197</v>
      </c>
    </row>
    <row r="17" spans="1:32" x14ac:dyDescent="0.35">
      <c r="A17" s="31"/>
      <c r="B17" s="13" t="s">
        <v>339</v>
      </c>
      <c r="C17" s="14">
        <v>0.32</v>
      </c>
      <c r="D17" s="14">
        <v>0.31</v>
      </c>
      <c r="E17" s="14">
        <v>0.28000000000000003</v>
      </c>
      <c r="F17" s="14">
        <v>0.37</v>
      </c>
      <c r="G17" s="14">
        <v>0.24</v>
      </c>
      <c r="H17" s="14">
        <v>0.28000000000000003</v>
      </c>
      <c r="I17" s="14">
        <v>0.31</v>
      </c>
      <c r="J17" s="14">
        <v>0.43</v>
      </c>
      <c r="K17" s="14">
        <v>0.33</v>
      </c>
      <c r="L17" s="14">
        <v>0.2</v>
      </c>
      <c r="M17" s="14">
        <v>0.35</v>
      </c>
      <c r="N17" s="14">
        <v>0.36</v>
      </c>
      <c r="O17" s="14">
        <v>0.31</v>
      </c>
      <c r="P17" s="14">
        <v>0.34</v>
      </c>
      <c r="Q17" s="14">
        <v>0.32</v>
      </c>
      <c r="R17" s="14">
        <v>0.35</v>
      </c>
      <c r="S17" s="14">
        <v>0.38</v>
      </c>
      <c r="T17" s="14">
        <v>0.33</v>
      </c>
      <c r="U17" s="14">
        <v>0.21</v>
      </c>
      <c r="V17" s="14">
        <v>0.42</v>
      </c>
      <c r="W17" s="14">
        <v>0.3</v>
      </c>
      <c r="X17" s="14">
        <v>0.24</v>
      </c>
      <c r="Y17" s="14">
        <v>0.39</v>
      </c>
      <c r="Z17" s="14">
        <v>0.33</v>
      </c>
      <c r="AA17" s="14">
        <v>0.18</v>
      </c>
      <c r="AB17" s="14">
        <v>0.35</v>
      </c>
      <c r="AC17" s="14">
        <v>0.38</v>
      </c>
      <c r="AD17" s="14">
        <v>0.33</v>
      </c>
      <c r="AE17" s="14">
        <v>0.31</v>
      </c>
      <c r="AF17" s="14">
        <v>0.19</v>
      </c>
    </row>
    <row r="18" spans="1:32" x14ac:dyDescent="0.35">
      <c r="A18" s="31"/>
      <c r="B18" s="11" t="s">
        <v>356</v>
      </c>
      <c r="C18" s="12">
        <v>3249</v>
      </c>
      <c r="D18" s="12">
        <v>154</v>
      </c>
      <c r="E18" s="12">
        <v>146</v>
      </c>
      <c r="F18" s="12">
        <v>204</v>
      </c>
      <c r="G18" s="12">
        <v>63</v>
      </c>
      <c r="H18" s="12">
        <v>82</v>
      </c>
      <c r="I18" s="12">
        <v>130</v>
      </c>
      <c r="J18" s="12">
        <v>49</v>
      </c>
      <c r="K18" s="12">
        <v>128</v>
      </c>
      <c r="L18" s="12">
        <v>56</v>
      </c>
      <c r="M18" s="12">
        <v>199</v>
      </c>
      <c r="N18" s="12">
        <v>113</v>
      </c>
      <c r="O18" s="12">
        <v>190</v>
      </c>
      <c r="P18" s="12">
        <v>96</v>
      </c>
      <c r="Q18" s="12">
        <v>131</v>
      </c>
      <c r="R18" s="12">
        <v>69</v>
      </c>
      <c r="S18" s="12">
        <v>102</v>
      </c>
      <c r="T18" s="12">
        <v>55</v>
      </c>
      <c r="U18" s="12">
        <v>44</v>
      </c>
      <c r="V18" s="12">
        <v>102</v>
      </c>
      <c r="W18" s="12">
        <v>29</v>
      </c>
      <c r="X18" s="12">
        <v>133</v>
      </c>
      <c r="Y18" s="12">
        <v>165</v>
      </c>
      <c r="Z18" s="12">
        <v>78</v>
      </c>
      <c r="AA18" s="12">
        <v>68</v>
      </c>
      <c r="AB18" s="12">
        <v>161</v>
      </c>
      <c r="AC18" s="12">
        <v>122</v>
      </c>
      <c r="AD18" s="12">
        <v>136</v>
      </c>
      <c r="AE18" s="12">
        <v>124</v>
      </c>
      <c r="AF18" s="12">
        <v>65</v>
      </c>
    </row>
    <row r="19" spans="1:32" x14ac:dyDescent="0.35">
      <c r="A19" s="31"/>
      <c r="B19" s="13" t="s">
        <v>341</v>
      </c>
      <c r="C19" s="14">
        <v>0.12</v>
      </c>
      <c r="D19" s="14">
        <v>0.15</v>
      </c>
      <c r="E19" s="14">
        <v>0.14000000000000001</v>
      </c>
      <c r="F19" s="14">
        <v>0.2</v>
      </c>
      <c r="G19" s="14">
        <v>0.06</v>
      </c>
      <c r="H19" s="14">
        <v>7.0000000000000007E-2</v>
      </c>
      <c r="I19" s="14">
        <v>0.09</v>
      </c>
      <c r="J19" s="14">
        <v>0.16</v>
      </c>
      <c r="K19" s="14">
        <v>0.13</v>
      </c>
      <c r="L19" s="14">
        <v>0.06</v>
      </c>
      <c r="M19" s="14">
        <v>0.2</v>
      </c>
      <c r="N19" s="14">
        <v>0.11</v>
      </c>
      <c r="O19" s="14">
        <v>0.19</v>
      </c>
      <c r="P19" s="14">
        <v>0.1</v>
      </c>
      <c r="Q19" s="14">
        <v>0.12</v>
      </c>
      <c r="R19" s="14">
        <v>0.14000000000000001</v>
      </c>
      <c r="S19" s="14">
        <v>0.1</v>
      </c>
      <c r="T19" s="14">
        <v>0.05</v>
      </c>
      <c r="U19" s="14">
        <v>0.09</v>
      </c>
      <c r="V19" s="14">
        <v>0.1</v>
      </c>
      <c r="W19" s="14">
        <v>0.06</v>
      </c>
      <c r="X19" s="14">
        <v>0.13</v>
      </c>
      <c r="Y19" s="14">
        <v>0.17</v>
      </c>
      <c r="Z19" s="14">
        <v>0.08</v>
      </c>
      <c r="AA19" s="14">
        <v>0.06</v>
      </c>
      <c r="AB19" s="14">
        <v>0.15</v>
      </c>
      <c r="AC19" s="14">
        <v>0.12</v>
      </c>
      <c r="AD19" s="14">
        <v>0.13</v>
      </c>
      <c r="AE19" s="14">
        <v>0.12</v>
      </c>
      <c r="AF19" s="14">
        <v>0.06</v>
      </c>
    </row>
    <row r="20" spans="1:32" x14ac:dyDescent="0.35">
      <c r="A20" s="31"/>
      <c r="B20" s="11" t="s">
        <v>342</v>
      </c>
      <c r="C20" s="12">
        <v>1056</v>
      </c>
      <c r="D20" s="12">
        <v>35</v>
      </c>
      <c r="E20" s="12">
        <v>72</v>
      </c>
      <c r="F20" s="12">
        <v>68</v>
      </c>
      <c r="G20" s="12">
        <v>12</v>
      </c>
      <c r="H20" s="12">
        <v>46</v>
      </c>
      <c r="I20" s="12">
        <v>63</v>
      </c>
      <c r="J20" s="12">
        <v>16</v>
      </c>
      <c r="K20" s="12">
        <v>41</v>
      </c>
      <c r="L20" s="12">
        <v>34</v>
      </c>
      <c r="M20" s="12">
        <v>92</v>
      </c>
      <c r="N20" s="12">
        <v>48</v>
      </c>
      <c r="O20" s="12">
        <v>60</v>
      </c>
      <c r="P20" s="12">
        <v>31</v>
      </c>
      <c r="Q20" s="12">
        <v>29</v>
      </c>
      <c r="R20" s="12">
        <v>37</v>
      </c>
      <c r="S20" s="12">
        <v>19</v>
      </c>
      <c r="T20" s="12">
        <v>8</v>
      </c>
      <c r="U20" s="12">
        <v>18</v>
      </c>
      <c r="V20" s="12">
        <v>29</v>
      </c>
      <c r="W20" s="12">
        <v>13</v>
      </c>
      <c r="X20" s="12">
        <v>33</v>
      </c>
      <c r="Y20" s="12">
        <v>63</v>
      </c>
      <c r="Z20" s="12">
        <v>15</v>
      </c>
      <c r="AA20" s="12">
        <v>9</v>
      </c>
      <c r="AB20" s="12">
        <v>39</v>
      </c>
      <c r="AC20" s="12">
        <v>32</v>
      </c>
      <c r="AD20" s="12">
        <v>39</v>
      </c>
      <c r="AE20" s="12">
        <v>23</v>
      </c>
      <c r="AF20" s="12">
        <v>15</v>
      </c>
    </row>
    <row r="21" spans="1:32" x14ac:dyDescent="0.35">
      <c r="A21" s="31"/>
      <c r="B21" s="13" t="s">
        <v>343</v>
      </c>
      <c r="C21" s="14">
        <v>0.04</v>
      </c>
      <c r="D21" s="14">
        <v>0.04</v>
      </c>
      <c r="E21" s="14">
        <v>7.0000000000000007E-2</v>
      </c>
      <c r="F21" s="14">
        <v>7.0000000000000007E-2</v>
      </c>
      <c r="G21" s="14">
        <v>0.01</v>
      </c>
      <c r="H21" s="14">
        <v>0.04</v>
      </c>
      <c r="I21" s="14">
        <v>0.04</v>
      </c>
      <c r="J21" s="14">
        <v>0.06</v>
      </c>
      <c r="K21" s="14">
        <v>0.04</v>
      </c>
      <c r="L21" s="14">
        <v>0.03</v>
      </c>
      <c r="M21" s="14">
        <v>0.09</v>
      </c>
      <c r="N21" s="14">
        <v>0.05</v>
      </c>
      <c r="O21" s="14">
        <v>0.06</v>
      </c>
      <c r="P21" s="14">
        <v>0.03</v>
      </c>
      <c r="Q21" s="14">
        <v>0.03</v>
      </c>
      <c r="R21" s="14">
        <v>7.0000000000000007E-2</v>
      </c>
      <c r="S21" s="14">
        <v>0.02</v>
      </c>
      <c r="T21" s="14">
        <v>0.01</v>
      </c>
      <c r="U21" s="14">
        <v>0.03</v>
      </c>
      <c r="V21" s="14">
        <v>0.03</v>
      </c>
      <c r="W21" s="14">
        <v>0.02</v>
      </c>
      <c r="X21" s="14">
        <v>0.03</v>
      </c>
      <c r="Y21" s="14">
        <v>0.06</v>
      </c>
      <c r="Z21" s="14">
        <v>0.02</v>
      </c>
      <c r="AA21" s="14">
        <v>0.01</v>
      </c>
      <c r="AB21" s="14">
        <v>0.04</v>
      </c>
      <c r="AC21" s="14">
        <v>0.03</v>
      </c>
      <c r="AD21" s="14">
        <v>0.04</v>
      </c>
      <c r="AE21" s="14">
        <v>0.02</v>
      </c>
      <c r="AF21" s="14">
        <v>0.01</v>
      </c>
    </row>
    <row r="22" spans="1:32" x14ac:dyDescent="0.35">
      <c r="A22" s="31"/>
      <c r="B22" s="11" t="s">
        <v>344</v>
      </c>
      <c r="C22" s="12">
        <v>98</v>
      </c>
      <c r="D22" s="12">
        <v>2</v>
      </c>
      <c r="E22" s="12">
        <v>7</v>
      </c>
      <c r="F22" s="12">
        <v>5</v>
      </c>
      <c r="G22" s="12">
        <v>4</v>
      </c>
      <c r="H22" s="12">
        <v>0</v>
      </c>
      <c r="I22" s="12">
        <v>0</v>
      </c>
      <c r="J22" s="12">
        <v>0</v>
      </c>
      <c r="K22" s="12">
        <v>8</v>
      </c>
      <c r="L22" s="12">
        <v>9</v>
      </c>
      <c r="M22" s="12">
        <v>0</v>
      </c>
      <c r="N22" s="12">
        <v>12</v>
      </c>
      <c r="O22" s="12">
        <v>4</v>
      </c>
      <c r="P22" s="12">
        <v>3</v>
      </c>
      <c r="Q22" s="12">
        <v>1</v>
      </c>
      <c r="R22" s="12">
        <v>3</v>
      </c>
      <c r="S22" s="12">
        <v>3</v>
      </c>
      <c r="T22" s="12">
        <v>6</v>
      </c>
      <c r="U22" s="12">
        <v>2</v>
      </c>
      <c r="V22" s="12">
        <v>1</v>
      </c>
      <c r="W22" s="12">
        <v>1</v>
      </c>
      <c r="X22" s="12">
        <v>2</v>
      </c>
      <c r="Y22" s="12">
        <v>0</v>
      </c>
      <c r="Z22" s="12">
        <v>2</v>
      </c>
      <c r="AA22" s="12">
        <v>11</v>
      </c>
      <c r="AB22" s="12">
        <v>11</v>
      </c>
      <c r="AC22" s="12">
        <v>13</v>
      </c>
      <c r="AD22" s="12">
        <v>0</v>
      </c>
      <c r="AE22" s="12">
        <v>3</v>
      </c>
      <c r="AF22" s="12">
        <v>5</v>
      </c>
    </row>
    <row r="23" spans="1:32" x14ac:dyDescent="0.35">
      <c r="A23" s="31"/>
      <c r="B23" s="13" t="s">
        <v>357</v>
      </c>
      <c r="C23" s="15" t="s">
        <v>333</v>
      </c>
      <c r="D23" s="15" t="s">
        <v>333</v>
      </c>
      <c r="E23" s="14">
        <v>0.01</v>
      </c>
      <c r="F23" s="14">
        <v>0.01</v>
      </c>
      <c r="G23" s="14">
        <v>0.01</v>
      </c>
      <c r="H23" s="15" t="s">
        <v>333</v>
      </c>
      <c r="I23" s="15" t="s">
        <v>333</v>
      </c>
      <c r="J23" s="15" t="s">
        <v>333</v>
      </c>
      <c r="K23" s="14">
        <v>0.01</v>
      </c>
      <c r="L23" s="14">
        <v>0.01</v>
      </c>
      <c r="M23" s="15" t="s">
        <v>333</v>
      </c>
      <c r="N23" s="14">
        <v>0.01</v>
      </c>
      <c r="O23" s="15" t="s">
        <v>333</v>
      </c>
      <c r="P23" s="15" t="s">
        <v>333</v>
      </c>
      <c r="Q23" s="15" t="s">
        <v>333</v>
      </c>
      <c r="R23" s="14">
        <v>0.01</v>
      </c>
      <c r="S23" s="15" t="s">
        <v>333</v>
      </c>
      <c r="T23" s="14">
        <v>0.01</v>
      </c>
      <c r="U23" s="15" t="s">
        <v>333</v>
      </c>
      <c r="V23" s="15" t="s">
        <v>333</v>
      </c>
      <c r="W23" s="15" t="s">
        <v>333</v>
      </c>
      <c r="X23" s="15" t="s">
        <v>333</v>
      </c>
      <c r="Y23" s="15" t="s">
        <v>333</v>
      </c>
      <c r="Z23" s="15" t="s">
        <v>333</v>
      </c>
      <c r="AA23" s="14">
        <v>0.01</v>
      </c>
      <c r="AB23" s="14">
        <v>0.01</v>
      </c>
      <c r="AC23" s="14">
        <v>0.01</v>
      </c>
      <c r="AD23" s="15" t="s">
        <v>333</v>
      </c>
      <c r="AE23" s="15" t="s">
        <v>333</v>
      </c>
      <c r="AF23" s="14">
        <v>0.01</v>
      </c>
    </row>
    <row r="24" spans="1:32" x14ac:dyDescent="0.35">
      <c r="A24" s="31"/>
      <c r="B24" s="11" t="s">
        <v>346</v>
      </c>
      <c r="C24" s="12">
        <v>13619</v>
      </c>
      <c r="D24" s="12">
        <v>514</v>
      </c>
      <c r="E24" s="12">
        <v>521</v>
      </c>
      <c r="F24" s="12">
        <v>364</v>
      </c>
      <c r="G24" s="12">
        <v>697</v>
      </c>
      <c r="H24" s="12">
        <v>752</v>
      </c>
      <c r="I24" s="12">
        <v>858</v>
      </c>
      <c r="J24" s="12">
        <v>105</v>
      </c>
      <c r="K24" s="12">
        <v>501</v>
      </c>
      <c r="L24" s="12">
        <v>700</v>
      </c>
      <c r="M24" s="12">
        <v>367</v>
      </c>
      <c r="N24" s="12">
        <v>465</v>
      </c>
      <c r="O24" s="12">
        <v>435</v>
      </c>
      <c r="P24" s="12">
        <v>536</v>
      </c>
      <c r="Q24" s="12">
        <v>545</v>
      </c>
      <c r="R24" s="12">
        <v>217</v>
      </c>
      <c r="S24" s="12">
        <v>516</v>
      </c>
      <c r="T24" s="12">
        <v>607</v>
      </c>
      <c r="U24" s="12">
        <v>340</v>
      </c>
      <c r="V24" s="12">
        <v>451</v>
      </c>
      <c r="W24" s="12">
        <v>308</v>
      </c>
      <c r="X24" s="12">
        <v>600</v>
      </c>
      <c r="Y24" s="12">
        <v>382</v>
      </c>
      <c r="Z24" s="12">
        <v>585</v>
      </c>
      <c r="AA24" s="12">
        <v>759</v>
      </c>
      <c r="AB24" s="12">
        <v>474</v>
      </c>
      <c r="AC24" s="12">
        <v>458</v>
      </c>
      <c r="AD24" s="12">
        <v>498</v>
      </c>
      <c r="AE24" s="12">
        <v>550</v>
      </c>
      <c r="AF24" s="12">
        <v>739</v>
      </c>
    </row>
    <row r="25" spans="1:32" x14ac:dyDescent="0.35">
      <c r="A25" s="31"/>
      <c r="B25" s="13" t="s">
        <v>346</v>
      </c>
      <c r="C25" s="14">
        <v>0.52</v>
      </c>
      <c r="D25" s="14">
        <v>0.5</v>
      </c>
      <c r="E25" s="14">
        <v>0.5</v>
      </c>
      <c r="F25" s="14">
        <v>0.35</v>
      </c>
      <c r="G25" s="14">
        <v>0.68</v>
      </c>
      <c r="H25" s="14">
        <v>0.61</v>
      </c>
      <c r="I25" s="14">
        <v>0.56000000000000005</v>
      </c>
      <c r="J25" s="14">
        <v>0.35</v>
      </c>
      <c r="K25" s="14">
        <v>0.49</v>
      </c>
      <c r="L25" s="14">
        <v>0.70000000000000007</v>
      </c>
      <c r="M25" s="14">
        <v>0.36</v>
      </c>
      <c r="N25" s="14">
        <v>0.47</v>
      </c>
      <c r="O25" s="14">
        <v>0.44</v>
      </c>
      <c r="P25" s="14">
        <v>0.53</v>
      </c>
      <c r="Q25" s="14">
        <v>0.53</v>
      </c>
      <c r="R25" s="14">
        <v>0.43</v>
      </c>
      <c r="S25" s="14">
        <v>0.5</v>
      </c>
      <c r="T25" s="14">
        <v>0.6</v>
      </c>
      <c r="U25" s="14">
        <v>0.67</v>
      </c>
      <c r="V25" s="14">
        <v>0.45</v>
      </c>
      <c r="W25" s="14">
        <v>0.62</v>
      </c>
      <c r="X25" s="14">
        <v>0.6</v>
      </c>
      <c r="Y25" s="14">
        <v>0.38</v>
      </c>
      <c r="Z25" s="14">
        <v>0.57000000000000006</v>
      </c>
      <c r="AA25" s="14">
        <v>0.74</v>
      </c>
      <c r="AB25" s="14">
        <v>0.45</v>
      </c>
      <c r="AC25" s="14">
        <v>0.46</v>
      </c>
      <c r="AD25" s="14">
        <v>0.5</v>
      </c>
      <c r="AE25" s="14">
        <v>0.55000000000000004</v>
      </c>
      <c r="AF25" s="14">
        <v>0.73</v>
      </c>
    </row>
    <row r="26" spans="1:32" x14ac:dyDescent="0.35">
      <c r="A26" s="31"/>
      <c r="B26" s="11" t="s">
        <v>338</v>
      </c>
      <c r="C26" s="12">
        <v>8389</v>
      </c>
      <c r="D26" s="12">
        <v>320</v>
      </c>
      <c r="E26" s="12">
        <v>293</v>
      </c>
      <c r="F26" s="12">
        <v>378</v>
      </c>
      <c r="G26" s="12">
        <v>240</v>
      </c>
      <c r="H26" s="12">
        <v>352</v>
      </c>
      <c r="I26" s="12">
        <v>479</v>
      </c>
      <c r="J26" s="12">
        <v>127</v>
      </c>
      <c r="K26" s="12">
        <v>332</v>
      </c>
      <c r="L26" s="12">
        <v>205</v>
      </c>
      <c r="M26" s="12">
        <v>346</v>
      </c>
      <c r="N26" s="12">
        <v>362</v>
      </c>
      <c r="O26" s="12">
        <v>311</v>
      </c>
      <c r="P26" s="12">
        <v>337</v>
      </c>
      <c r="Q26" s="12">
        <v>330</v>
      </c>
      <c r="R26" s="12">
        <v>176</v>
      </c>
      <c r="S26" s="12">
        <v>382</v>
      </c>
      <c r="T26" s="12">
        <v>340</v>
      </c>
      <c r="U26" s="12">
        <v>105</v>
      </c>
      <c r="V26" s="12">
        <v>431</v>
      </c>
      <c r="W26" s="12">
        <v>150</v>
      </c>
      <c r="X26" s="12">
        <v>243</v>
      </c>
      <c r="Y26" s="12">
        <v>393</v>
      </c>
      <c r="Z26" s="12">
        <v>338</v>
      </c>
      <c r="AA26" s="12">
        <v>183</v>
      </c>
      <c r="AB26" s="12">
        <v>371</v>
      </c>
      <c r="AC26" s="12">
        <v>388</v>
      </c>
      <c r="AD26" s="12">
        <v>331</v>
      </c>
      <c r="AE26" s="12">
        <v>307</v>
      </c>
      <c r="AF26" s="12">
        <v>197</v>
      </c>
    </row>
    <row r="27" spans="1:32" x14ac:dyDescent="0.35">
      <c r="A27" s="31"/>
      <c r="B27" s="13" t="s">
        <v>339</v>
      </c>
      <c r="C27" s="14">
        <v>0.32</v>
      </c>
      <c r="D27" s="14">
        <v>0.31</v>
      </c>
      <c r="E27" s="14">
        <v>0.28000000000000003</v>
      </c>
      <c r="F27" s="14">
        <v>0.37</v>
      </c>
      <c r="G27" s="14">
        <v>0.24</v>
      </c>
      <c r="H27" s="14">
        <v>0.28000000000000003</v>
      </c>
      <c r="I27" s="14">
        <v>0.31</v>
      </c>
      <c r="J27" s="14">
        <v>0.43</v>
      </c>
      <c r="K27" s="14">
        <v>0.33</v>
      </c>
      <c r="L27" s="14">
        <v>0.2</v>
      </c>
      <c r="M27" s="14">
        <v>0.35</v>
      </c>
      <c r="N27" s="14">
        <v>0.36</v>
      </c>
      <c r="O27" s="14">
        <v>0.31</v>
      </c>
      <c r="P27" s="14">
        <v>0.34</v>
      </c>
      <c r="Q27" s="14">
        <v>0.32</v>
      </c>
      <c r="R27" s="14">
        <v>0.35</v>
      </c>
      <c r="S27" s="14">
        <v>0.38</v>
      </c>
      <c r="T27" s="14">
        <v>0.33</v>
      </c>
      <c r="U27" s="14">
        <v>0.21</v>
      </c>
      <c r="V27" s="14">
        <v>0.42</v>
      </c>
      <c r="W27" s="14">
        <v>0.3</v>
      </c>
      <c r="X27" s="14">
        <v>0.24</v>
      </c>
      <c r="Y27" s="14">
        <v>0.39</v>
      </c>
      <c r="Z27" s="14">
        <v>0.33</v>
      </c>
      <c r="AA27" s="14">
        <v>0.18</v>
      </c>
      <c r="AB27" s="14">
        <v>0.35</v>
      </c>
      <c r="AC27" s="14">
        <v>0.38</v>
      </c>
      <c r="AD27" s="14">
        <v>0.33</v>
      </c>
      <c r="AE27" s="14">
        <v>0.31</v>
      </c>
      <c r="AF27" s="14">
        <v>0.19</v>
      </c>
    </row>
    <row r="28" spans="1:32" x14ac:dyDescent="0.35">
      <c r="A28" s="31"/>
      <c r="B28" s="11" t="s">
        <v>348</v>
      </c>
      <c r="C28" s="12">
        <v>4305</v>
      </c>
      <c r="D28" s="12">
        <v>189</v>
      </c>
      <c r="E28" s="12">
        <v>218</v>
      </c>
      <c r="F28" s="12">
        <v>272</v>
      </c>
      <c r="G28" s="12">
        <v>75</v>
      </c>
      <c r="H28" s="12">
        <v>128</v>
      </c>
      <c r="I28" s="12">
        <v>193</v>
      </c>
      <c r="J28" s="12">
        <v>65</v>
      </c>
      <c r="K28" s="12">
        <v>169</v>
      </c>
      <c r="L28" s="12">
        <v>90</v>
      </c>
      <c r="M28" s="12">
        <v>291</v>
      </c>
      <c r="N28" s="12">
        <v>161</v>
      </c>
      <c r="O28" s="12">
        <v>250</v>
      </c>
      <c r="P28" s="12">
        <v>127</v>
      </c>
      <c r="Q28" s="12">
        <v>160</v>
      </c>
      <c r="R28" s="12">
        <v>106</v>
      </c>
      <c r="S28" s="12">
        <v>121</v>
      </c>
      <c r="T28" s="12">
        <v>63</v>
      </c>
      <c r="U28" s="12">
        <v>62</v>
      </c>
      <c r="V28" s="12">
        <v>131</v>
      </c>
      <c r="W28" s="12">
        <v>42</v>
      </c>
      <c r="X28" s="12">
        <v>166</v>
      </c>
      <c r="Y28" s="12">
        <v>228</v>
      </c>
      <c r="Z28" s="12">
        <v>93</v>
      </c>
      <c r="AA28" s="12">
        <v>77</v>
      </c>
      <c r="AB28" s="12">
        <v>200</v>
      </c>
      <c r="AC28" s="12">
        <v>154</v>
      </c>
      <c r="AD28" s="12">
        <v>175</v>
      </c>
      <c r="AE28" s="12">
        <v>147</v>
      </c>
      <c r="AF28" s="12">
        <v>80</v>
      </c>
    </row>
    <row r="29" spans="1:32" x14ac:dyDescent="0.35">
      <c r="A29" s="31"/>
      <c r="B29" s="13" t="s">
        <v>348</v>
      </c>
      <c r="C29" s="14">
        <v>0.16</v>
      </c>
      <c r="D29" s="14">
        <v>0.19</v>
      </c>
      <c r="E29" s="14">
        <v>0.21</v>
      </c>
      <c r="F29" s="14">
        <v>0.27</v>
      </c>
      <c r="G29" s="14">
        <v>7.0000000000000007E-2</v>
      </c>
      <c r="H29" s="14">
        <v>0.11</v>
      </c>
      <c r="I29" s="14">
        <v>0.13</v>
      </c>
      <c r="J29" s="14">
        <v>0.22</v>
      </c>
      <c r="K29" s="14">
        <v>0.17</v>
      </c>
      <c r="L29" s="14">
        <v>0.09</v>
      </c>
      <c r="M29" s="14">
        <v>0.28999999999999998</v>
      </c>
      <c r="N29" s="14">
        <v>0.16</v>
      </c>
      <c r="O29" s="14">
        <v>0.25</v>
      </c>
      <c r="P29" s="14">
        <v>0.13</v>
      </c>
      <c r="Q29" s="14">
        <v>0.15</v>
      </c>
      <c r="R29" s="14">
        <v>0.21</v>
      </c>
      <c r="S29" s="14">
        <v>0.12</v>
      </c>
      <c r="T29" s="14">
        <v>0.06</v>
      </c>
      <c r="U29" s="14">
        <v>0.12</v>
      </c>
      <c r="V29" s="14">
        <v>0.13</v>
      </c>
      <c r="W29" s="14">
        <v>0.08</v>
      </c>
      <c r="X29" s="14">
        <v>0.16</v>
      </c>
      <c r="Y29" s="14">
        <v>0.23</v>
      </c>
      <c r="Z29" s="14">
        <v>0.1</v>
      </c>
      <c r="AA29" s="14">
        <v>7.0000000000000007E-2</v>
      </c>
      <c r="AB29" s="14">
        <v>0.19</v>
      </c>
      <c r="AC29" s="14">
        <v>0.15</v>
      </c>
      <c r="AD29" s="14">
        <v>0.17</v>
      </c>
      <c r="AE29" s="14">
        <v>0.14000000000000001</v>
      </c>
      <c r="AF29" s="14">
        <v>7.0000000000000007E-2</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17</v>
      </c>
      <c r="C3" s="30"/>
      <c r="D3" s="30"/>
      <c r="E3" s="30"/>
      <c r="F3" s="30"/>
      <c r="H3" s="30" t="s">
        <v>18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358</v>
      </c>
      <c r="C12" s="12">
        <v>4588</v>
      </c>
      <c r="D12" s="12">
        <v>176</v>
      </c>
      <c r="E12" s="12">
        <v>199</v>
      </c>
      <c r="F12" s="12">
        <v>141</v>
      </c>
      <c r="G12" s="12">
        <v>226</v>
      </c>
      <c r="H12" s="12">
        <v>274</v>
      </c>
      <c r="I12" s="12">
        <v>331</v>
      </c>
      <c r="J12" s="12">
        <v>58</v>
      </c>
      <c r="K12" s="12">
        <v>158</v>
      </c>
      <c r="L12" s="12">
        <v>251</v>
      </c>
      <c r="M12" s="12">
        <v>260</v>
      </c>
      <c r="N12" s="12">
        <v>204</v>
      </c>
      <c r="O12" s="12">
        <v>200</v>
      </c>
      <c r="P12" s="12">
        <v>134</v>
      </c>
      <c r="Q12" s="12">
        <v>82</v>
      </c>
      <c r="R12" s="12">
        <v>163</v>
      </c>
      <c r="S12" s="12">
        <v>172</v>
      </c>
      <c r="T12" s="12">
        <v>130</v>
      </c>
      <c r="U12" s="12">
        <v>159</v>
      </c>
      <c r="V12" s="12">
        <v>121</v>
      </c>
      <c r="W12" s="12">
        <v>109</v>
      </c>
      <c r="X12" s="12">
        <v>188</v>
      </c>
      <c r="Y12" s="12">
        <v>213</v>
      </c>
      <c r="Z12" s="12">
        <v>130</v>
      </c>
      <c r="AA12" s="12">
        <v>203</v>
      </c>
      <c r="AB12" s="12">
        <v>135</v>
      </c>
      <c r="AC12" s="12">
        <v>193</v>
      </c>
      <c r="AD12" s="12">
        <v>216</v>
      </c>
      <c r="AE12" s="12">
        <v>113</v>
      </c>
      <c r="AF12" s="12">
        <v>173</v>
      </c>
    </row>
    <row r="13" spans="1:32" x14ac:dyDescent="0.35">
      <c r="A13" s="31"/>
      <c r="B13" s="13" t="s">
        <v>359</v>
      </c>
      <c r="C13" s="14">
        <v>0.17</v>
      </c>
      <c r="D13" s="14">
        <v>0.17</v>
      </c>
      <c r="E13" s="14">
        <v>0.19</v>
      </c>
      <c r="F13" s="14">
        <v>0.14000000000000001</v>
      </c>
      <c r="G13" s="14">
        <v>0.22</v>
      </c>
      <c r="H13" s="14">
        <v>0.22</v>
      </c>
      <c r="I13" s="14">
        <v>0.22</v>
      </c>
      <c r="J13" s="14">
        <v>0.19</v>
      </c>
      <c r="K13" s="14">
        <v>0.16</v>
      </c>
      <c r="L13" s="14">
        <v>0.25</v>
      </c>
      <c r="M13" s="14">
        <v>0.26</v>
      </c>
      <c r="N13" s="14">
        <v>0.2</v>
      </c>
      <c r="O13" s="14">
        <v>0.2</v>
      </c>
      <c r="P13" s="14">
        <v>0.13</v>
      </c>
      <c r="Q13" s="14">
        <v>0.08</v>
      </c>
      <c r="R13" s="14">
        <v>0.33</v>
      </c>
      <c r="S13" s="14">
        <v>0.17</v>
      </c>
      <c r="T13" s="14">
        <v>0.13</v>
      </c>
      <c r="U13" s="14">
        <v>0.31</v>
      </c>
      <c r="V13" s="14">
        <v>0.12</v>
      </c>
      <c r="W13" s="14">
        <v>0.22</v>
      </c>
      <c r="X13" s="14">
        <v>0.18</v>
      </c>
      <c r="Y13" s="14">
        <v>0.21</v>
      </c>
      <c r="Z13" s="14">
        <v>0.13</v>
      </c>
      <c r="AA13" s="14">
        <v>0.2</v>
      </c>
      <c r="AB13" s="14">
        <v>0.13</v>
      </c>
      <c r="AC13" s="14">
        <v>0.19</v>
      </c>
      <c r="AD13" s="14">
        <v>0.21</v>
      </c>
      <c r="AE13" s="14">
        <v>0.11</v>
      </c>
      <c r="AF13" s="14">
        <v>0.17</v>
      </c>
    </row>
    <row r="14" spans="1:32" ht="21.5" x14ac:dyDescent="0.35">
      <c r="A14" s="31"/>
      <c r="B14" s="11" t="s">
        <v>360</v>
      </c>
      <c r="C14" s="12">
        <v>14435</v>
      </c>
      <c r="D14" s="12">
        <v>569</v>
      </c>
      <c r="E14" s="12">
        <v>450</v>
      </c>
      <c r="F14" s="12">
        <v>562</v>
      </c>
      <c r="G14" s="12">
        <v>573</v>
      </c>
      <c r="H14" s="12">
        <v>764</v>
      </c>
      <c r="I14" s="12">
        <v>923</v>
      </c>
      <c r="J14" s="12">
        <v>159</v>
      </c>
      <c r="K14" s="12">
        <v>522</v>
      </c>
      <c r="L14" s="12">
        <v>511</v>
      </c>
      <c r="M14" s="12">
        <v>574</v>
      </c>
      <c r="N14" s="12">
        <v>519</v>
      </c>
      <c r="O14" s="12">
        <v>446</v>
      </c>
      <c r="P14" s="12">
        <v>451</v>
      </c>
      <c r="Q14" s="12">
        <v>565</v>
      </c>
      <c r="R14" s="12">
        <v>267</v>
      </c>
      <c r="S14" s="12">
        <v>447</v>
      </c>
      <c r="T14" s="12">
        <v>553</v>
      </c>
      <c r="U14" s="12">
        <v>271</v>
      </c>
      <c r="V14" s="12">
        <v>620</v>
      </c>
      <c r="W14" s="12">
        <v>323</v>
      </c>
      <c r="X14" s="12">
        <v>564</v>
      </c>
      <c r="Y14" s="12">
        <v>548</v>
      </c>
      <c r="Z14" s="12">
        <v>651</v>
      </c>
      <c r="AA14" s="12">
        <v>585</v>
      </c>
      <c r="AB14" s="12">
        <v>496</v>
      </c>
      <c r="AC14" s="12">
        <v>575</v>
      </c>
      <c r="AD14" s="12">
        <v>658</v>
      </c>
      <c r="AE14" s="12">
        <v>609</v>
      </c>
      <c r="AF14" s="12">
        <v>597</v>
      </c>
    </row>
    <row r="15" spans="1:32" x14ac:dyDescent="0.35">
      <c r="A15" s="31"/>
      <c r="B15" s="13" t="s">
        <v>361</v>
      </c>
      <c r="C15" s="14">
        <v>0.55000000000000004</v>
      </c>
      <c r="D15" s="14">
        <v>0.55000000000000004</v>
      </c>
      <c r="E15" s="14">
        <v>0.43</v>
      </c>
      <c r="F15" s="14">
        <v>0.55000000000000004</v>
      </c>
      <c r="G15" s="14">
        <v>0.57000000000000006</v>
      </c>
      <c r="H15" s="14">
        <v>0.62</v>
      </c>
      <c r="I15" s="14">
        <v>0.6</v>
      </c>
      <c r="J15" s="14">
        <v>0.54</v>
      </c>
      <c r="K15" s="14">
        <v>0.52</v>
      </c>
      <c r="L15" s="14">
        <v>0.51</v>
      </c>
      <c r="M15" s="14">
        <v>0.57000000000000006</v>
      </c>
      <c r="N15" s="14">
        <v>0.52</v>
      </c>
      <c r="O15" s="14">
        <v>0.45</v>
      </c>
      <c r="P15" s="14">
        <v>0.45</v>
      </c>
      <c r="Q15" s="14">
        <v>0.55000000000000004</v>
      </c>
      <c r="R15" s="14">
        <v>0.53</v>
      </c>
      <c r="S15" s="14">
        <v>0.44</v>
      </c>
      <c r="T15" s="14">
        <v>0.54</v>
      </c>
      <c r="U15" s="14">
        <v>0.53</v>
      </c>
      <c r="V15" s="14">
        <v>0.61</v>
      </c>
      <c r="W15" s="14">
        <v>0.64</v>
      </c>
      <c r="X15" s="14">
        <v>0.56000000000000005</v>
      </c>
      <c r="Y15" s="14">
        <v>0.55000000000000004</v>
      </c>
      <c r="Z15" s="14">
        <v>0.64</v>
      </c>
      <c r="AA15" s="14">
        <v>0.57000000000000006</v>
      </c>
      <c r="AB15" s="14">
        <v>0.47</v>
      </c>
      <c r="AC15" s="14">
        <v>0.57000000000000006</v>
      </c>
      <c r="AD15" s="14">
        <v>0.66</v>
      </c>
      <c r="AE15" s="14">
        <v>0.61</v>
      </c>
      <c r="AF15" s="14">
        <v>0.59</v>
      </c>
    </row>
    <row r="16" spans="1:32" x14ac:dyDescent="0.35">
      <c r="A16" s="31"/>
      <c r="B16" s="11" t="s">
        <v>362</v>
      </c>
      <c r="C16" s="12">
        <v>5337</v>
      </c>
      <c r="D16" s="12">
        <v>234</v>
      </c>
      <c r="E16" s="12">
        <v>218</v>
      </c>
      <c r="F16" s="12">
        <v>239</v>
      </c>
      <c r="G16" s="12">
        <v>143</v>
      </c>
      <c r="H16" s="12">
        <v>141</v>
      </c>
      <c r="I16" s="12">
        <v>197</v>
      </c>
      <c r="J16" s="12">
        <v>56</v>
      </c>
      <c r="K16" s="12">
        <v>247</v>
      </c>
      <c r="L16" s="12">
        <v>170</v>
      </c>
      <c r="M16" s="12">
        <v>122</v>
      </c>
      <c r="N16" s="12">
        <v>176</v>
      </c>
      <c r="O16" s="12">
        <v>245</v>
      </c>
      <c r="P16" s="12">
        <v>252</v>
      </c>
      <c r="Q16" s="12">
        <v>295</v>
      </c>
      <c r="R16" s="12">
        <v>50</v>
      </c>
      <c r="S16" s="12">
        <v>296</v>
      </c>
      <c r="T16" s="12">
        <v>191</v>
      </c>
      <c r="U16" s="12">
        <v>62</v>
      </c>
      <c r="V16" s="12">
        <v>211</v>
      </c>
      <c r="W16" s="12">
        <v>54</v>
      </c>
      <c r="X16" s="12">
        <v>220</v>
      </c>
      <c r="Y16" s="12">
        <v>181</v>
      </c>
      <c r="Z16" s="12">
        <v>203</v>
      </c>
      <c r="AA16" s="12">
        <v>164</v>
      </c>
      <c r="AB16" s="12">
        <v>271</v>
      </c>
      <c r="AC16" s="12">
        <v>179</v>
      </c>
      <c r="AD16" s="12">
        <v>108</v>
      </c>
      <c r="AE16" s="12">
        <v>226</v>
      </c>
      <c r="AF16" s="12">
        <v>198</v>
      </c>
    </row>
    <row r="17" spans="1:32" x14ac:dyDescent="0.35">
      <c r="A17" s="31"/>
      <c r="B17" s="13" t="s">
        <v>363</v>
      </c>
      <c r="C17" s="14">
        <v>0.2</v>
      </c>
      <c r="D17" s="14">
        <v>0.23</v>
      </c>
      <c r="E17" s="14">
        <v>0.21</v>
      </c>
      <c r="F17" s="14">
        <v>0.24</v>
      </c>
      <c r="G17" s="14">
        <v>0.14000000000000001</v>
      </c>
      <c r="H17" s="14">
        <v>0.12</v>
      </c>
      <c r="I17" s="14">
        <v>0.13</v>
      </c>
      <c r="J17" s="14">
        <v>0.19</v>
      </c>
      <c r="K17" s="14">
        <v>0.24</v>
      </c>
      <c r="L17" s="14">
        <v>0.17</v>
      </c>
      <c r="M17" s="14">
        <v>0.12</v>
      </c>
      <c r="N17" s="14">
        <v>0.18</v>
      </c>
      <c r="O17" s="14">
        <v>0.24</v>
      </c>
      <c r="P17" s="14">
        <v>0.25</v>
      </c>
      <c r="Q17" s="14">
        <v>0.28000000000000003</v>
      </c>
      <c r="R17" s="14">
        <v>0.1</v>
      </c>
      <c r="S17" s="14">
        <v>0.28999999999999998</v>
      </c>
      <c r="T17" s="14">
        <v>0.19</v>
      </c>
      <c r="U17" s="14">
        <v>0.12</v>
      </c>
      <c r="V17" s="14">
        <v>0.21</v>
      </c>
      <c r="W17" s="14">
        <v>0.11</v>
      </c>
      <c r="X17" s="14">
        <v>0.22</v>
      </c>
      <c r="Y17" s="14">
        <v>0.18</v>
      </c>
      <c r="Z17" s="14">
        <v>0.2</v>
      </c>
      <c r="AA17" s="14">
        <v>0.16</v>
      </c>
      <c r="AB17" s="14">
        <v>0.25</v>
      </c>
      <c r="AC17" s="14">
        <v>0.18</v>
      </c>
      <c r="AD17" s="14">
        <v>0.11</v>
      </c>
      <c r="AE17" s="14">
        <v>0.22</v>
      </c>
      <c r="AF17" s="14">
        <v>0.19</v>
      </c>
    </row>
    <row r="18" spans="1:32" x14ac:dyDescent="0.35">
      <c r="A18" s="31"/>
      <c r="B18" s="11" t="s">
        <v>364</v>
      </c>
      <c r="C18" s="12">
        <v>1651</v>
      </c>
      <c r="D18" s="12">
        <v>38</v>
      </c>
      <c r="E18" s="12">
        <v>136</v>
      </c>
      <c r="F18" s="12">
        <v>64</v>
      </c>
      <c r="G18" s="12">
        <v>42</v>
      </c>
      <c r="H18" s="12">
        <v>43</v>
      </c>
      <c r="I18" s="12">
        <v>67</v>
      </c>
      <c r="J18" s="12">
        <v>24</v>
      </c>
      <c r="K18" s="12">
        <v>69</v>
      </c>
      <c r="L18" s="12">
        <v>58</v>
      </c>
      <c r="M18" s="12">
        <v>45</v>
      </c>
      <c r="N18" s="12">
        <v>70</v>
      </c>
      <c r="O18" s="12">
        <v>89</v>
      </c>
      <c r="P18" s="12">
        <v>163</v>
      </c>
      <c r="Q18" s="12">
        <v>82</v>
      </c>
      <c r="R18" s="12">
        <v>16</v>
      </c>
      <c r="S18" s="12">
        <v>93</v>
      </c>
      <c r="T18" s="12">
        <v>125</v>
      </c>
      <c r="U18" s="12">
        <v>15</v>
      </c>
      <c r="V18" s="12">
        <v>61</v>
      </c>
      <c r="W18" s="12">
        <v>11</v>
      </c>
      <c r="X18" s="12">
        <v>30</v>
      </c>
      <c r="Y18" s="12">
        <v>50</v>
      </c>
      <c r="Z18" s="12">
        <v>19</v>
      </c>
      <c r="AA18" s="12">
        <v>41</v>
      </c>
      <c r="AB18" s="12">
        <v>135</v>
      </c>
      <c r="AC18" s="12">
        <v>60</v>
      </c>
      <c r="AD18" s="12">
        <v>19</v>
      </c>
      <c r="AE18" s="12">
        <v>54</v>
      </c>
      <c r="AF18" s="12">
        <v>40</v>
      </c>
    </row>
    <row r="19" spans="1:32" x14ac:dyDescent="0.35">
      <c r="A19" s="31"/>
      <c r="B19" s="13" t="s">
        <v>365</v>
      </c>
      <c r="C19" s="14">
        <v>0.06</v>
      </c>
      <c r="D19" s="14">
        <v>0.04</v>
      </c>
      <c r="E19" s="14">
        <v>0.13</v>
      </c>
      <c r="F19" s="14">
        <v>0.06</v>
      </c>
      <c r="G19" s="14">
        <v>0.04</v>
      </c>
      <c r="H19" s="14">
        <v>0.03</v>
      </c>
      <c r="I19" s="14">
        <v>0.04</v>
      </c>
      <c r="J19" s="14">
        <v>0.08</v>
      </c>
      <c r="K19" s="14">
        <v>7.0000000000000007E-2</v>
      </c>
      <c r="L19" s="14">
        <v>0.06</v>
      </c>
      <c r="M19" s="14">
        <v>0.05</v>
      </c>
      <c r="N19" s="14">
        <v>7.0000000000000007E-2</v>
      </c>
      <c r="O19" s="14">
        <v>0.09</v>
      </c>
      <c r="P19" s="14">
        <v>0.16</v>
      </c>
      <c r="Q19" s="14">
        <v>0.08</v>
      </c>
      <c r="R19" s="14">
        <v>0.03</v>
      </c>
      <c r="S19" s="14">
        <v>0.09</v>
      </c>
      <c r="T19" s="14">
        <v>0.12</v>
      </c>
      <c r="U19" s="14">
        <v>0.03</v>
      </c>
      <c r="V19" s="14">
        <v>0.06</v>
      </c>
      <c r="W19" s="14">
        <v>0.02</v>
      </c>
      <c r="X19" s="14">
        <v>0.03</v>
      </c>
      <c r="Y19" s="14">
        <v>0.05</v>
      </c>
      <c r="Z19" s="14">
        <v>0.02</v>
      </c>
      <c r="AA19" s="14">
        <v>0.04</v>
      </c>
      <c r="AB19" s="14">
        <v>0.13</v>
      </c>
      <c r="AC19" s="14">
        <v>0.06</v>
      </c>
      <c r="AD19" s="14">
        <v>0.02</v>
      </c>
      <c r="AE19" s="14">
        <v>0.05</v>
      </c>
      <c r="AF19" s="14">
        <v>0.04</v>
      </c>
    </row>
    <row r="20" spans="1:32" x14ac:dyDescent="0.35">
      <c r="A20" s="31"/>
      <c r="B20" s="11" t="s">
        <v>344</v>
      </c>
      <c r="C20" s="12">
        <v>399</v>
      </c>
      <c r="D20" s="12">
        <v>7</v>
      </c>
      <c r="E20" s="12">
        <v>37</v>
      </c>
      <c r="F20" s="12">
        <v>12</v>
      </c>
      <c r="G20" s="12">
        <v>33</v>
      </c>
      <c r="H20" s="12">
        <v>10</v>
      </c>
      <c r="I20" s="12">
        <v>11</v>
      </c>
      <c r="J20" s="12">
        <v>1</v>
      </c>
      <c r="K20" s="12">
        <v>13</v>
      </c>
      <c r="L20" s="12">
        <v>14</v>
      </c>
      <c r="M20" s="12">
        <v>3</v>
      </c>
      <c r="N20" s="12">
        <v>31</v>
      </c>
      <c r="O20" s="12">
        <v>21</v>
      </c>
      <c r="P20" s="12">
        <v>4</v>
      </c>
      <c r="Q20" s="12">
        <v>12</v>
      </c>
      <c r="R20" s="12">
        <v>5</v>
      </c>
      <c r="S20" s="12">
        <v>12</v>
      </c>
      <c r="T20" s="12">
        <v>18</v>
      </c>
      <c r="U20" s="12">
        <v>2</v>
      </c>
      <c r="V20" s="12">
        <v>2</v>
      </c>
      <c r="W20" s="12">
        <v>3</v>
      </c>
      <c r="X20" s="12">
        <v>7</v>
      </c>
      <c r="Y20" s="12">
        <v>12</v>
      </c>
      <c r="Z20" s="12">
        <v>16</v>
      </c>
      <c r="AA20" s="12">
        <v>37</v>
      </c>
      <c r="AB20" s="12">
        <v>19</v>
      </c>
      <c r="AC20" s="12">
        <v>7</v>
      </c>
      <c r="AD20" s="12">
        <v>3</v>
      </c>
      <c r="AE20" s="12">
        <v>5</v>
      </c>
      <c r="AF20" s="12">
        <v>12</v>
      </c>
    </row>
    <row r="21" spans="1:32" x14ac:dyDescent="0.35">
      <c r="A21" s="31"/>
      <c r="B21" s="13" t="s">
        <v>345</v>
      </c>
      <c r="C21" s="14">
        <v>0.02</v>
      </c>
      <c r="D21" s="14">
        <v>0.01</v>
      </c>
      <c r="E21" s="14">
        <v>0.04</v>
      </c>
      <c r="F21" s="14">
        <v>0.01</v>
      </c>
      <c r="G21" s="14">
        <v>0.03</v>
      </c>
      <c r="H21" s="14">
        <v>0.01</v>
      </c>
      <c r="I21" s="14">
        <v>0.01</v>
      </c>
      <c r="J21" s="15" t="s">
        <v>333</v>
      </c>
      <c r="K21" s="14">
        <v>0.01</v>
      </c>
      <c r="L21" s="14">
        <v>0.01</v>
      </c>
      <c r="M21" s="15" t="s">
        <v>333</v>
      </c>
      <c r="N21" s="14">
        <v>0.03</v>
      </c>
      <c r="O21" s="14">
        <v>0.02</v>
      </c>
      <c r="P21" s="14">
        <v>0.01</v>
      </c>
      <c r="Q21" s="14">
        <v>0.01</v>
      </c>
      <c r="R21" s="14">
        <v>0.01</v>
      </c>
      <c r="S21" s="14">
        <v>0.01</v>
      </c>
      <c r="T21" s="14">
        <v>0.02</v>
      </c>
      <c r="U21" s="14">
        <v>0.01</v>
      </c>
      <c r="V21" s="15" t="s">
        <v>333</v>
      </c>
      <c r="W21" s="14">
        <v>0.01</v>
      </c>
      <c r="X21" s="14">
        <v>0.01</v>
      </c>
      <c r="Y21" s="14">
        <v>0.01</v>
      </c>
      <c r="Z21" s="14">
        <v>0.01</v>
      </c>
      <c r="AA21" s="14">
        <v>0.03</v>
      </c>
      <c r="AB21" s="14">
        <v>0.02</v>
      </c>
      <c r="AC21" s="15" t="s">
        <v>333</v>
      </c>
      <c r="AD21" s="15" t="s">
        <v>333</v>
      </c>
      <c r="AE21" s="14">
        <v>0.01</v>
      </c>
      <c r="AF21" s="14">
        <v>0.01</v>
      </c>
    </row>
    <row r="22" spans="1:32" x14ac:dyDescent="0.35">
      <c r="A22" s="31"/>
      <c r="B22" s="11" t="s">
        <v>366</v>
      </c>
      <c r="C22" s="12">
        <v>19023</v>
      </c>
      <c r="D22" s="12">
        <v>745</v>
      </c>
      <c r="E22" s="12">
        <v>649</v>
      </c>
      <c r="F22" s="12">
        <v>703</v>
      </c>
      <c r="G22" s="12">
        <v>799</v>
      </c>
      <c r="H22" s="12">
        <v>1038</v>
      </c>
      <c r="I22" s="12">
        <v>1254</v>
      </c>
      <c r="J22" s="12">
        <v>217</v>
      </c>
      <c r="K22" s="12">
        <v>680</v>
      </c>
      <c r="L22" s="12">
        <v>762</v>
      </c>
      <c r="M22" s="12">
        <v>834</v>
      </c>
      <c r="N22" s="12">
        <v>723</v>
      </c>
      <c r="O22" s="12">
        <v>646</v>
      </c>
      <c r="P22" s="12">
        <v>585</v>
      </c>
      <c r="Q22" s="12">
        <v>647</v>
      </c>
      <c r="R22" s="12">
        <v>430</v>
      </c>
      <c r="S22" s="12">
        <v>619</v>
      </c>
      <c r="T22" s="12">
        <v>683</v>
      </c>
      <c r="U22" s="12">
        <v>430</v>
      </c>
      <c r="V22" s="12">
        <v>741</v>
      </c>
      <c r="W22" s="12">
        <v>432</v>
      </c>
      <c r="X22" s="12">
        <v>752</v>
      </c>
      <c r="Y22" s="12">
        <v>761</v>
      </c>
      <c r="Z22" s="12">
        <v>781</v>
      </c>
      <c r="AA22" s="12">
        <v>788</v>
      </c>
      <c r="AB22" s="12">
        <v>631</v>
      </c>
      <c r="AC22" s="12">
        <v>768</v>
      </c>
      <c r="AD22" s="12">
        <v>874</v>
      </c>
      <c r="AE22" s="12">
        <v>722</v>
      </c>
      <c r="AF22" s="12">
        <v>770</v>
      </c>
    </row>
    <row r="23" spans="1:32" x14ac:dyDescent="0.35">
      <c r="A23" s="31"/>
      <c r="B23" s="13" t="s">
        <v>367</v>
      </c>
      <c r="C23" s="14">
        <v>0.72</v>
      </c>
      <c r="D23" s="14">
        <v>0.72</v>
      </c>
      <c r="E23" s="14">
        <v>0.62</v>
      </c>
      <c r="F23" s="14">
        <v>0.69000000000000006</v>
      </c>
      <c r="G23" s="14">
        <v>0.79</v>
      </c>
      <c r="H23" s="14">
        <v>0.84</v>
      </c>
      <c r="I23" s="14">
        <v>0.82000000000000006</v>
      </c>
      <c r="J23" s="14">
        <v>0.73</v>
      </c>
      <c r="K23" s="14">
        <v>0.68</v>
      </c>
      <c r="L23" s="14">
        <v>0.76</v>
      </c>
      <c r="M23" s="14">
        <v>0.83000000000000007</v>
      </c>
      <c r="N23" s="14">
        <v>0.72</v>
      </c>
      <c r="O23" s="14">
        <v>0.65</v>
      </c>
      <c r="P23" s="14">
        <v>0.57999999999999996</v>
      </c>
      <c r="Q23" s="14">
        <v>0.63</v>
      </c>
      <c r="R23" s="14">
        <v>0.86</v>
      </c>
      <c r="S23" s="14">
        <v>0.61</v>
      </c>
      <c r="T23" s="14">
        <v>0.67</v>
      </c>
      <c r="U23" s="14">
        <v>0.84</v>
      </c>
      <c r="V23" s="14">
        <v>0.73</v>
      </c>
      <c r="W23" s="14">
        <v>0.86</v>
      </c>
      <c r="X23" s="14">
        <v>0.74</v>
      </c>
      <c r="Y23" s="14">
        <v>0.76</v>
      </c>
      <c r="Z23" s="14">
        <v>0.77</v>
      </c>
      <c r="AA23" s="14">
        <v>0.77</v>
      </c>
      <c r="AB23" s="14">
        <v>0.6</v>
      </c>
      <c r="AC23" s="14">
        <v>0.76</v>
      </c>
      <c r="AD23" s="14">
        <v>0.87</v>
      </c>
      <c r="AE23" s="14">
        <v>0.72</v>
      </c>
      <c r="AF23" s="14">
        <v>0.76</v>
      </c>
    </row>
    <row r="24" spans="1:32" x14ac:dyDescent="0.35">
      <c r="A24" s="31"/>
      <c r="B24" s="11" t="s">
        <v>368</v>
      </c>
      <c r="C24" s="12">
        <v>6988</v>
      </c>
      <c r="D24" s="12">
        <v>272</v>
      </c>
      <c r="E24" s="12">
        <v>354</v>
      </c>
      <c r="F24" s="12">
        <v>303</v>
      </c>
      <c r="G24" s="12">
        <v>185</v>
      </c>
      <c r="H24" s="12">
        <v>184</v>
      </c>
      <c r="I24" s="12">
        <v>264</v>
      </c>
      <c r="J24" s="12">
        <v>80</v>
      </c>
      <c r="K24" s="12">
        <v>316</v>
      </c>
      <c r="L24" s="12">
        <v>228</v>
      </c>
      <c r="M24" s="12">
        <v>167</v>
      </c>
      <c r="N24" s="12">
        <v>246</v>
      </c>
      <c r="O24" s="12">
        <v>334</v>
      </c>
      <c r="P24" s="12">
        <v>415</v>
      </c>
      <c r="Q24" s="12">
        <v>377</v>
      </c>
      <c r="R24" s="12">
        <v>66</v>
      </c>
      <c r="S24" s="12">
        <v>389</v>
      </c>
      <c r="T24" s="12">
        <v>316</v>
      </c>
      <c r="U24" s="12">
        <v>77</v>
      </c>
      <c r="V24" s="12">
        <v>272</v>
      </c>
      <c r="W24" s="12">
        <v>65</v>
      </c>
      <c r="X24" s="12">
        <v>250</v>
      </c>
      <c r="Y24" s="12">
        <v>231</v>
      </c>
      <c r="Z24" s="12">
        <v>222</v>
      </c>
      <c r="AA24" s="12">
        <v>205</v>
      </c>
      <c r="AB24" s="12">
        <v>406</v>
      </c>
      <c r="AC24" s="12">
        <v>239</v>
      </c>
      <c r="AD24" s="12">
        <v>127</v>
      </c>
      <c r="AE24" s="12">
        <v>280</v>
      </c>
      <c r="AF24" s="12">
        <v>238</v>
      </c>
    </row>
    <row r="25" spans="1:32" x14ac:dyDescent="0.35">
      <c r="A25" s="31"/>
      <c r="B25" s="13" t="s">
        <v>369</v>
      </c>
      <c r="C25" s="14">
        <v>0.26</v>
      </c>
      <c r="D25" s="14">
        <v>0.27</v>
      </c>
      <c r="E25" s="14">
        <v>0.34</v>
      </c>
      <c r="F25" s="14">
        <v>0.3</v>
      </c>
      <c r="G25" s="14">
        <v>0.18</v>
      </c>
      <c r="H25" s="14">
        <v>0.15</v>
      </c>
      <c r="I25" s="14">
        <v>0.17</v>
      </c>
      <c r="J25" s="14">
        <v>0.27</v>
      </c>
      <c r="K25" s="14">
        <v>0.31</v>
      </c>
      <c r="L25" s="14">
        <v>0.23</v>
      </c>
      <c r="M25" s="14">
        <v>0.17</v>
      </c>
      <c r="N25" s="14">
        <v>0.25</v>
      </c>
      <c r="O25" s="14">
        <v>0.33</v>
      </c>
      <c r="P25" s="14">
        <v>0.41</v>
      </c>
      <c r="Q25" s="14">
        <v>0.36</v>
      </c>
      <c r="R25" s="14">
        <v>0.13</v>
      </c>
      <c r="S25" s="14">
        <v>0.38</v>
      </c>
      <c r="T25" s="14">
        <v>0.31</v>
      </c>
      <c r="U25" s="14">
        <v>0.15</v>
      </c>
      <c r="V25" s="14">
        <v>0.27</v>
      </c>
      <c r="W25" s="14">
        <v>0.13</v>
      </c>
      <c r="X25" s="14">
        <v>0.25</v>
      </c>
      <c r="Y25" s="14">
        <v>0.23</v>
      </c>
      <c r="Z25" s="14">
        <v>0.22</v>
      </c>
      <c r="AA25" s="14">
        <v>0.2</v>
      </c>
      <c r="AB25" s="14">
        <v>0.38</v>
      </c>
      <c r="AC25" s="14">
        <v>0.24</v>
      </c>
      <c r="AD25" s="14">
        <v>0.13</v>
      </c>
      <c r="AE25" s="14">
        <v>0.27</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9"/>
  <sheetViews>
    <sheetView workbookViewId="0">
      <pane xSplit="3" ySplit="9" topLeftCell="D17" activePane="bottomRight" state="frozen"/>
      <selection pane="topRight"/>
      <selection pane="bottomLeft"/>
      <selection pane="bottomRight" activeCell="B26" sqref="B26:B27"/>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19</v>
      </c>
      <c r="C3" s="30"/>
      <c r="D3" s="30"/>
      <c r="E3" s="30"/>
      <c r="F3" s="30"/>
      <c r="H3" s="30" t="s">
        <v>20</v>
      </c>
      <c r="I3" s="30"/>
      <c r="J3" s="30"/>
      <c r="K3" s="30"/>
      <c r="L3" s="30"/>
    </row>
    <row r="4" spans="1:32" ht="27" customHeight="1" x14ac:dyDescent="0.35">
      <c r="B4" s="30"/>
      <c r="C4" s="30"/>
      <c r="D4" s="30"/>
      <c r="E4" s="30"/>
      <c r="F4" s="30"/>
      <c r="H4" s="30"/>
      <c r="I4" s="30"/>
      <c r="J4" s="30"/>
      <c r="K4" s="30"/>
      <c r="L4" s="30"/>
    </row>
    <row r="5" spans="1:32" ht="12" customHeight="1" x14ac:dyDescent="0.35">
      <c r="B5" s="30" t="s">
        <v>370</v>
      </c>
      <c r="C5" s="30"/>
      <c r="D5" s="30"/>
      <c r="E5" s="30"/>
      <c r="F5" s="30"/>
      <c r="H5" s="30" t="s">
        <v>371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19023</v>
      </c>
      <c r="D10" s="10">
        <v>746</v>
      </c>
      <c r="E10" s="10">
        <v>649</v>
      </c>
      <c r="F10" s="10">
        <v>703</v>
      </c>
      <c r="G10" s="10">
        <v>799</v>
      </c>
      <c r="H10" s="10">
        <v>1038</v>
      </c>
      <c r="I10" s="10">
        <v>1255</v>
      </c>
      <c r="J10" s="10">
        <v>217</v>
      </c>
      <c r="K10" s="10">
        <v>680</v>
      </c>
      <c r="L10" s="10">
        <v>762</v>
      </c>
      <c r="M10" s="10">
        <v>833</v>
      </c>
      <c r="N10" s="10">
        <v>724</v>
      </c>
      <c r="O10" s="10">
        <v>646</v>
      </c>
      <c r="P10" s="10">
        <v>585</v>
      </c>
      <c r="Q10" s="10">
        <v>646</v>
      </c>
      <c r="R10" s="10">
        <v>430</v>
      </c>
      <c r="S10" s="10">
        <v>620</v>
      </c>
      <c r="T10" s="10">
        <v>683</v>
      </c>
      <c r="U10" s="10">
        <v>430</v>
      </c>
      <c r="V10" s="10">
        <v>741</v>
      </c>
      <c r="W10" s="10">
        <v>433</v>
      </c>
      <c r="X10" s="10">
        <v>753</v>
      </c>
      <c r="Y10" s="10">
        <v>761</v>
      </c>
      <c r="Z10" s="10">
        <v>782</v>
      </c>
      <c r="AA10" s="10">
        <v>788</v>
      </c>
      <c r="AB10" s="10">
        <v>631</v>
      </c>
      <c r="AC10" s="10">
        <v>767</v>
      </c>
      <c r="AD10" s="10">
        <v>874</v>
      </c>
      <c r="AE10" s="10">
        <v>722</v>
      </c>
      <c r="AF10" s="10">
        <v>770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372</v>
      </c>
      <c r="C12" s="12">
        <v>1111</v>
      </c>
      <c r="D12" s="12">
        <v>39</v>
      </c>
      <c r="E12" s="12">
        <v>69</v>
      </c>
      <c r="F12" s="12">
        <v>25</v>
      </c>
      <c r="G12" s="12">
        <v>79</v>
      </c>
      <c r="H12" s="12">
        <v>80</v>
      </c>
      <c r="I12" s="12">
        <v>85</v>
      </c>
      <c r="J12" s="12">
        <v>5</v>
      </c>
      <c r="K12" s="12">
        <v>17</v>
      </c>
      <c r="L12" s="12">
        <v>154</v>
      </c>
      <c r="M12" s="12">
        <v>27</v>
      </c>
      <c r="N12" s="12">
        <v>21</v>
      </c>
      <c r="O12" s="12">
        <v>15</v>
      </c>
      <c r="P12" s="12">
        <v>73</v>
      </c>
      <c r="Q12" s="12">
        <v>28</v>
      </c>
      <c r="R12" s="12">
        <v>13</v>
      </c>
      <c r="S12" s="12">
        <v>33</v>
      </c>
      <c r="T12" s="12">
        <v>67</v>
      </c>
      <c r="U12" s="12">
        <v>35</v>
      </c>
      <c r="V12" s="12">
        <v>24</v>
      </c>
      <c r="W12" s="12">
        <v>55</v>
      </c>
      <c r="X12" s="12">
        <v>49</v>
      </c>
      <c r="Y12" s="12">
        <v>88</v>
      </c>
      <c r="Z12" s="12">
        <v>79</v>
      </c>
      <c r="AA12" s="12">
        <v>55</v>
      </c>
      <c r="AB12" s="12">
        <v>39</v>
      </c>
      <c r="AC12" s="12">
        <v>26</v>
      </c>
      <c r="AD12" s="12">
        <v>83</v>
      </c>
      <c r="AE12" s="12">
        <v>45</v>
      </c>
      <c r="AF12" s="12">
        <v>35</v>
      </c>
    </row>
    <row r="13" spans="1:32" x14ac:dyDescent="0.35">
      <c r="A13" s="31"/>
      <c r="B13" s="13" t="s">
        <v>335</v>
      </c>
      <c r="C13" s="14">
        <v>0.06</v>
      </c>
      <c r="D13" s="14">
        <v>0.05</v>
      </c>
      <c r="E13" s="14">
        <v>0.11</v>
      </c>
      <c r="F13" s="14">
        <v>0.04</v>
      </c>
      <c r="G13" s="14">
        <v>0.1</v>
      </c>
      <c r="H13" s="14">
        <v>0.08</v>
      </c>
      <c r="I13" s="14">
        <v>7.0000000000000007E-2</v>
      </c>
      <c r="J13" s="14">
        <v>0.02</v>
      </c>
      <c r="K13" s="14">
        <v>0.03</v>
      </c>
      <c r="L13" s="14">
        <v>0.2</v>
      </c>
      <c r="M13" s="14">
        <v>0.03</v>
      </c>
      <c r="N13" s="14">
        <v>0.03</v>
      </c>
      <c r="O13" s="14">
        <v>0.03</v>
      </c>
      <c r="P13" s="14">
        <v>0.13</v>
      </c>
      <c r="Q13" s="14">
        <v>0.04</v>
      </c>
      <c r="R13" s="14">
        <v>0.03</v>
      </c>
      <c r="S13" s="14">
        <v>0.05</v>
      </c>
      <c r="T13" s="14">
        <v>0.1</v>
      </c>
      <c r="U13" s="14">
        <v>0.08</v>
      </c>
      <c r="V13" s="14">
        <v>0.03</v>
      </c>
      <c r="W13" s="14">
        <v>0.13</v>
      </c>
      <c r="X13" s="14">
        <v>7.0000000000000007E-2</v>
      </c>
      <c r="Y13" s="14">
        <v>0.12</v>
      </c>
      <c r="Z13" s="14">
        <v>0.1</v>
      </c>
      <c r="AA13" s="14">
        <v>7.0000000000000007E-2</v>
      </c>
      <c r="AB13" s="14">
        <v>0.06</v>
      </c>
      <c r="AC13" s="14">
        <v>0.03</v>
      </c>
      <c r="AD13" s="14">
        <v>0.1</v>
      </c>
      <c r="AE13" s="14">
        <v>0.06</v>
      </c>
      <c r="AF13" s="14">
        <v>0.05</v>
      </c>
    </row>
    <row r="14" spans="1:32" x14ac:dyDescent="0.35">
      <c r="A14" s="31"/>
      <c r="B14" s="11" t="s">
        <v>373</v>
      </c>
      <c r="C14" s="12">
        <v>8474</v>
      </c>
      <c r="D14" s="12">
        <v>295</v>
      </c>
      <c r="E14" s="12">
        <v>258</v>
      </c>
      <c r="F14" s="12">
        <v>189</v>
      </c>
      <c r="G14" s="12">
        <v>403</v>
      </c>
      <c r="H14" s="12">
        <v>521</v>
      </c>
      <c r="I14" s="12">
        <v>586</v>
      </c>
      <c r="J14" s="12">
        <v>65</v>
      </c>
      <c r="K14" s="12">
        <v>258</v>
      </c>
      <c r="L14" s="12">
        <v>383</v>
      </c>
      <c r="M14" s="12">
        <v>253</v>
      </c>
      <c r="N14" s="12">
        <v>296</v>
      </c>
      <c r="O14" s="12">
        <v>196</v>
      </c>
      <c r="P14" s="12">
        <v>283</v>
      </c>
      <c r="Q14" s="12">
        <v>355</v>
      </c>
      <c r="R14" s="12">
        <v>144</v>
      </c>
      <c r="S14" s="12">
        <v>279</v>
      </c>
      <c r="T14" s="12">
        <v>386</v>
      </c>
      <c r="U14" s="12">
        <v>215</v>
      </c>
      <c r="V14" s="12">
        <v>308</v>
      </c>
      <c r="W14" s="12">
        <v>161</v>
      </c>
      <c r="X14" s="12">
        <v>338</v>
      </c>
      <c r="Y14" s="12">
        <v>230</v>
      </c>
      <c r="Z14" s="12">
        <v>484</v>
      </c>
      <c r="AA14" s="12">
        <v>513</v>
      </c>
      <c r="AB14" s="12">
        <v>277</v>
      </c>
      <c r="AC14" s="12">
        <v>299</v>
      </c>
      <c r="AD14" s="12">
        <v>354</v>
      </c>
      <c r="AE14" s="12">
        <v>259</v>
      </c>
      <c r="AF14" s="12">
        <v>322</v>
      </c>
    </row>
    <row r="15" spans="1:32" x14ac:dyDescent="0.35">
      <c r="A15" s="31"/>
      <c r="B15" s="13" t="s">
        <v>337</v>
      </c>
      <c r="C15" s="14">
        <v>0.44</v>
      </c>
      <c r="D15" s="14">
        <v>0.4</v>
      </c>
      <c r="E15" s="14">
        <v>0.4</v>
      </c>
      <c r="F15" s="14">
        <v>0.27</v>
      </c>
      <c r="G15" s="14">
        <v>0.5</v>
      </c>
      <c r="H15" s="14">
        <v>0.5</v>
      </c>
      <c r="I15" s="14">
        <v>0.47</v>
      </c>
      <c r="J15" s="14">
        <v>0.3</v>
      </c>
      <c r="K15" s="14">
        <v>0.38</v>
      </c>
      <c r="L15" s="14">
        <v>0.5</v>
      </c>
      <c r="M15" s="14">
        <v>0.31</v>
      </c>
      <c r="N15" s="14">
        <v>0.41</v>
      </c>
      <c r="O15" s="14">
        <v>0.3</v>
      </c>
      <c r="P15" s="14">
        <v>0.48</v>
      </c>
      <c r="Q15" s="14">
        <v>0.55000000000000004</v>
      </c>
      <c r="R15" s="14">
        <v>0.33</v>
      </c>
      <c r="S15" s="14">
        <v>0.45</v>
      </c>
      <c r="T15" s="14">
        <v>0.56000000000000005</v>
      </c>
      <c r="U15" s="14">
        <v>0.5</v>
      </c>
      <c r="V15" s="14">
        <v>0.42</v>
      </c>
      <c r="W15" s="14">
        <v>0.37</v>
      </c>
      <c r="X15" s="14">
        <v>0.45</v>
      </c>
      <c r="Y15" s="14">
        <v>0.3</v>
      </c>
      <c r="Z15" s="14">
        <v>0.62</v>
      </c>
      <c r="AA15" s="14">
        <v>0.65</v>
      </c>
      <c r="AB15" s="14">
        <v>0.44</v>
      </c>
      <c r="AC15" s="14">
        <v>0.39</v>
      </c>
      <c r="AD15" s="14">
        <v>0.41</v>
      </c>
      <c r="AE15" s="14">
        <v>0.36</v>
      </c>
      <c r="AF15" s="14">
        <v>0.42</v>
      </c>
    </row>
    <row r="16" spans="1:32" ht="21.5" x14ac:dyDescent="0.35">
      <c r="A16" s="31"/>
      <c r="B16" s="11" t="s">
        <v>374</v>
      </c>
      <c r="C16" s="12">
        <v>5926</v>
      </c>
      <c r="D16" s="12">
        <v>249</v>
      </c>
      <c r="E16" s="12">
        <v>182</v>
      </c>
      <c r="F16" s="12">
        <v>278</v>
      </c>
      <c r="G16" s="12">
        <v>247</v>
      </c>
      <c r="H16" s="12">
        <v>248</v>
      </c>
      <c r="I16" s="12">
        <v>317</v>
      </c>
      <c r="J16" s="12">
        <v>69</v>
      </c>
      <c r="K16" s="12">
        <v>260</v>
      </c>
      <c r="L16" s="12">
        <v>137</v>
      </c>
      <c r="M16" s="12">
        <v>315</v>
      </c>
      <c r="N16" s="12">
        <v>259</v>
      </c>
      <c r="O16" s="12">
        <v>254</v>
      </c>
      <c r="P16" s="12">
        <v>194</v>
      </c>
      <c r="Q16" s="12">
        <v>168</v>
      </c>
      <c r="R16" s="12">
        <v>187</v>
      </c>
      <c r="S16" s="12">
        <v>213</v>
      </c>
      <c r="T16" s="12">
        <v>195</v>
      </c>
      <c r="U16" s="12">
        <v>122</v>
      </c>
      <c r="V16" s="12">
        <v>313</v>
      </c>
      <c r="W16" s="12">
        <v>178</v>
      </c>
      <c r="X16" s="12">
        <v>264</v>
      </c>
      <c r="Y16" s="12">
        <v>240</v>
      </c>
      <c r="Z16" s="12">
        <v>182</v>
      </c>
      <c r="AA16" s="12">
        <v>136</v>
      </c>
      <c r="AB16" s="12">
        <v>214</v>
      </c>
      <c r="AC16" s="12">
        <v>292</v>
      </c>
      <c r="AD16" s="12">
        <v>297</v>
      </c>
      <c r="AE16" s="12">
        <v>301</v>
      </c>
      <c r="AF16" s="12">
        <v>328</v>
      </c>
    </row>
    <row r="17" spans="1:32" ht="21.5" x14ac:dyDescent="0.35">
      <c r="A17" s="31"/>
      <c r="B17" s="13" t="s">
        <v>375</v>
      </c>
      <c r="C17" s="14">
        <v>0.31</v>
      </c>
      <c r="D17" s="14">
        <v>0.33</v>
      </c>
      <c r="E17" s="14">
        <v>0.28000000000000003</v>
      </c>
      <c r="F17" s="14">
        <v>0.39</v>
      </c>
      <c r="G17" s="14">
        <v>0.31</v>
      </c>
      <c r="H17" s="14">
        <v>0.24</v>
      </c>
      <c r="I17" s="14">
        <v>0.25</v>
      </c>
      <c r="J17" s="14">
        <v>0.32</v>
      </c>
      <c r="K17" s="14">
        <v>0.38</v>
      </c>
      <c r="L17" s="14">
        <v>0.18</v>
      </c>
      <c r="M17" s="14">
        <v>0.38</v>
      </c>
      <c r="N17" s="14">
        <v>0.36</v>
      </c>
      <c r="O17" s="14">
        <v>0.39</v>
      </c>
      <c r="P17" s="14">
        <v>0.33</v>
      </c>
      <c r="Q17" s="14">
        <v>0.26</v>
      </c>
      <c r="R17" s="14">
        <v>0.44</v>
      </c>
      <c r="S17" s="14">
        <v>0.35</v>
      </c>
      <c r="T17" s="14">
        <v>0.28999999999999998</v>
      </c>
      <c r="U17" s="14">
        <v>0.28999999999999998</v>
      </c>
      <c r="V17" s="14">
        <v>0.42</v>
      </c>
      <c r="W17" s="14">
        <v>0.41</v>
      </c>
      <c r="X17" s="14">
        <v>0.35</v>
      </c>
      <c r="Y17" s="14">
        <v>0.31</v>
      </c>
      <c r="Z17" s="14">
        <v>0.23</v>
      </c>
      <c r="AA17" s="14">
        <v>0.17</v>
      </c>
      <c r="AB17" s="14">
        <v>0.34</v>
      </c>
      <c r="AC17" s="14">
        <v>0.38</v>
      </c>
      <c r="AD17" s="14">
        <v>0.34</v>
      </c>
      <c r="AE17" s="14">
        <v>0.42</v>
      </c>
      <c r="AF17" s="14">
        <v>0.42</v>
      </c>
    </row>
    <row r="18" spans="1:32" x14ac:dyDescent="0.35">
      <c r="A18" s="31"/>
      <c r="B18" s="11" t="s">
        <v>376</v>
      </c>
      <c r="C18" s="12">
        <v>2711</v>
      </c>
      <c r="D18" s="12">
        <v>139</v>
      </c>
      <c r="E18" s="12">
        <v>97</v>
      </c>
      <c r="F18" s="12">
        <v>153</v>
      </c>
      <c r="G18" s="12">
        <v>54</v>
      </c>
      <c r="H18" s="12">
        <v>160</v>
      </c>
      <c r="I18" s="12">
        <v>221</v>
      </c>
      <c r="J18" s="12">
        <v>61</v>
      </c>
      <c r="K18" s="12">
        <v>103</v>
      </c>
      <c r="L18" s="12">
        <v>63</v>
      </c>
      <c r="M18" s="12">
        <v>160</v>
      </c>
      <c r="N18" s="12">
        <v>106</v>
      </c>
      <c r="O18" s="12">
        <v>130</v>
      </c>
      <c r="P18" s="12">
        <v>25</v>
      </c>
      <c r="Q18" s="12">
        <v>77</v>
      </c>
      <c r="R18" s="12">
        <v>60</v>
      </c>
      <c r="S18" s="12">
        <v>79</v>
      </c>
      <c r="T18" s="12">
        <v>26</v>
      </c>
      <c r="U18" s="12">
        <v>40</v>
      </c>
      <c r="V18" s="12">
        <v>83</v>
      </c>
      <c r="W18" s="12">
        <v>34</v>
      </c>
      <c r="X18" s="12">
        <v>77</v>
      </c>
      <c r="Y18" s="12">
        <v>159</v>
      </c>
      <c r="Z18" s="12">
        <v>30</v>
      </c>
      <c r="AA18" s="12">
        <v>73</v>
      </c>
      <c r="AB18" s="12">
        <v>75</v>
      </c>
      <c r="AC18" s="12">
        <v>110</v>
      </c>
      <c r="AD18" s="12">
        <v>109</v>
      </c>
      <c r="AE18" s="12">
        <v>91</v>
      </c>
      <c r="AF18" s="12">
        <v>71</v>
      </c>
    </row>
    <row r="19" spans="1:32" x14ac:dyDescent="0.35">
      <c r="A19" s="31"/>
      <c r="B19" s="13" t="s">
        <v>341</v>
      </c>
      <c r="C19" s="14">
        <v>0.14000000000000001</v>
      </c>
      <c r="D19" s="14">
        <v>0.19</v>
      </c>
      <c r="E19" s="14">
        <v>0.15</v>
      </c>
      <c r="F19" s="14">
        <v>0.22</v>
      </c>
      <c r="G19" s="14">
        <v>7.0000000000000007E-2</v>
      </c>
      <c r="H19" s="14">
        <v>0.15</v>
      </c>
      <c r="I19" s="14">
        <v>0.18</v>
      </c>
      <c r="J19" s="14">
        <v>0.28000000000000003</v>
      </c>
      <c r="K19" s="14">
        <v>0.15</v>
      </c>
      <c r="L19" s="14">
        <v>0.08</v>
      </c>
      <c r="M19" s="14">
        <v>0.19</v>
      </c>
      <c r="N19" s="14">
        <v>0.14000000000000001</v>
      </c>
      <c r="O19" s="14">
        <v>0.2</v>
      </c>
      <c r="P19" s="14">
        <v>0.04</v>
      </c>
      <c r="Q19" s="14">
        <v>0.12</v>
      </c>
      <c r="R19" s="14">
        <v>0.14000000000000001</v>
      </c>
      <c r="S19" s="14">
        <v>0.13</v>
      </c>
      <c r="T19" s="14">
        <v>0.04</v>
      </c>
      <c r="U19" s="14">
        <v>0.09</v>
      </c>
      <c r="V19" s="14">
        <v>0.11</v>
      </c>
      <c r="W19" s="14">
        <v>0.08</v>
      </c>
      <c r="X19" s="14">
        <v>0.1</v>
      </c>
      <c r="Y19" s="14">
        <v>0.21</v>
      </c>
      <c r="Z19" s="14">
        <v>0.04</v>
      </c>
      <c r="AA19" s="14">
        <v>0.09</v>
      </c>
      <c r="AB19" s="14">
        <v>0.12</v>
      </c>
      <c r="AC19" s="14">
        <v>0.14000000000000001</v>
      </c>
      <c r="AD19" s="14">
        <v>0.12</v>
      </c>
      <c r="AE19" s="14">
        <v>0.13</v>
      </c>
      <c r="AF19" s="14">
        <v>0.09</v>
      </c>
    </row>
    <row r="20" spans="1:32" x14ac:dyDescent="0.35">
      <c r="A20" s="31"/>
      <c r="B20" s="11" t="s">
        <v>377</v>
      </c>
      <c r="C20" s="12">
        <v>682</v>
      </c>
      <c r="D20" s="12">
        <v>24</v>
      </c>
      <c r="E20" s="12">
        <v>42</v>
      </c>
      <c r="F20" s="12">
        <v>54</v>
      </c>
      <c r="G20" s="12">
        <v>7</v>
      </c>
      <c r="H20" s="12">
        <v>27</v>
      </c>
      <c r="I20" s="12">
        <v>42</v>
      </c>
      <c r="J20" s="12">
        <v>14</v>
      </c>
      <c r="K20" s="12">
        <v>37</v>
      </c>
      <c r="L20" s="12">
        <v>21</v>
      </c>
      <c r="M20" s="12">
        <v>77</v>
      </c>
      <c r="N20" s="12">
        <v>35</v>
      </c>
      <c r="O20" s="12">
        <v>37</v>
      </c>
      <c r="P20" s="12">
        <v>9</v>
      </c>
      <c r="Q20" s="12">
        <v>15</v>
      </c>
      <c r="R20" s="12">
        <v>25</v>
      </c>
      <c r="S20" s="12">
        <v>14</v>
      </c>
      <c r="T20" s="12">
        <v>7</v>
      </c>
      <c r="U20" s="12">
        <v>18</v>
      </c>
      <c r="V20" s="12">
        <v>13</v>
      </c>
      <c r="W20" s="12">
        <v>3</v>
      </c>
      <c r="X20" s="12">
        <v>23</v>
      </c>
      <c r="Y20" s="12">
        <v>43</v>
      </c>
      <c r="Z20" s="12">
        <v>6</v>
      </c>
      <c r="AA20" s="12">
        <v>4</v>
      </c>
      <c r="AB20" s="12">
        <v>23</v>
      </c>
      <c r="AC20" s="12">
        <v>37</v>
      </c>
      <c r="AD20" s="12">
        <v>29</v>
      </c>
      <c r="AE20" s="12">
        <v>14</v>
      </c>
      <c r="AF20" s="12">
        <v>8</v>
      </c>
    </row>
    <row r="21" spans="1:32" x14ac:dyDescent="0.35">
      <c r="A21" s="31"/>
      <c r="B21" s="13" t="s">
        <v>343</v>
      </c>
      <c r="C21" s="14">
        <v>0.04</v>
      </c>
      <c r="D21" s="14">
        <v>0.03</v>
      </c>
      <c r="E21" s="14">
        <v>0.06</v>
      </c>
      <c r="F21" s="14">
        <v>0.08</v>
      </c>
      <c r="G21" s="14">
        <v>0.01</v>
      </c>
      <c r="H21" s="14">
        <v>0.03</v>
      </c>
      <c r="I21" s="14">
        <v>0.03</v>
      </c>
      <c r="J21" s="14">
        <v>7.0000000000000007E-2</v>
      </c>
      <c r="K21" s="14">
        <v>0.05</v>
      </c>
      <c r="L21" s="14">
        <v>0.03</v>
      </c>
      <c r="M21" s="14">
        <v>0.09</v>
      </c>
      <c r="N21" s="14">
        <v>0.05</v>
      </c>
      <c r="O21" s="14">
        <v>0.06</v>
      </c>
      <c r="P21" s="14">
        <v>0.02</v>
      </c>
      <c r="Q21" s="14">
        <v>0.02</v>
      </c>
      <c r="R21" s="14">
        <v>0.06</v>
      </c>
      <c r="S21" s="14">
        <v>0.02</v>
      </c>
      <c r="T21" s="14">
        <v>0.01</v>
      </c>
      <c r="U21" s="14">
        <v>0.04</v>
      </c>
      <c r="V21" s="14">
        <v>0.02</v>
      </c>
      <c r="W21" s="14">
        <v>0.01</v>
      </c>
      <c r="X21" s="14">
        <v>0.03</v>
      </c>
      <c r="Y21" s="14">
        <v>0.06</v>
      </c>
      <c r="Z21" s="14">
        <v>0.01</v>
      </c>
      <c r="AA21" s="14">
        <v>0.01</v>
      </c>
      <c r="AB21" s="14">
        <v>0.04</v>
      </c>
      <c r="AC21" s="14">
        <v>0.05</v>
      </c>
      <c r="AD21" s="14">
        <v>0.03</v>
      </c>
      <c r="AE21" s="14">
        <v>0.02</v>
      </c>
      <c r="AF21" s="14">
        <v>0.01</v>
      </c>
    </row>
    <row r="22" spans="1:32" x14ac:dyDescent="0.35">
      <c r="A22" s="31"/>
      <c r="B22" s="11" t="s">
        <v>344</v>
      </c>
      <c r="C22" s="12">
        <v>119</v>
      </c>
      <c r="D22" s="12">
        <v>0</v>
      </c>
      <c r="E22" s="12">
        <v>1</v>
      </c>
      <c r="F22" s="12">
        <v>3</v>
      </c>
      <c r="G22" s="12">
        <v>10</v>
      </c>
      <c r="H22" s="12">
        <v>2</v>
      </c>
      <c r="I22" s="12">
        <v>4</v>
      </c>
      <c r="J22" s="12">
        <v>2</v>
      </c>
      <c r="K22" s="12">
        <v>5</v>
      </c>
      <c r="L22" s="12">
        <v>5</v>
      </c>
      <c r="M22" s="12">
        <v>2</v>
      </c>
      <c r="N22" s="12">
        <v>6</v>
      </c>
      <c r="O22" s="12">
        <v>13</v>
      </c>
      <c r="P22" s="12">
        <v>0</v>
      </c>
      <c r="Q22" s="12">
        <v>3</v>
      </c>
      <c r="R22" s="12">
        <v>0</v>
      </c>
      <c r="S22" s="12">
        <v>1</v>
      </c>
      <c r="T22" s="12">
        <v>2</v>
      </c>
      <c r="U22" s="12">
        <v>0</v>
      </c>
      <c r="V22" s="12">
        <v>0</v>
      </c>
      <c r="W22" s="12">
        <v>1</v>
      </c>
      <c r="X22" s="12">
        <v>2</v>
      </c>
      <c r="Y22" s="12">
        <v>1</v>
      </c>
      <c r="Z22" s="12">
        <v>0</v>
      </c>
      <c r="AA22" s="12">
        <v>7</v>
      </c>
      <c r="AB22" s="12">
        <v>3</v>
      </c>
      <c r="AC22" s="12">
        <v>4</v>
      </c>
      <c r="AD22" s="12">
        <v>2</v>
      </c>
      <c r="AE22" s="12">
        <v>12</v>
      </c>
      <c r="AF22" s="12">
        <v>6</v>
      </c>
    </row>
    <row r="23" spans="1:32" x14ac:dyDescent="0.35">
      <c r="A23" s="31"/>
      <c r="B23" s="13" t="s">
        <v>345</v>
      </c>
      <c r="C23" s="14">
        <v>0.01</v>
      </c>
      <c r="D23" s="15" t="s">
        <v>333</v>
      </c>
      <c r="E23" s="15" t="s">
        <v>333</v>
      </c>
      <c r="F23" s="15" t="s">
        <v>333</v>
      </c>
      <c r="G23" s="14">
        <v>0.01</v>
      </c>
      <c r="H23" s="15" t="s">
        <v>333</v>
      </c>
      <c r="I23" s="15" t="s">
        <v>333</v>
      </c>
      <c r="J23" s="14">
        <v>0.01</v>
      </c>
      <c r="K23" s="14">
        <v>0.01</v>
      </c>
      <c r="L23" s="14">
        <v>0.01</v>
      </c>
      <c r="M23" s="15" t="s">
        <v>333</v>
      </c>
      <c r="N23" s="14">
        <v>0.01</v>
      </c>
      <c r="O23" s="14">
        <v>0.02</v>
      </c>
      <c r="P23" s="15" t="s">
        <v>333</v>
      </c>
      <c r="Q23" s="14">
        <v>0.01</v>
      </c>
      <c r="R23" s="15" t="s">
        <v>333</v>
      </c>
      <c r="S23" s="15" t="s">
        <v>333</v>
      </c>
      <c r="T23" s="15" t="s">
        <v>333</v>
      </c>
      <c r="U23" s="15" t="s">
        <v>333</v>
      </c>
      <c r="V23" s="15" t="s">
        <v>333</v>
      </c>
      <c r="W23" s="15" t="s">
        <v>333</v>
      </c>
      <c r="X23" s="15" t="s">
        <v>333</v>
      </c>
      <c r="Y23" s="15" t="s">
        <v>333</v>
      </c>
      <c r="Z23" s="15" t="s">
        <v>333</v>
      </c>
      <c r="AA23" s="14">
        <v>0.01</v>
      </c>
      <c r="AB23" s="15" t="s">
        <v>333</v>
      </c>
      <c r="AC23" s="14">
        <v>0.01</v>
      </c>
      <c r="AD23" s="15" t="s">
        <v>333</v>
      </c>
      <c r="AE23" s="14">
        <v>0.01</v>
      </c>
      <c r="AF23" s="14">
        <v>0.01</v>
      </c>
    </row>
    <row r="24" spans="1:32" x14ac:dyDescent="0.35">
      <c r="A24" s="31"/>
      <c r="B24" s="11" t="s">
        <v>346</v>
      </c>
      <c r="C24" s="12">
        <v>9585</v>
      </c>
      <c r="D24" s="12">
        <v>334</v>
      </c>
      <c r="E24" s="12">
        <v>327</v>
      </c>
      <c r="F24" s="12">
        <v>214</v>
      </c>
      <c r="G24" s="12">
        <v>482</v>
      </c>
      <c r="H24" s="12">
        <v>601</v>
      </c>
      <c r="I24" s="12">
        <v>671</v>
      </c>
      <c r="J24" s="12">
        <v>70</v>
      </c>
      <c r="K24" s="12">
        <v>275</v>
      </c>
      <c r="L24" s="12">
        <v>537</v>
      </c>
      <c r="M24" s="12">
        <v>280</v>
      </c>
      <c r="N24" s="12">
        <v>317</v>
      </c>
      <c r="O24" s="12">
        <v>211</v>
      </c>
      <c r="P24" s="12">
        <v>356</v>
      </c>
      <c r="Q24" s="12">
        <v>383</v>
      </c>
      <c r="R24" s="12">
        <v>157</v>
      </c>
      <c r="S24" s="12">
        <v>312</v>
      </c>
      <c r="T24" s="12">
        <v>453</v>
      </c>
      <c r="U24" s="12">
        <v>250</v>
      </c>
      <c r="V24" s="12">
        <v>332</v>
      </c>
      <c r="W24" s="12">
        <v>216</v>
      </c>
      <c r="X24" s="12">
        <v>387</v>
      </c>
      <c r="Y24" s="12">
        <v>318</v>
      </c>
      <c r="Z24" s="12">
        <v>563</v>
      </c>
      <c r="AA24" s="12">
        <v>568</v>
      </c>
      <c r="AB24" s="12">
        <v>316</v>
      </c>
      <c r="AC24" s="12">
        <v>325</v>
      </c>
      <c r="AD24" s="12">
        <v>437</v>
      </c>
      <c r="AE24" s="12">
        <v>304</v>
      </c>
      <c r="AF24" s="12">
        <v>357</v>
      </c>
    </row>
    <row r="25" spans="1:32" x14ac:dyDescent="0.35">
      <c r="A25" s="31"/>
      <c r="B25" s="13" t="s">
        <v>346</v>
      </c>
      <c r="C25" s="14">
        <v>0.5</v>
      </c>
      <c r="D25" s="14">
        <v>0.45</v>
      </c>
      <c r="E25" s="14">
        <v>0.51</v>
      </c>
      <c r="F25" s="14">
        <v>0.31</v>
      </c>
      <c r="G25" s="14">
        <v>0.6</v>
      </c>
      <c r="H25" s="14">
        <v>0.57999999999999996</v>
      </c>
      <c r="I25" s="14">
        <v>0.54</v>
      </c>
      <c r="J25" s="14">
        <v>0.32</v>
      </c>
      <c r="K25" s="14">
        <v>0.41</v>
      </c>
      <c r="L25" s="14">
        <v>0.70000000000000007</v>
      </c>
      <c r="M25" s="14">
        <v>0.34</v>
      </c>
      <c r="N25" s="14">
        <v>0.44</v>
      </c>
      <c r="O25" s="14">
        <v>0.33</v>
      </c>
      <c r="P25" s="14">
        <v>0.61</v>
      </c>
      <c r="Q25" s="14">
        <v>0.59</v>
      </c>
      <c r="R25" s="14">
        <v>0.36</v>
      </c>
      <c r="S25" s="14">
        <v>0.5</v>
      </c>
      <c r="T25" s="14">
        <v>0.66</v>
      </c>
      <c r="U25" s="14">
        <v>0.57999999999999996</v>
      </c>
      <c r="V25" s="14">
        <v>0.45</v>
      </c>
      <c r="W25" s="14">
        <v>0.5</v>
      </c>
      <c r="X25" s="14">
        <v>0.52</v>
      </c>
      <c r="Y25" s="14">
        <v>0.42</v>
      </c>
      <c r="Z25" s="14">
        <v>0.72</v>
      </c>
      <c r="AA25" s="14">
        <v>0.72</v>
      </c>
      <c r="AB25" s="14">
        <v>0.5</v>
      </c>
      <c r="AC25" s="14">
        <v>0.42</v>
      </c>
      <c r="AD25" s="14">
        <v>0.51</v>
      </c>
      <c r="AE25" s="14">
        <v>0.42</v>
      </c>
      <c r="AF25" s="14">
        <v>0.47</v>
      </c>
    </row>
    <row r="26" spans="1:32" ht="21.5" x14ac:dyDescent="0.35">
      <c r="A26" s="31"/>
      <c r="B26" s="11" t="s">
        <v>374</v>
      </c>
      <c r="C26" s="12">
        <v>5926</v>
      </c>
      <c r="D26" s="12">
        <v>249</v>
      </c>
      <c r="E26" s="12">
        <v>182</v>
      </c>
      <c r="F26" s="12">
        <v>278</v>
      </c>
      <c r="G26" s="12">
        <v>247</v>
      </c>
      <c r="H26" s="12">
        <v>248</v>
      </c>
      <c r="I26" s="12">
        <v>317</v>
      </c>
      <c r="J26" s="12">
        <v>69</v>
      </c>
      <c r="K26" s="12">
        <v>260</v>
      </c>
      <c r="L26" s="12">
        <v>137</v>
      </c>
      <c r="M26" s="12">
        <v>315</v>
      </c>
      <c r="N26" s="12">
        <v>259</v>
      </c>
      <c r="O26" s="12">
        <v>254</v>
      </c>
      <c r="P26" s="12">
        <v>194</v>
      </c>
      <c r="Q26" s="12">
        <v>168</v>
      </c>
      <c r="R26" s="12">
        <v>187</v>
      </c>
      <c r="S26" s="12">
        <v>213</v>
      </c>
      <c r="T26" s="12">
        <v>195</v>
      </c>
      <c r="U26" s="12">
        <v>122</v>
      </c>
      <c r="V26" s="12">
        <v>313</v>
      </c>
      <c r="W26" s="12">
        <v>178</v>
      </c>
      <c r="X26" s="12">
        <v>264</v>
      </c>
      <c r="Y26" s="12">
        <v>240</v>
      </c>
      <c r="Z26" s="12">
        <v>182</v>
      </c>
      <c r="AA26" s="12">
        <v>136</v>
      </c>
      <c r="AB26" s="12">
        <v>214</v>
      </c>
      <c r="AC26" s="12">
        <v>292</v>
      </c>
      <c r="AD26" s="12">
        <v>297</v>
      </c>
      <c r="AE26" s="12">
        <v>301</v>
      </c>
      <c r="AF26" s="12">
        <v>328</v>
      </c>
    </row>
    <row r="27" spans="1:32" ht="21.5" x14ac:dyDescent="0.35">
      <c r="A27" s="31"/>
      <c r="B27" s="13" t="s">
        <v>375</v>
      </c>
      <c r="C27" s="14">
        <v>0.31</v>
      </c>
      <c r="D27" s="14">
        <v>0.33</v>
      </c>
      <c r="E27" s="14">
        <v>0.28000000000000003</v>
      </c>
      <c r="F27" s="14">
        <v>0.39</v>
      </c>
      <c r="G27" s="14">
        <v>0.31</v>
      </c>
      <c r="H27" s="14">
        <v>0.24</v>
      </c>
      <c r="I27" s="14">
        <v>0.25</v>
      </c>
      <c r="J27" s="14">
        <v>0.32</v>
      </c>
      <c r="K27" s="14">
        <v>0.38</v>
      </c>
      <c r="L27" s="14">
        <v>0.18</v>
      </c>
      <c r="M27" s="14">
        <v>0.38</v>
      </c>
      <c r="N27" s="14">
        <v>0.36</v>
      </c>
      <c r="O27" s="14">
        <v>0.39</v>
      </c>
      <c r="P27" s="14">
        <v>0.33</v>
      </c>
      <c r="Q27" s="14">
        <v>0.26</v>
      </c>
      <c r="R27" s="14">
        <v>0.44</v>
      </c>
      <c r="S27" s="14">
        <v>0.35</v>
      </c>
      <c r="T27" s="14">
        <v>0.28999999999999998</v>
      </c>
      <c r="U27" s="14">
        <v>0.28999999999999998</v>
      </c>
      <c r="V27" s="14">
        <v>0.42</v>
      </c>
      <c r="W27" s="14">
        <v>0.41</v>
      </c>
      <c r="X27" s="14">
        <v>0.35</v>
      </c>
      <c r="Y27" s="14">
        <v>0.31</v>
      </c>
      <c r="Z27" s="14">
        <v>0.23</v>
      </c>
      <c r="AA27" s="14">
        <v>0.17</v>
      </c>
      <c r="AB27" s="14">
        <v>0.34</v>
      </c>
      <c r="AC27" s="14">
        <v>0.38</v>
      </c>
      <c r="AD27" s="14">
        <v>0.34</v>
      </c>
      <c r="AE27" s="14">
        <v>0.42</v>
      </c>
      <c r="AF27" s="14">
        <v>0.42</v>
      </c>
    </row>
    <row r="28" spans="1:32" x14ac:dyDescent="0.35">
      <c r="A28" s="31"/>
      <c r="B28" s="11" t="s">
        <v>348</v>
      </c>
      <c r="C28" s="12">
        <v>3393</v>
      </c>
      <c r="D28" s="12">
        <v>163</v>
      </c>
      <c r="E28" s="12">
        <v>139</v>
      </c>
      <c r="F28" s="12">
        <v>207</v>
      </c>
      <c r="G28" s="12">
        <v>61</v>
      </c>
      <c r="H28" s="12">
        <v>187</v>
      </c>
      <c r="I28" s="12">
        <v>263</v>
      </c>
      <c r="J28" s="12">
        <v>75</v>
      </c>
      <c r="K28" s="12">
        <v>140</v>
      </c>
      <c r="L28" s="12">
        <v>84</v>
      </c>
      <c r="M28" s="12">
        <v>237</v>
      </c>
      <c r="N28" s="12">
        <v>141</v>
      </c>
      <c r="O28" s="12">
        <v>167</v>
      </c>
      <c r="P28" s="12">
        <v>34</v>
      </c>
      <c r="Q28" s="12">
        <v>92</v>
      </c>
      <c r="R28" s="12">
        <v>85</v>
      </c>
      <c r="S28" s="12">
        <v>93</v>
      </c>
      <c r="T28" s="12">
        <v>33</v>
      </c>
      <c r="U28" s="12">
        <v>58</v>
      </c>
      <c r="V28" s="12">
        <v>96</v>
      </c>
      <c r="W28" s="12">
        <v>37</v>
      </c>
      <c r="X28" s="12">
        <v>100</v>
      </c>
      <c r="Y28" s="12">
        <v>202</v>
      </c>
      <c r="Z28" s="12">
        <v>36</v>
      </c>
      <c r="AA28" s="12">
        <v>77</v>
      </c>
      <c r="AB28" s="12">
        <v>98</v>
      </c>
      <c r="AC28" s="12">
        <v>147</v>
      </c>
      <c r="AD28" s="12">
        <v>138</v>
      </c>
      <c r="AE28" s="12">
        <v>105</v>
      </c>
      <c r="AF28" s="12">
        <v>79</v>
      </c>
    </row>
    <row r="29" spans="1:32" x14ac:dyDescent="0.35">
      <c r="A29" s="31"/>
      <c r="B29" s="13" t="s">
        <v>348</v>
      </c>
      <c r="C29" s="14">
        <v>0.18</v>
      </c>
      <c r="D29" s="14">
        <v>0.22</v>
      </c>
      <c r="E29" s="14">
        <v>0.21</v>
      </c>
      <c r="F29" s="14">
        <v>0.3</v>
      </c>
      <c r="G29" s="14">
        <v>0.08</v>
      </c>
      <c r="H29" s="14">
        <v>0.18</v>
      </c>
      <c r="I29" s="14">
        <v>0.21</v>
      </c>
      <c r="J29" s="14">
        <v>0.35</v>
      </c>
      <c r="K29" s="14">
        <v>0.2</v>
      </c>
      <c r="L29" s="14">
        <v>0.11</v>
      </c>
      <c r="M29" s="14">
        <v>0.28000000000000003</v>
      </c>
      <c r="N29" s="14">
        <v>0.19</v>
      </c>
      <c r="O29" s="14">
        <v>0.26</v>
      </c>
      <c r="P29" s="14">
        <v>0.06</v>
      </c>
      <c r="Q29" s="14">
        <v>0.14000000000000001</v>
      </c>
      <c r="R29" s="14">
        <v>0.2</v>
      </c>
      <c r="S29" s="14">
        <v>0.15</v>
      </c>
      <c r="T29" s="14">
        <v>0.05</v>
      </c>
      <c r="U29" s="14">
        <v>0.13</v>
      </c>
      <c r="V29" s="14">
        <v>0.13</v>
      </c>
      <c r="W29" s="14">
        <v>0.09</v>
      </c>
      <c r="X29" s="14">
        <v>0.13</v>
      </c>
      <c r="Y29" s="14">
        <v>0.27</v>
      </c>
      <c r="Z29" s="14">
        <v>0.05</v>
      </c>
      <c r="AA29" s="14">
        <v>0.1</v>
      </c>
      <c r="AB29" s="14">
        <v>0.16</v>
      </c>
      <c r="AC29" s="14">
        <v>0.19</v>
      </c>
      <c r="AD29" s="14">
        <v>0.15</v>
      </c>
      <c r="AE29" s="14">
        <v>0.15</v>
      </c>
      <c r="AF29" s="14">
        <v>0.1</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21</v>
      </c>
      <c r="C3" s="30"/>
      <c r="D3" s="30"/>
      <c r="E3" s="30"/>
      <c r="F3" s="30"/>
      <c r="H3" s="30" t="s">
        <v>22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378</v>
      </c>
      <c r="C12" s="12">
        <v>19248</v>
      </c>
      <c r="D12" s="12">
        <v>765</v>
      </c>
      <c r="E12" s="12">
        <v>606</v>
      </c>
      <c r="F12" s="12">
        <v>631</v>
      </c>
      <c r="G12" s="12">
        <v>918</v>
      </c>
      <c r="H12" s="12">
        <v>987</v>
      </c>
      <c r="I12" s="12">
        <v>1152</v>
      </c>
      <c r="J12" s="12">
        <v>164</v>
      </c>
      <c r="K12" s="12">
        <v>811</v>
      </c>
      <c r="L12" s="12">
        <v>900</v>
      </c>
      <c r="M12" s="12">
        <v>660</v>
      </c>
      <c r="N12" s="12">
        <v>756</v>
      </c>
      <c r="O12" s="12">
        <v>643</v>
      </c>
      <c r="P12" s="12">
        <v>799</v>
      </c>
      <c r="Q12" s="12">
        <v>673</v>
      </c>
      <c r="R12" s="12">
        <v>353</v>
      </c>
      <c r="S12" s="12">
        <v>742</v>
      </c>
      <c r="T12" s="12">
        <v>886</v>
      </c>
      <c r="U12" s="12">
        <v>449</v>
      </c>
      <c r="V12" s="12">
        <v>764</v>
      </c>
      <c r="W12" s="12">
        <v>465</v>
      </c>
      <c r="X12" s="12">
        <v>784</v>
      </c>
      <c r="Y12" s="12">
        <v>604</v>
      </c>
      <c r="Z12" s="12">
        <v>869</v>
      </c>
      <c r="AA12" s="12">
        <v>918</v>
      </c>
      <c r="AB12" s="12">
        <v>710</v>
      </c>
      <c r="AC12" s="12">
        <v>812</v>
      </c>
      <c r="AD12" s="12">
        <v>816</v>
      </c>
      <c r="AE12" s="12">
        <v>779</v>
      </c>
      <c r="AF12" s="12">
        <v>842</v>
      </c>
    </row>
    <row r="13" spans="1:32" x14ac:dyDescent="0.35">
      <c r="A13" s="31"/>
      <c r="B13" s="13" t="s">
        <v>379</v>
      </c>
      <c r="C13" s="14">
        <v>0.73</v>
      </c>
      <c r="D13" s="14">
        <v>0.75</v>
      </c>
      <c r="E13" s="14">
        <v>0.57999999999999996</v>
      </c>
      <c r="F13" s="14">
        <v>0.62</v>
      </c>
      <c r="G13" s="14">
        <v>0.9</v>
      </c>
      <c r="H13" s="14">
        <v>0.8</v>
      </c>
      <c r="I13" s="14">
        <v>0.75</v>
      </c>
      <c r="J13" s="14">
        <v>0.55000000000000004</v>
      </c>
      <c r="K13" s="14">
        <v>0.8</v>
      </c>
      <c r="L13" s="14">
        <v>0.9</v>
      </c>
      <c r="M13" s="14">
        <v>0.66</v>
      </c>
      <c r="N13" s="14">
        <v>0.76</v>
      </c>
      <c r="O13" s="14">
        <v>0.64</v>
      </c>
      <c r="P13" s="14">
        <v>0.79</v>
      </c>
      <c r="Q13" s="14">
        <v>0.65</v>
      </c>
      <c r="R13" s="14">
        <v>0.71</v>
      </c>
      <c r="S13" s="14">
        <v>0.73</v>
      </c>
      <c r="T13" s="14">
        <v>0.87</v>
      </c>
      <c r="U13" s="14">
        <v>0.88</v>
      </c>
      <c r="V13" s="14">
        <v>0.75</v>
      </c>
      <c r="W13" s="14">
        <v>0.93</v>
      </c>
      <c r="X13" s="14">
        <v>0.78</v>
      </c>
      <c r="Y13" s="14">
        <v>0.6</v>
      </c>
      <c r="Z13" s="14">
        <v>0.85</v>
      </c>
      <c r="AA13" s="14">
        <v>0.89</v>
      </c>
      <c r="AB13" s="14">
        <v>0.67</v>
      </c>
      <c r="AC13" s="14">
        <v>0.8</v>
      </c>
      <c r="AD13" s="14">
        <v>0.81</v>
      </c>
      <c r="AE13" s="14">
        <v>0.77</v>
      </c>
      <c r="AF13" s="14">
        <v>0.82000000000000006</v>
      </c>
    </row>
    <row r="14" spans="1:32" x14ac:dyDescent="0.35">
      <c r="A14" s="31"/>
      <c r="B14" s="11" t="s">
        <v>380</v>
      </c>
      <c r="C14" s="12">
        <v>6004</v>
      </c>
      <c r="D14" s="12">
        <v>229</v>
      </c>
      <c r="E14" s="12">
        <v>302</v>
      </c>
      <c r="F14" s="12">
        <v>317</v>
      </c>
      <c r="G14" s="12">
        <v>68</v>
      </c>
      <c r="H14" s="12">
        <v>216</v>
      </c>
      <c r="I14" s="12">
        <v>338</v>
      </c>
      <c r="J14" s="12">
        <v>122</v>
      </c>
      <c r="K14" s="12">
        <v>142</v>
      </c>
      <c r="L14" s="12">
        <v>72</v>
      </c>
      <c r="M14" s="12">
        <v>321</v>
      </c>
      <c r="N14" s="12">
        <v>169</v>
      </c>
      <c r="O14" s="12">
        <v>287</v>
      </c>
      <c r="P14" s="12">
        <v>179</v>
      </c>
      <c r="Q14" s="12">
        <v>334</v>
      </c>
      <c r="R14" s="12">
        <v>137</v>
      </c>
      <c r="S14" s="12">
        <v>221</v>
      </c>
      <c r="T14" s="12">
        <v>74</v>
      </c>
      <c r="U14" s="12">
        <v>37</v>
      </c>
      <c r="V14" s="12">
        <v>218</v>
      </c>
      <c r="W14" s="12">
        <v>29</v>
      </c>
      <c r="X14" s="12">
        <v>202</v>
      </c>
      <c r="Y14" s="12">
        <v>334</v>
      </c>
      <c r="Z14" s="12">
        <v>117</v>
      </c>
      <c r="AA14" s="12">
        <v>81</v>
      </c>
      <c r="AB14" s="12">
        <v>314</v>
      </c>
      <c r="AC14" s="12">
        <v>162</v>
      </c>
      <c r="AD14" s="12">
        <v>143</v>
      </c>
      <c r="AE14" s="12">
        <v>172</v>
      </c>
      <c r="AF14" s="12">
        <v>140</v>
      </c>
    </row>
    <row r="15" spans="1:32" x14ac:dyDescent="0.35">
      <c r="A15" s="31"/>
      <c r="B15" s="13" t="s">
        <v>381</v>
      </c>
      <c r="C15" s="14">
        <v>0.23</v>
      </c>
      <c r="D15" s="14">
        <v>0.22</v>
      </c>
      <c r="E15" s="14">
        <v>0.28999999999999998</v>
      </c>
      <c r="F15" s="14">
        <v>0.31</v>
      </c>
      <c r="G15" s="14">
        <v>7.0000000000000007E-2</v>
      </c>
      <c r="H15" s="14">
        <v>0.18</v>
      </c>
      <c r="I15" s="14">
        <v>0.22</v>
      </c>
      <c r="J15" s="14">
        <v>0.41</v>
      </c>
      <c r="K15" s="14">
        <v>0.14000000000000001</v>
      </c>
      <c r="L15" s="14">
        <v>7.0000000000000007E-2</v>
      </c>
      <c r="M15" s="14">
        <v>0.32</v>
      </c>
      <c r="N15" s="14">
        <v>0.17</v>
      </c>
      <c r="O15" s="14">
        <v>0.28999999999999998</v>
      </c>
      <c r="P15" s="14">
        <v>0.18</v>
      </c>
      <c r="Q15" s="14">
        <v>0.32</v>
      </c>
      <c r="R15" s="14">
        <v>0.27</v>
      </c>
      <c r="S15" s="14">
        <v>0.21</v>
      </c>
      <c r="T15" s="14">
        <v>7.0000000000000007E-2</v>
      </c>
      <c r="U15" s="14">
        <v>7.0000000000000007E-2</v>
      </c>
      <c r="V15" s="14">
        <v>0.22</v>
      </c>
      <c r="W15" s="14">
        <v>0.06</v>
      </c>
      <c r="X15" s="14">
        <v>0.2</v>
      </c>
      <c r="Y15" s="14">
        <v>0.33</v>
      </c>
      <c r="Z15" s="14">
        <v>0.12</v>
      </c>
      <c r="AA15" s="14">
        <v>0.08</v>
      </c>
      <c r="AB15" s="14">
        <v>0.3</v>
      </c>
      <c r="AC15" s="14">
        <v>0.16</v>
      </c>
      <c r="AD15" s="14">
        <v>0.14000000000000001</v>
      </c>
      <c r="AE15" s="14">
        <v>0.17</v>
      </c>
      <c r="AF15" s="14">
        <v>0.14000000000000001</v>
      </c>
    </row>
    <row r="16" spans="1:32" x14ac:dyDescent="0.35">
      <c r="A16" s="31"/>
      <c r="B16" s="11" t="s">
        <v>344</v>
      </c>
      <c r="C16" s="12">
        <v>1158</v>
      </c>
      <c r="D16" s="12">
        <v>30</v>
      </c>
      <c r="E16" s="12">
        <v>131</v>
      </c>
      <c r="F16" s="12">
        <v>70</v>
      </c>
      <c r="G16" s="12">
        <v>32</v>
      </c>
      <c r="H16" s="12">
        <v>29</v>
      </c>
      <c r="I16" s="12">
        <v>40</v>
      </c>
      <c r="J16" s="12">
        <v>11</v>
      </c>
      <c r="K16" s="12">
        <v>56</v>
      </c>
      <c r="L16" s="12">
        <v>32</v>
      </c>
      <c r="M16" s="12">
        <v>23</v>
      </c>
      <c r="N16" s="12">
        <v>75</v>
      </c>
      <c r="O16" s="12">
        <v>71</v>
      </c>
      <c r="P16" s="12">
        <v>26</v>
      </c>
      <c r="Q16" s="12">
        <v>28</v>
      </c>
      <c r="R16" s="12">
        <v>11</v>
      </c>
      <c r="S16" s="12">
        <v>58</v>
      </c>
      <c r="T16" s="12">
        <v>57</v>
      </c>
      <c r="U16" s="12">
        <v>23</v>
      </c>
      <c r="V16" s="12">
        <v>32</v>
      </c>
      <c r="W16" s="12">
        <v>7</v>
      </c>
      <c r="X16" s="12">
        <v>24</v>
      </c>
      <c r="Y16" s="12">
        <v>66</v>
      </c>
      <c r="Z16" s="12">
        <v>33</v>
      </c>
      <c r="AA16" s="12">
        <v>31</v>
      </c>
      <c r="AB16" s="12">
        <v>32</v>
      </c>
      <c r="AC16" s="12">
        <v>39</v>
      </c>
      <c r="AD16" s="12">
        <v>46</v>
      </c>
      <c r="AE16" s="12">
        <v>55</v>
      </c>
      <c r="AF16" s="12">
        <v>38</v>
      </c>
    </row>
    <row r="17" spans="1:32" x14ac:dyDescent="0.35">
      <c r="A17" s="31"/>
      <c r="B17" s="13" t="s">
        <v>382</v>
      </c>
      <c r="C17" s="14">
        <v>0.04</v>
      </c>
      <c r="D17" s="14">
        <v>0.03</v>
      </c>
      <c r="E17" s="14">
        <v>0.13</v>
      </c>
      <c r="F17" s="14">
        <v>7.0000000000000007E-2</v>
      </c>
      <c r="G17" s="14">
        <v>0.03</v>
      </c>
      <c r="H17" s="14">
        <v>0.02</v>
      </c>
      <c r="I17" s="14">
        <v>0.03</v>
      </c>
      <c r="J17" s="14">
        <v>0.04</v>
      </c>
      <c r="K17" s="14">
        <v>0.06</v>
      </c>
      <c r="L17" s="14">
        <v>0.03</v>
      </c>
      <c r="M17" s="14">
        <v>0.02</v>
      </c>
      <c r="N17" s="14">
        <v>7.0000000000000007E-2</v>
      </c>
      <c r="O17" s="14">
        <v>7.0000000000000007E-2</v>
      </c>
      <c r="P17" s="14">
        <v>0.03</v>
      </c>
      <c r="Q17" s="14">
        <v>0.03</v>
      </c>
      <c r="R17" s="14">
        <v>0.02</v>
      </c>
      <c r="S17" s="14">
        <v>0.06</v>
      </c>
      <c r="T17" s="14">
        <v>0.06</v>
      </c>
      <c r="U17" s="14">
        <v>0.05</v>
      </c>
      <c r="V17" s="14">
        <v>0.03</v>
      </c>
      <c r="W17" s="14">
        <v>0.01</v>
      </c>
      <c r="X17" s="14">
        <v>0.02</v>
      </c>
      <c r="Y17" s="14">
        <v>7.0000000000000007E-2</v>
      </c>
      <c r="Z17" s="14">
        <v>0.03</v>
      </c>
      <c r="AA17" s="14">
        <v>0.03</v>
      </c>
      <c r="AB17" s="14">
        <v>0.03</v>
      </c>
      <c r="AC17" s="14">
        <v>0.04</v>
      </c>
      <c r="AD17" s="14">
        <v>0.05</v>
      </c>
      <c r="AE17" s="14">
        <v>0.06</v>
      </c>
      <c r="AF17" s="14">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23</v>
      </c>
      <c r="C3" s="30"/>
      <c r="D3" s="30"/>
      <c r="E3" s="30"/>
      <c r="F3" s="30"/>
      <c r="H3" s="30" t="s">
        <v>24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383</v>
      </c>
      <c r="C12" s="12">
        <v>1347</v>
      </c>
      <c r="D12" s="12">
        <v>59</v>
      </c>
      <c r="E12" s="12">
        <v>49</v>
      </c>
      <c r="F12" s="12">
        <v>47</v>
      </c>
      <c r="G12" s="12">
        <v>24</v>
      </c>
      <c r="H12" s="12">
        <v>72</v>
      </c>
      <c r="I12" s="12">
        <v>90</v>
      </c>
      <c r="J12" s="12">
        <v>18</v>
      </c>
      <c r="K12" s="12">
        <v>36</v>
      </c>
      <c r="L12" s="12">
        <v>33</v>
      </c>
      <c r="M12" s="12">
        <v>62</v>
      </c>
      <c r="N12" s="12">
        <v>53</v>
      </c>
      <c r="O12" s="12">
        <v>37</v>
      </c>
      <c r="P12" s="12">
        <v>46</v>
      </c>
      <c r="Q12" s="12">
        <v>51</v>
      </c>
      <c r="R12" s="12">
        <v>29</v>
      </c>
      <c r="S12" s="12">
        <v>37</v>
      </c>
      <c r="T12" s="12">
        <v>26</v>
      </c>
      <c r="U12" s="12">
        <v>28</v>
      </c>
      <c r="V12" s="12">
        <v>84</v>
      </c>
      <c r="W12" s="12">
        <v>24</v>
      </c>
      <c r="X12" s="12">
        <v>24</v>
      </c>
      <c r="Y12" s="12">
        <v>50</v>
      </c>
      <c r="Z12" s="12">
        <v>69</v>
      </c>
      <c r="AA12" s="12">
        <v>60</v>
      </c>
      <c r="AB12" s="12">
        <v>79</v>
      </c>
      <c r="AC12" s="12">
        <v>44</v>
      </c>
      <c r="AD12" s="12">
        <v>59</v>
      </c>
      <c r="AE12" s="12">
        <v>30</v>
      </c>
      <c r="AF12" s="12">
        <v>24</v>
      </c>
    </row>
    <row r="13" spans="1:32" ht="31.5" x14ac:dyDescent="0.35">
      <c r="A13" s="31"/>
      <c r="B13" s="13" t="s">
        <v>384</v>
      </c>
      <c r="C13" s="14">
        <v>0.05</v>
      </c>
      <c r="D13" s="14">
        <v>0.06</v>
      </c>
      <c r="E13" s="14">
        <v>0.05</v>
      </c>
      <c r="F13" s="14">
        <v>0.05</v>
      </c>
      <c r="G13" s="14">
        <v>0.02</v>
      </c>
      <c r="H13" s="14">
        <v>0.06</v>
      </c>
      <c r="I13" s="14">
        <v>0.06</v>
      </c>
      <c r="J13" s="14">
        <v>0.06</v>
      </c>
      <c r="K13" s="14">
        <v>0.04</v>
      </c>
      <c r="L13" s="14">
        <v>0.03</v>
      </c>
      <c r="M13" s="14">
        <v>0.06</v>
      </c>
      <c r="N13" s="14">
        <v>0.05</v>
      </c>
      <c r="O13" s="14">
        <v>0.04</v>
      </c>
      <c r="P13" s="14">
        <v>0.05</v>
      </c>
      <c r="Q13" s="14">
        <v>0.05</v>
      </c>
      <c r="R13" s="14">
        <v>0.06</v>
      </c>
      <c r="S13" s="14">
        <v>0.04</v>
      </c>
      <c r="T13" s="14">
        <v>0.02</v>
      </c>
      <c r="U13" s="14">
        <v>0.05</v>
      </c>
      <c r="V13" s="14">
        <v>0.08</v>
      </c>
      <c r="W13" s="14">
        <v>0.05</v>
      </c>
      <c r="X13" s="14">
        <v>0.03</v>
      </c>
      <c r="Y13" s="14">
        <v>0.05</v>
      </c>
      <c r="Z13" s="14">
        <v>7.0000000000000007E-2</v>
      </c>
      <c r="AA13" s="14">
        <v>0.06</v>
      </c>
      <c r="AB13" s="14">
        <v>7.0000000000000007E-2</v>
      </c>
      <c r="AC13" s="14">
        <v>0.04</v>
      </c>
      <c r="AD13" s="14">
        <v>0.06</v>
      </c>
      <c r="AE13" s="14">
        <v>0.03</v>
      </c>
      <c r="AF13" s="14">
        <v>0.02</v>
      </c>
    </row>
    <row r="14" spans="1:32" ht="31.5" x14ac:dyDescent="0.35">
      <c r="A14" s="31"/>
      <c r="B14" s="11" t="s">
        <v>385</v>
      </c>
      <c r="C14" s="12">
        <v>4210</v>
      </c>
      <c r="D14" s="12">
        <v>154</v>
      </c>
      <c r="E14" s="12">
        <v>105</v>
      </c>
      <c r="F14" s="12">
        <v>174</v>
      </c>
      <c r="G14" s="12">
        <v>177</v>
      </c>
      <c r="H14" s="12">
        <v>246</v>
      </c>
      <c r="I14" s="12">
        <v>299</v>
      </c>
      <c r="J14" s="12">
        <v>52</v>
      </c>
      <c r="K14" s="12">
        <v>146</v>
      </c>
      <c r="L14" s="12">
        <v>45</v>
      </c>
      <c r="M14" s="12">
        <v>213</v>
      </c>
      <c r="N14" s="12">
        <v>124</v>
      </c>
      <c r="O14" s="12">
        <v>183</v>
      </c>
      <c r="P14" s="12">
        <v>96</v>
      </c>
      <c r="Q14" s="12">
        <v>160</v>
      </c>
      <c r="R14" s="12">
        <v>94</v>
      </c>
      <c r="S14" s="12">
        <v>233</v>
      </c>
      <c r="T14" s="12">
        <v>178</v>
      </c>
      <c r="U14" s="12">
        <v>81</v>
      </c>
      <c r="V14" s="12">
        <v>92</v>
      </c>
      <c r="W14" s="12">
        <v>30</v>
      </c>
      <c r="X14" s="12">
        <v>224</v>
      </c>
      <c r="Y14" s="12">
        <v>139</v>
      </c>
      <c r="Z14" s="12">
        <v>136</v>
      </c>
      <c r="AA14" s="12">
        <v>119</v>
      </c>
      <c r="AB14" s="12">
        <v>79</v>
      </c>
      <c r="AC14" s="12">
        <v>148</v>
      </c>
      <c r="AD14" s="12">
        <v>107</v>
      </c>
      <c r="AE14" s="12">
        <v>194</v>
      </c>
      <c r="AF14" s="12">
        <v>241</v>
      </c>
    </row>
    <row r="15" spans="1:32" ht="31.5" x14ac:dyDescent="0.35">
      <c r="A15" s="31"/>
      <c r="B15" s="13" t="s">
        <v>386</v>
      </c>
      <c r="C15" s="14">
        <v>0.16</v>
      </c>
      <c r="D15" s="14">
        <v>0.15</v>
      </c>
      <c r="E15" s="14">
        <v>0.1</v>
      </c>
      <c r="F15" s="14">
        <v>0.17</v>
      </c>
      <c r="G15" s="14">
        <v>0.17</v>
      </c>
      <c r="H15" s="14">
        <v>0.2</v>
      </c>
      <c r="I15" s="14">
        <v>0.2</v>
      </c>
      <c r="J15" s="14">
        <v>0.18</v>
      </c>
      <c r="K15" s="14">
        <v>0.14000000000000001</v>
      </c>
      <c r="L15" s="14">
        <v>0.05</v>
      </c>
      <c r="M15" s="14">
        <v>0.21</v>
      </c>
      <c r="N15" s="14">
        <v>0.12</v>
      </c>
      <c r="O15" s="14">
        <v>0.18</v>
      </c>
      <c r="P15" s="14">
        <v>0.1</v>
      </c>
      <c r="Q15" s="14">
        <v>0.15</v>
      </c>
      <c r="R15" s="14">
        <v>0.19</v>
      </c>
      <c r="S15" s="14">
        <v>0.23</v>
      </c>
      <c r="T15" s="14">
        <v>0.17</v>
      </c>
      <c r="U15" s="14">
        <v>0.16</v>
      </c>
      <c r="V15" s="14">
        <v>0.09</v>
      </c>
      <c r="W15" s="14">
        <v>0.06</v>
      </c>
      <c r="X15" s="14">
        <v>0.22</v>
      </c>
      <c r="Y15" s="14">
        <v>0.14000000000000001</v>
      </c>
      <c r="Z15" s="14">
        <v>0.13</v>
      </c>
      <c r="AA15" s="14">
        <v>0.11</v>
      </c>
      <c r="AB15" s="14">
        <v>7.0000000000000007E-2</v>
      </c>
      <c r="AC15" s="14">
        <v>0.15</v>
      </c>
      <c r="AD15" s="14">
        <v>0.11</v>
      </c>
      <c r="AE15" s="14">
        <v>0.19</v>
      </c>
      <c r="AF15" s="14">
        <v>0.24</v>
      </c>
    </row>
    <row r="16" spans="1:32" ht="41.5" x14ac:dyDescent="0.35">
      <c r="A16" s="31"/>
      <c r="B16" s="11" t="s">
        <v>387</v>
      </c>
      <c r="C16" s="12">
        <v>3125</v>
      </c>
      <c r="D16" s="12">
        <v>147</v>
      </c>
      <c r="E16" s="12">
        <v>81</v>
      </c>
      <c r="F16" s="12">
        <v>94</v>
      </c>
      <c r="G16" s="12">
        <v>169</v>
      </c>
      <c r="H16" s="12">
        <v>152</v>
      </c>
      <c r="I16" s="12">
        <v>184</v>
      </c>
      <c r="J16" s="12">
        <v>31</v>
      </c>
      <c r="K16" s="12">
        <v>117</v>
      </c>
      <c r="L16" s="12">
        <v>257</v>
      </c>
      <c r="M16" s="12">
        <v>117</v>
      </c>
      <c r="N16" s="12">
        <v>211</v>
      </c>
      <c r="O16" s="12">
        <v>54</v>
      </c>
      <c r="P16" s="12">
        <v>129</v>
      </c>
      <c r="Q16" s="12">
        <v>72</v>
      </c>
      <c r="R16" s="12">
        <v>72</v>
      </c>
      <c r="S16" s="12">
        <v>112</v>
      </c>
      <c r="T16" s="12">
        <v>204</v>
      </c>
      <c r="U16" s="12">
        <v>84</v>
      </c>
      <c r="V16" s="12">
        <v>119</v>
      </c>
      <c r="W16" s="12">
        <v>142</v>
      </c>
      <c r="X16" s="12">
        <v>175</v>
      </c>
      <c r="Y16" s="12">
        <v>114</v>
      </c>
      <c r="Z16" s="12">
        <v>136</v>
      </c>
      <c r="AA16" s="12">
        <v>160</v>
      </c>
      <c r="AB16" s="12">
        <v>102</v>
      </c>
      <c r="AC16" s="12">
        <v>194</v>
      </c>
      <c r="AD16" s="12">
        <v>112</v>
      </c>
      <c r="AE16" s="12">
        <v>82</v>
      </c>
      <c r="AF16" s="12">
        <v>123</v>
      </c>
    </row>
    <row r="17" spans="1:32" ht="31.5" x14ac:dyDescent="0.35">
      <c r="A17" s="31"/>
      <c r="B17" s="13" t="s">
        <v>388</v>
      </c>
      <c r="C17" s="14">
        <v>0.12</v>
      </c>
      <c r="D17" s="14">
        <v>0.14000000000000001</v>
      </c>
      <c r="E17" s="14">
        <v>0.08</v>
      </c>
      <c r="F17" s="14">
        <v>0.09</v>
      </c>
      <c r="G17" s="14">
        <v>0.17</v>
      </c>
      <c r="H17" s="14">
        <v>0.12</v>
      </c>
      <c r="I17" s="14">
        <v>0.12</v>
      </c>
      <c r="J17" s="14">
        <v>0.11</v>
      </c>
      <c r="K17" s="14">
        <v>0.12</v>
      </c>
      <c r="L17" s="14">
        <v>0.26</v>
      </c>
      <c r="M17" s="14">
        <v>0.12</v>
      </c>
      <c r="N17" s="14">
        <v>0.21</v>
      </c>
      <c r="O17" s="14">
        <v>0.05</v>
      </c>
      <c r="P17" s="14">
        <v>0.13</v>
      </c>
      <c r="Q17" s="14">
        <v>7.0000000000000007E-2</v>
      </c>
      <c r="R17" s="14">
        <v>0.14000000000000001</v>
      </c>
      <c r="S17" s="14">
        <v>0.11</v>
      </c>
      <c r="T17" s="14">
        <v>0.2</v>
      </c>
      <c r="U17" s="14">
        <v>0.16</v>
      </c>
      <c r="V17" s="14">
        <v>0.12</v>
      </c>
      <c r="W17" s="14">
        <v>0.28000000000000003</v>
      </c>
      <c r="X17" s="14">
        <v>0.17</v>
      </c>
      <c r="Y17" s="14">
        <v>0.11</v>
      </c>
      <c r="Z17" s="14">
        <v>0.13</v>
      </c>
      <c r="AA17" s="14">
        <v>0.15</v>
      </c>
      <c r="AB17" s="14">
        <v>0.1</v>
      </c>
      <c r="AC17" s="14">
        <v>0.19</v>
      </c>
      <c r="AD17" s="14">
        <v>0.11</v>
      </c>
      <c r="AE17" s="14">
        <v>0.08</v>
      </c>
      <c r="AF17" s="14">
        <v>0.12</v>
      </c>
    </row>
    <row r="18" spans="1:32" ht="51.5" x14ac:dyDescent="0.35">
      <c r="A18" s="31"/>
      <c r="B18" s="11" t="s">
        <v>389</v>
      </c>
      <c r="C18" s="12">
        <v>4119</v>
      </c>
      <c r="D18" s="12">
        <v>160</v>
      </c>
      <c r="E18" s="12">
        <v>110</v>
      </c>
      <c r="F18" s="12">
        <v>111</v>
      </c>
      <c r="G18" s="12">
        <v>308</v>
      </c>
      <c r="H18" s="12">
        <v>279</v>
      </c>
      <c r="I18" s="12">
        <v>341</v>
      </c>
      <c r="J18" s="12">
        <v>62</v>
      </c>
      <c r="K18" s="12">
        <v>130</v>
      </c>
      <c r="L18" s="12">
        <v>77</v>
      </c>
      <c r="M18" s="12">
        <v>131</v>
      </c>
      <c r="N18" s="12">
        <v>101</v>
      </c>
      <c r="O18" s="12">
        <v>153</v>
      </c>
      <c r="P18" s="12">
        <v>65</v>
      </c>
      <c r="Q18" s="12">
        <v>147</v>
      </c>
      <c r="R18" s="12">
        <v>56</v>
      </c>
      <c r="S18" s="12">
        <v>132</v>
      </c>
      <c r="T18" s="12">
        <v>70</v>
      </c>
      <c r="U18" s="12">
        <v>60</v>
      </c>
      <c r="V18" s="12">
        <v>99</v>
      </c>
      <c r="W18" s="12">
        <v>60</v>
      </c>
      <c r="X18" s="12">
        <v>286</v>
      </c>
      <c r="Y18" s="12">
        <v>119</v>
      </c>
      <c r="Z18" s="12">
        <v>82</v>
      </c>
      <c r="AA18" s="12">
        <v>64</v>
      </c>
      <c r="AB18" s="12">
        <v>89</v>
      </c>
      <c r="AC18" s="12">
        <v>135</v>
      </c>
      <c r="AD18" s="12">
        <v>106</v>
      </c>
      <c r="AE18" s="12">
        <v>359</v>
      </c>
      <c r="AF18" s="12">
        <v>412</v>
      </c>
    </row>
    <row r="19" spans="1:32" ht="51.5" x14ac:dyDescent="0.35">
      <c r="A19" s="31"/>
      <c r="B19" s="13" t="s">
        <v>390</v>
      </c>
      <c r="C19" s="14">
        <v>0.16</v>
      </c>
      <c r="D19" s="14">
        <v>0.16</v>
      </c>
      <c r="E19" s="14">
        <v>0.11</v>
      </c>
      <c r="F19" s="14">
        <v>0.11</v>
      </c>
      <c r="G19" s="14">
        <v>0.3</v>
      </c>
      <c r="H19" s="14">
        <v>0.23</v>
      </c>
      <c r="I19" s="14">
        <v>0.22</v>
      </c>
      <c r="J19" s="14">
        <v>0.21</v>
      </c>
      <c r="K19" s="14">
        <v>0.13</v>
      </c>
      <c r="L19" s="14">
        <v>0.08</v>
      </c>
      <c r="M19" s="14">
        <v>0.13</v>
      </c>
      <c r="N19" s="14">
        <v>0.1</v>
      </c>
      <c r="O19" s="14">
        <v>0.15</v>
      </c>
      <c r="P19" s="14">
        <v>0.06</v>
      </c>
      <c r="Q19" s="14">
        <v>0.14000000000000001</v>
      </c>
      <c r="R19" s="14">
        <v>0.11</v>
      </c>
      <c r="S19" s="14">
        <v>0.13</v>
      </c>
      <c r="T19" s="14">
        <v>7.0000000000000007E-2</v>
      </c>
      <c r="U19" s="14">
        <v>0.12</v>
      </c>
      <c r="V19" s="14">
        <v>0.1</v>
      </c>
      <c r="W19" s="14">
        <v>0.12</v>
      </c>
      <c r="X19" s="14">
        <v>0.28000000000000003</v>
      </c>
      <c r="Y19" s="14">
        <v>0.12</v>
      </c>
      <c r="Z19" s="14">
        <v>0.08</v>
      </c>
      <c r="AA19" s="14">
        <v>0.06</v>
      </c>
      <c r="AB19" s="14">
        <v>0.08</v>
      </c>
      <c r="AC19" s="14">
        <v>0.13</v>
      </c>
      <c r="AD19" s="14">
        <v>0.11</v>
      </c>
      <c r="AE19" s="14">
        <v>0.36</v>
      </c>
      <c r="AF19" s="14">
        <v>0.4</v>
      </c>
    </row>
    <row r="20" spans="1:32" ht="51.5" x14ac:dyDescent="0.35">
      <c r="A20" s="31"/>
      <c r="B20" s="11" t="s">
        <v>391</v>
      </c>
      <c r="C20" s="12">
        <v>1539</v>
      </c>
      <c r="D20" s="12">
        <v>81</v>
      </c>
      <c r="E20" s="12">
        <v>35</v>
      </c>
      <c r="F20" s="12">
        <v>39</v>
      </c>
      <c r="G20" s="12">
        <v>47</v>
      </c>
      <c r="H20" s="12">
        <v>73</v>
      </c>
      <c r="I20" s="12">
        <v>93</v>
      </c>
      <c r="J20" s="12">
        <v>20</v>
      </c>
      <c r="K20" s="12">
        <v>35</v>
      </c>
      <c r="L20" s="12">
        <v>32</v>
      </c>
      <c r="M20" s="12">
        <v>47</v>
      </c>
      <c r="N20" s="12">
        <v>56</v>
      </c>
      <c r="O20" s="12">
        <v>55</v>
      </c>
      <c r="P20" s="12">
        <v>57</v>
      </c>
      <c r="Q20" s="12">
        <v>71</v>
      </c>
      <c r="R20" s="12">
        <v>25</v>
      </c>
      <c r="S20" s="12">
        <v>41</v>
      </c>
      <c r="T20" s="12">
        <v>27</v>
      </c>
      <c r="U20" s="12">
        <v>19</v>
      </c>
      <c r="V20" s="12">
        <v>55</v>
      </c>
      <c r="W20" s="12">
        <v>29</v>
      </c>
      <c r="X20" s="12">
        <v>56</v>
      </c>
      <c r="Y20" s="12">
        <v>52</v>
      </c>
      <c r="Z20" s="12">
        <v>78</v>
      </c>
      <c r="AA20" s="12">
        <v>27</v>
      </c>
      <c r="AB20" s="12">
        <v>64</v>
      </c>
      <c r="AC20" s="12">
        <v>42</v>
      </c>
      <c r="AD20" s="12">
        <v>45</v>
      </c>
      <c r="AE20" s="12">
        <v>82</v>
      </c>
      <c r="AF20" s="12">
        <v>52</v>
      </c>
    </row>
    <row r="21" spans="1:32" ht="41.5" x14ac:dyDescent="0.35">
      <c r="A21" s="31"/>
      <c r="B21" s="13" t="s">
        <v>392</v>
      </c>
      <c r="C21" s="14">
        <v>0.06</v>
      </c>
      <c r="D21" s="14">
        <v>0.08</v>
      </c>
      <c r="E21" s="14">
        <v>0.03</v>
      </c>
      <c r="F21" s="14">
        <v>0.04</v>
      </c>
      <c r="G21" s="14">
        <v>0.05</v>
      </c>
      <c r="H21" s="14">
        <v>0.06</v>
      </c>
      <c r="I21" s="14">
        <v>0.06</v>
      </c>
      <c r="J21" s="14">
        <v>7.0000000000000007E-2</v>
      </c>
      <c r="K21" s="14">
        <v>0.04</v>
      </c>
      <c r="L21" s="14">
        <v>0.03</v>
      </c>
      <c r="M21" s="14">
        <v>0.05</v>
      </c>
      <c r="N21" s="14">
        <v>0.06</v>
      </c>
      <c r="O21" s="14">
        <v>0.06</v>
      </c>
      <c r="P21" s="14">
        <v>0.06</v>
      </c>
      <c r="Q21" s="14">
        <v>7.0000000000000007E-2</v>
      </c>
      <c r="R21" s="14">
        <v>0.05</v>
      </c>
      <c r="S21" s="14">
        <v>0.04</v>
      </c>
      <c r="T21" s="14">
        <v>0.03</v>
      </c>
      <c r="U21" s="14">
        <v>0.04</v>
      </c>
      <c r="V21" s="14">
        <v>0.05</v>
      </c>
      <c r="W21" s="14">
        <v>0.06</v>
      </c>
      <c r="X21" s="14">
        <v>0.06</v>
      </c>
      <c r="Y21" s="14">
        <v>0.05</v>
      </c>
      <c r="Z21" s="14">
        <v>0.08</v>
      </c>
      <c r="AA21" s="14">
        <v>0.02</v>
      </c>
      <c r="AB21" s="14">
        <v>0.06</v>
      </c>
      <c r="AC21" s="14">
        <v>0.04</v>
      </c>
      <c r="AD21" s="14">
        <v>0.04</v>
      </c>
      <c r="AE21" s="14">
        <v>0.08</v>
      </c>
      <c r="AF21" s="14">
        <v>0.05</v>
      </c>
    </row>
    <row r="22" spans="1:32" ht="41.5" x14ac:dyDescent="0.35">
      <c r="A22" s="31"/>
      <c r="B22" s="11" t="s">
        <v>393</v>
      </c>
      <c r="C22" s="12">
        <v>1085</v>
      </c>
      <c r="D22" s="12">
        <v>37</v>
      </c>
      <c r="E22" s="12">
        <v>25</v>
      </c>
      <c r="F22" s="12">
        <v>41</v>
      </c>
      <c r="G22" s="12">
        <v>16</v>
      </c>
      <c r="H22" s="12">
        <v>35</v>
      </c>
      <c r="I22" s="12">
        <v>42</v>
      </c>
      <c r="J22" s="12">
        <v>8</v>
      </c>
      <c r="K22" s="12">
        <v>21</v>
      </c>
      <c r="L22" s="12">
        <v>22</v>
      </c>
      <c r="M22" s="12">
        <v>28</v>
      </c>
      <c r="N22" s="12">
        <v>41</v>
      </c>
      <c r="O22" s="12">
        <v>62</v>
      </c>
      <c r="P22" s="12">
        <v>40</v>
      </c>
      <c r="Q22" s="12">
        <v>53</v>
      </c>
      <c r="R22" s="12">
        <v>11</v>
      </c>
      <c r="S22" s="12">
        <v>11</v>
      </c>
      <c r="T22" s="12">
        <v>19</v>
      </c>
      <c r="U22" s="12">
        <v>14</v>
      </c>
      <c r="V22" s="12">
        <v>46</v>
      </c>
      <c r="W22" s="12">
        <v>25</v>
      </c>
      <c r="X22" s="12">
        <v>16</v>
      </c>
      <c r="Y22" s="12">
        <v>58</v>
      </c>
      <c r="Z22" s="12">
        <v>45</v>
      </c>
      <c r="AA22" s="12">
        <v>48</v>
      </c>
      <c r="AB22" s="12">
        <v>70</v>
      </c>
      <c r="AC22" s="12">
        <v>14</v>
      </c>
      <c r="AD22" s="12">
        <v>37</v>
      </c>
      <c r="AE22" s="12">
        <v>16</v>
      </c>
      <c r="AF22" s="12">
        <v>16</v>
      </c>
    </row>
    <row r="23" spans="1:32" ht="31.5" x14ac:dyDescent="0.35">
      <c r="A23" s="31"/>
      <c r="B23" s="13" t="s">
        <v>394</v>
      </c>
      <c r="C23" s="14">
        <v>0.04</v>
      </c>
      <c r="D23" s="14">
        <v>0.04</v>
      </c>
      <c r="E23" s="14">
        <v>0.02</v>
      </c>
      <c r="F23" s="14">
        <v>0.04</v>
      </c>
      <c r="G23" s="14">
        <v>0.02</v>
      </c>
      <c r="H23" s="14">
        <v>0.03</v>
      </c>
      <c r="I23" s="14">
        <v>0.03</v>
      </c>
      <c r="J23" s="14">
        <v>0.03</v>
      </c>
      <c r="K23" s="14">
        <v>0.02</v>
      </c>
      <c r="L23" s="14">
        <v>0.02</v>
      </c>
      <c r="M23" s="14">
        <v>0.03</v>
      </c>
      <c r="N23" s="14">
        <v>0.04</v>
      </c>
      <c r="O23" s="14">
        <v>0.06</v>
      </c>
      <c r="P23" s="14">
        <v>0.04</v>
      </c>
      <c r="Q23" s="14">
        <v>0.05</v>
      </c>
      <c r="R23" s="14">
        <v>0.02</v>
      </c>
      <c r="S23" s="14">
        <v>0.01</v>
      </c>
      <c r="T23" s="14">
        <v>0.02</v>
      </c>
      <c r="U23" s="14">
        <v>0.03</v>
      </c>
      <c r="V23" s="14">
        <v>0.05</v>
      </c>
      <c r="W23" s="14">
        <v>0.05</v>
      </c>
      <c r="X23" s="14">
        <v>0.02</v>
      </c>
      <c r="Y23" s="14">
        <v>0.06</v>
      </c>
      <c r="Z23" s="14">
        <v>0.04</v>
      </c>
      <c r="AA23" s="14">
        <v>0.05</v>
      </c>
      <c r="AB23" s="14">
        <v>7.0000000000000007E-2</v>
      </c>
      <c r="AC23" s="14">
        <v>0.02</v>
      </c>
      <c r="AD23" s="14">
        <v>0.04</v>
      </c>
      <c r="AE23" s="14">
        <v>0.02</v>
      </c>
      <c r="AF23" s="14">
        <v>0.02</v>
      </c>
    </row>
    <row r="24" spans="1:32" ht="41.5" x14ac:dyDescent="0.35">
      <c r="A24" s="31"/>
      <c r="B24" s="11" t="s">
        <v>395</v>
      </c>
      <c r="C24" s="12">
        <v>2497</v>
      </c>
      <c r="D24" s="12">
        <v>114</v>
      </c>
      <c r="E24" s="12">
        <v>74</v>
      </c>
      <c r="F24" s="12">
        <v>111</v>
      </c>
      <c r="G24" s="12">
        <v>119</v>
      </c>
      <c r="H24" s="12">
        <v>78</v>
      </c>
      <c r="I24" s="12">
        <v>95</v>
      </c>
      <c r="J24" s="12">
        <v>17</v>
      </c>
      <c r="K24" s="12">
        <v>74</v>
      </c>
      <c r="L24" s="12">
        <v>92</v>
      </c>
      <c r="M24" s="12">
        <v>128</v>
      </c>
      <c r="N24" s="12">
        <v>75</v>
      </c>
      <c r="O24" s="12">
        <v>134</v>
      </c>
      <c r="P24" s="12">
        <v>73</v>
      </c>
      <c r="Q24" s="12">
        <v>155</v>
      </c>
      <c r="R24" s="12">
        <v>24</v>
      </c>
      <c r="S24" s="12">
        <v>28</v>
      </c>
      <c r="T24" s="12">
        <v>49</v>
      </c>
      <c r="U24" s="12">
        <v>64</v>
      </c>
      <c r="V24" s="12">
        <v>79</v>
      </c>
      <c r="W24" s="12">
        <v>49</v>
      </c>
      <c r="X24" s="12">
        <v>34</v>
      </c>
      <c r="Y24" s="12">
        <v>103</v>
      </c>
      <c r="Z24" s="12">
        <v>66</v>
      </c>
      <c r="AA24" s="12">
        <v>194</v>
      </c>
      <c r="AB24" s="12">
        <v>89</v>
      </c>
      <c r="AC24" s="12">
        <v>37</v>
      </c>
      <c r="AD24" s="12">
        <v>91</v>
      </c>
      <c r="AE24" s="12">
        <v>45</v>
      </c>
      <c r="AF24" s="12">
        <v>26</v>
      </c>
    </row>
    <row r="25" spans="1:32" ht="31.5" x14ac:dyDescent="0.35">
      <c r="A25" s="31"/>
      <c r="B25" s="13" t="s">
        <v>396</v>
      </c>
      <c r="C25" s="14">
        <v>0.09</v>
      </c>
      <c r="D25" s="14">
        <v>0.11</v>
      </c>
      <c r="E25" s="14">
        <v>7.0000000000000007E-2</v>
      </c>
      <c r="F25" s="14">
        <v>0.11</v>
      </c>
      <c r="G25" s="14">
        <v>0.12</v>
      </c>
      <c r="H25" s="14">
        <v>0.06</v>
      </c>
      <c r="I25" s="14">
        <v>0.06</v>
      </c>
      <c r="J25" s="14">
        <v>0.06</v>
      </c>
      <c r="K25" s="14">
        <v>7.0000000000000007E-2</v>
      </c>
      <c r="L25" s="14">
        <v>0.09</v>
      </c>
      <c r="M25" s="14">
        <v>0.13</v>
      </c>
      <c r="N25" s="14">
        <v>0.08</v>
      </c>
      <c r="O25" s="14">
        <v>0.13</v>
      </c>
      <c r="P25" s="14">
        <v>7.0000000000000007E-2</v>
      </c>
      <c r="Q25" s="14">
        <v>0.15</v>
      </c>
      <c r="R25" s="14">
        <v>0.05</v>
      </c>
      <c r="S25" s="14">
        <v>0.03</v>
      </c>
      <c r="T25" s="14">
        <v>0.05</v>
      </c>
      <c r="U25" s="14">
        <v>0.13</v>
      </c>
      <c r="V25" s="14">
        <v>0.08</v>
      </c>
      <c r="W25" s="14">
        <v>0.1</v>
      </c>
      <c r="X25" s="14">
        <v>0.03</v>
      </c>
      <c r="Y25" s="14">
        <v>0.1</v>
      </c>
      <c r="Z25" s="14">
        <v>0.06</v>
      </c>
      <c r="AA25" s="14">
        <v>0.19</v>
      </c>
      <c r="AB25" s="14">
        <v>0.08</v>
      </c>
      <c r="AC25" s="14">
        <v>0.04</v>
      </c>
      <c r="AD25" s="14">
        <v>0.09</v>
      </c>
      <c r="AE25" s="14">
        <v>0.05</v>
      </c>
      <c r="AF25" s="14">
        <v>0.03</v>
      </c>
    </row>
    <row r="26" spans="1:32" ht="31.5" x14ac:dyDescent="0.35">
      <c r="A26" s="31"/>
      <c r="B26" s="11" t="s">
        <v>397</v>
      </c>
      <c r="C26" s="12">
        <v>1736</v>
      </c>
      <c r="D26" s="12">
        <v>65</v>
      </c>
      <c r="E26" s="12">
        <v>91</v>
      </c>
      <c r="F26" s="12">
        <v>101</v>
      </c>
      <c r="G26" s="12">
        <v>33</v>
      </c>
      <c r="H26" s="12">
        <v>68</v>
      </c>
      <c r="I26" s="12">
        <v>83</v>
      </c>
      <c r="J26" s="12">
        <v>15</v>
      </c>
      <c r="K26" s="12">
        <v>125</v>
      </c>
      <c r="L26" s="12">
        <v>210</v>
      </c>
      <c r="M26" s="12">
        <v>80</v>
      </c>
      <c r="N26" s="12">
        <v>75</v>
      </c>
      <c r="O26" s="12">
        <v>25</v>
      </c>
      <c r="P26" s="12">
        <v>127</v>
      </c>
      <c r="Q26" s="12">
        <v>37</v>
      </c>
      <c r="R26" s="12">
        <v>29</v>
      </c>
      <c r="S26" s="12">
        <v>142</v>
      </c>
      <c r="T26" s="12">
        <v>149</v>
      </c>
      <c r="U26" s="12">
        <v>39</v>
      </c>
      <c r="V26" s="12">
        <v>90</v>
      </c>
      <c r="W26" s="12">
        <v>46</v>
      </c>
      <c r="X26" s="12">
        <v>54</v>
      </c>
      <c r="Y26" s="12">
        <v>71</v>
      </c>
      <c r="Z26" s="12">
        <v>123</v>
      </c>
      <c r="AA26" s="12">
        <v>132</v>
      </c>
      <c r="AB26" s="12">
        <v>113</v>
      </c>
      <c r="AC26" s="12">
        <v>125</v>
      </c>
      <c r="AD26" s="12">
        <v>135</v>
      </c>
      <c r="AE26" s="12">
        <v>26</v>
      </c>
      <c r="AF26" s="12">
        <v>9</v>
      </c>
    </row>
    <row r="27" spans="1:32" ht="31.5" x14ac:dyDescent="0.35">
      <c r="A27" s="31"/>
      <c r="B27" s="13" t="s">
        <v>398</v>
      </c>
      <c r="C27" s="14">
        <v>7.0000000000000007E-2</v>
      </c>
      <c r="D27" s="14">
        <v>0.06</v>
      </c>
      <c r="E27" s="14">
        <v>0.09</v>
      </c>
      <c r="F27" s="14">
        <v>0.1</v>
      </c>
      <c r="G27" s="14">
        <v>0.03</v>
      </c>
      <c r="H27" s="14">
        <v>0.06</v>
      </c>
      <c r="I27" s="14">
        <v>0.05</v>
      </c>
      <c r="J27" s="14">
        <v>0.05</v>
      </c>
      <c r="K27" s="14">
        <v>0.12</v>
      </c>
      <c r="L27" s="14">
        <v>0.21</v>
      </c>
      <c r="M27" s="14">
        <v>0.08</v>
      </c>
      <c r="N27" s="14">
        <v>0.08</v>
      </c>
      <c r="O27" s="14">
        <v>0.03</v>
      </c>
      <c r="P27" s="14">
        <v>0.13</v>
      </c>
      <c r="Q27" s="14">
        <v>0.04</v>
      </c>
      <c r="R27" s="14">
        <v>0.06</v>
      </c>
      <c r="S27" s="14">
        <v>0.14000000000000001</v>
      </c>
      <c r="T27" s="14">
        <v>0.15</v>
      </c>
      <c r="U27" s="14">
        <v>7.0000000000000007E-2</v>
      </c>
      <c r="V27" s="14">
        <v>0.09</v>
      </c>
      <c r="W27" s="14">
        <v>0.09</v>
      </c>
      <c r="X27" s="14">
        <v>0.06</v>
      </c>
      <c r="Y27" s="14">
        <v>7.0000000000000007E-2</v>
      </c>
      <c r="Z27" s="14">
        <v>0.12</v>
      </c>
      <c r="AA27" s="14">
        <v>0.13</v>
      </c>
      <c r="AB27" s="14">
        <v>0.11</v>
      </c>
      <c r="AC27" s="14">
        <v>0.12</v>
      </c>
      <c r="AD27" s="14">
        <v>0.13</v>
      </c>
      <c r="AE27" s="14">
        <v>0.03</v>
      </c>
      <c r="AF27" s="14">
        <v>0.01</v>
      </c>
    </row>
    <row r="28" spans="1:32" ht="31.5" x14ac:dyDescent="0.35">
      <c r="A28" s="31"/>
      <c r="B28" s="11" t="s">
        <v>399</v>
      </c>
      <c r="C28" s="12">
        <v>1023</v>
      </c>
      <c r="D28" s="12">
        <v>55</v>
      </c>
      <c r="E28" s="12">
        <v>46</v>
      </c>
      <c r="F28" s="12">
        <v>43</v>
      </c>
      <c r="G28" s="12">
        <v>23</v>
      </c>
      <c r="H28" s="12">
        <v>41</v>
      </c>
      <c r="I28" s="12">
        <v>54</v>
      </c>
      <c r="J28" s="12">
        <v>13</v>
      </c>
      <c r="K28" s="12">
        <v>23</v>
      </c>
      <c r="L28" s="12">
        <v>13</v>
      </c>
      <c r="M28" s="12">
        <v>21</v>
      </c>
      <c r="N28" s="12">
        <v>22</v>
      </c>
      <c r="O28" s="12">
        <v>53</v>
      </c>
      <c r="P28" s="12">
        <v>35</v>
      </c>
      <c r="Q28" s="12">
        <v>50</v>
      </c>
      <c r="R28" s="12">
        <v>15</v>
      </c>
      <c r="S28" s="12">
        <v>22</v>
      </c>
      <c r="T28" s="12">
        <v>18</v>
      </c>
      <c r="U28" s="12">
        <v>15</v>
      </c>
      <c r="V28" s="12">
        <v>53</v>
      </c>
      <c r="W28" s="12">
        <v>19</v>
      </c>
      <c r="X28" s="12">
        <v>41</v>
      </c>
      <c r="Y28" s="12">
        <v>45</v>
      </c>
      <c r="Z28" s="12">
        <v>45</v>
      </c>
      <c r="AA28" s="12">
        <v>24</v>
      </c>
      <c r="AB28" s="12">
        <v>47</v>
      </c>
      <c r="AC28" s="12">
        <v>19</v>
      </c>
      <c r="AD28" s="12">
        <v>29</v>
      </c>
      <c r="AE28" s="12">
        <v>23</v>
      </c>
      <c r="AF28" s="12">
        <v>15</v>
      </c>
    </row>
    <row r="29" spans="1:32" ht="31.5" x14ac:dyDescent="0.35">
      <c r="A29" s="31"/>
      <c r="B29" s="13" t="s">
        <v>400</v>
      </c>
      <c r="C29" s="14">
        <v>0.04</v>
      </c>
      <c r="D29" s="14">
        <v>0.05</v>
      </c>
      <c r="E29" s="14">
        <v>0.05</v>
      </c>
      <c r="F29" s="14">
        <v>0.04</v>
      </c>
      <c r="G29" s="14">
        <v>0.02</v>
      </c>
      <c r="H29" s="14">
        <v>0.03</v>
      </c>
      <c r="I29" s="14">
        <v>0.04</v>
      </c>
      <c r="J29" s="14">
        <v>0.04</v>
      </c>
      <c r="K29" s="14">
        <v>0.02</v>
      </c>
      <c r="L29" s="14">
        <v>0.01</v>
      </c>
      <c r="M29" s="14">
        <v>0.02</v>
      </c>
      <c r="N29" s="14">
        <v>0.02</v>
      </c>
      <c r="O29" s="14">
        <v>0.05</v>
      </c>
      <c r="P29" s="14">
        <v>0.03</v>
      </c>
      <c r="Q29" s="14">
        <v>0.05</v>
      </c>
      <c r="R29" s="14">
        <v>0.03</v>
      </c>
      <c r="S29" s="14">
        <v>0.02</v>
      </c>
      <c r="T29" s="14">
        <v>0.02</v>
      </c>
      <c r="U29" s="14">
        <v>0.03</v>
      </c>
      <c r="V29" s="14">
        <v>0.05</v>
      </c>
      <c r="W29" s="14">
        <v>0.04</v>
      </c>
      <c r="X29" s="14">
        <v>0.04</v>
      </c>
      <c r="Y29" s="14">
        <v>0.04</v>
      </c>
      <c r="Z29" s="14">
        <v>0.04</v>
      </c>
      <c r="AA29" s="14">
        <v>0.02</v>
      </c>
      <c r="AB29" s="14">
        <v>0.05</v>
      </c>
      <c r="AC29" s="14">
        <v>0.02</v>
      </c>
      <c r="AD29" s="14">
        <v>0.03</v>
      </c>
      <c r="AE29" s="14">
        <v>0.02</v>
      </c>
      <c r="AF29" s="14">
        <v>0.01</v>
      </c>
    </row>
    <row r="30" spans="1:32" ht="31.5" x14ac:dyDescent="0.35">
      <c r="A30" s="31"/>
      <c r="B30" s="11" t="s">
        <v>401</v>
      </c>
      <c r="C30" s="12">
        <v>1128</v>
      </c>
      <c r="D30" s="12">
        <v>44</v>
      </c>
      <c r="E30" s="12">
        <v>29</v>
      </c>
      <c r="F30" s="12">
        <v>41</v>
      </c>
      <c r="G30" s="12">
        <v>33</v>
      </c>
      <c r="H30" s="12">
        <v>40</v>
      </c>
      <c r="I30" s="12">
        <v>50</v>
      </c>
      <c r="J30" s="12">
        <v>10</v>
      </c>
      <c r="K30" s="12">
        <v>22</v>
      </c>
      <c r="L30" s="12">
        <v>39</v>
      </c>
      <c r="M30" s="12">
        <v>35</v>
      </c>
      <c r="N30" s="12">
        <v>27</v>
      </c>
      <c r="O30" s="12">
        <v>56</v>
      </c>
      <c r="P30" s="12">
        <v>40</v>
      </c>
      <c r="Q30" s="12">
        <v>63</v>
      </c>
      <c r="R30" s="12">
        <v>19</v>
      </c>
      <c r="S30" s="12">
        <v>16</v>
      </c>
      <c r="T30" s="12">
        <v>8</v>
      </c>
      <c r="U30" s="12">
        <v>14</v>
      </c>
      <c r="V30" s="12">
        <v>71</v>
      </c>
      <c r="W30" s="12">
        <v>11</v>
      </c>
      <c r="X30" s="12">
        <v>52</v>
      </c>
      <c r="Y30" s="12">
        <v>75</v>
      </c>
      <c r="Z30" s="12">
        <v>37</v>
      </c>
      <c r="AA30" s="12">
        <v>20</v>
      </c>
      <c r="AB30" s="12">
        <v>48</v>
      </c>
      <c r="AC30" s="12">
        <v>40</v>
      </c>
      <c r="AD30" s="12">
        <v>29</v>
      </c>
      <c r="AE30" s="12">
        <v>22</v>
      </c>
      <c r="AF30" s="12">
        <v>48</v>
      </c>
    </row>
    <row r="31" spans="1:32" ht="31.5" x14ac:dyDescent="0.35">
      <c r="A31" s="31"/>
      <c r="B31" s="13" t="s">
        <v>402</v>
      </c>
      <c r="C31" s="14">
        <v>0.04</v>
      </c>
      <c r="D31" s="14">
        <v>0.04</v>
      </c>
      <c r="E31" s="14">
        <v>0.03</v>
      </c>
      <c r="F31" s="14">
        <v>0.04</v>
      </c>
      <c r="G31" s="14">
        <v>0.03</v>
      </c>
      <c r="H31" s="14">
        <v>0.03</v>
      </c>
      <c r="I31" s="14">
        <v>0.03</v>
      </c>
      <c r="J31" s="14">
        <v>0.03</v>
      </c>
      <c r="K31" s="14">
        <v>0.02</v>
      </c>
      <c r="L31" s="14">
        <v>0.04</v>
      </c>
      <c r="M31" s="14">
        <v>0.03</v>
      </c>
      <c r="N31" s="14">
        <v>0.03</v>
      </c>
      <c r="O31" s="14">
        <v>0.06</v>
      </c>
      <c r="P31" s="14">
        <v>0.04</v>
      </c>
      <c r="Q31" s="14">
        <v>0.06</v>
      </c>
      <c r="R31" s="14">
        <v>0.04</v>
      </c>
      <c r="S31" s="14">
        <v>0.02</v>
      </c>
      <c r="T31" s="14">
        <v>0.01</v>
      </c>
      <c r="U31" s="14">
        <v>0.03</v>
      </c>
      <c r="V31" s="14">
        <v>7.0000000000000007E-2</v>
      </c>
      <c r="W31" s="14">
        <v>0.02</v>
      </c>
      <c r="X31" s="14">
        <v>0.05</v>
      </c>
      <c r="Y31" s="14">
        <v>0.08</v>
      </c>
      <c r="Z31" s="14">
        <v>0.04</v>
      </c>
      <c r="AA31" s="14">
        <v>0.02</v>
      </c>
      <c r="AB31" s="14">
        <v>0.05</v>
      </c>
      <c r="AC31" s="14">
        <v>0.04</v>
      </c>
      <c r="AD31" s="14">
        <v>0.03</v>
      </c>
      <c r="AE31" s="14">
        <v>0.02</v>
      </c>
      <c r="AF31" s="14">
        <v>0.05</v>
      </c>
    </row>
    <row r="32" spans="1:32" ht="41.5" x14ac:dyDescent="0.35">
      <c r="A32" s="31"/>
      <c r="B32" s="11" t="s">
        <v>403</v>
      </c>
      <c r="C32" s="12">
        <v>2690</v>
      </c>
      <c r="D32" s="12">
        <v>69</v>
      </c>
      <c r="E32" s="12">
        <v>275</v>
      </c>
      <c r="F32" s="12">
        <v>156</v>
      </c>
      <c r="G32" s="12">
        <v>32</v>
      </c>
      <c r="H32" s="12">
        <v>86</v>
      </c>
      <c r="I32" s="12">
        <v>114</v>
      </c>
      <c r="J32" s="12">
        <v>28</v>
      </c>
      <c r="K32" s="12">
        <v>180</v>
      </c>
      <c r="L32" s="12">
        <v>135</v>
      </c>
      <c r="M32" s="12">
        <v>75</v>
      </c>
      <c r="N32" s="12">
        <v>101</v>
      </c>
      <c r="O32" s="12">
        <v>57</v>
      </c>
      <c r="P32" s="12">
        <v>251</v>
      </c>
      <c r="Q32" s="12">
        <v>102</v>
      </c>
      <c r="R32" s="12">
        <v>67</v>
      </c>
      <c r="S32" s="12">
        <v>119</v>
      </c>
      <c r="T32" s="12">
        <v>188</v>
      </c>
      <c r="U32" s="12">
        <v>70</v>
      </c>
      <c r="V32" s="12">
        <v>190</v>
      </c>
      <c r="W32" s="12">
        <v>56</v>
      </c>
      <c r="X32" s="12">
        <v>22</v>
      </c>
      <c r="Y32" s="12">
        <v>85</v>
      </c>
      <c r="Z32" s="12">
        <v>179</v>
      </c>
      <c r="AA32" s="12">
        <v>142</v>
      </c>
      <c r="AB32" s="12">
        <v>203</v>
      </c>
      <c r="AC32" s="12">
        <v>145</v>
      </c>
      <c r="AD32" s="12">
        <v>213</v>
      </c>
      <c r="AE32" s="12">
        <v>74</v>
      </c>
      <c r="AF32" s="12">
        <v>40</v>
      </c>
    </row>
    <row r="33" spans="1:32" ht="31.5" x14ac:dyDescent="0.35">
      <c r="A33" s="31"/>
      <c r="B33" s="13" t="s">
        <v>404</v>
      </c>
      <c r="C33" s="14">
        <v>0.1</v>
      </c>
      <c r="D33" s="14">
        <v>7.0000000000000007E-2</v>
      </c>
      <c r="E33" s="14">
        <v>0.26</v>
      </c>
      <c r="F33" s="14">
        <v>0.15</v>
      </c>
      <c r="G33" s="14">
        <v>0.03</v>
      </c>
      <c r="H33" s="14">
        <v>7.0000000000000007E-2</v>
      </c>
      <c r="I33" s="14">
        <v>7.0000000000000007E-2</v>
      </c>
      <c r="J33" s="14">
        <v>0.09</v>
      </c>
      <c r="K33" s="14">
        <v>0.18</v>
      </c>
      <c r="L33" s="14">
        <v>0.13</v>
      </c>
      <c r="M33" s="14">
        <v>7.0000000000000007E-2</v>
      </c>
      <c r="N33" s="14">
        <v>0.1</v>
      </c>
      <c r="O33" s="14">
        <v>0.06</v>
      </c>
      <c r="P33" s="14">
        <v>0.25</v>
      </c>
      <c r="Q33" s="14">
        <v>0.1</v>
      </c>
      <c r="R33" s="14">
        <v>0.13</v>
      </c>
      <c r="S33" s="14">
        <v>0.12</v>
      </c>
      <c r="T33" s="14">
        <v>0.18</v>
      </c>
      <c r="U33" s="14">
        <v>0.14000000000000001</v>
      </c>
      <c r="V33" s="14">
        <v>0.19</v>
      </c>
      <c r="W33" s="14">
        <v>0.11</v>
      </c>
      <c r="X33" s="14">
        <v>0.02</v>
      </c>
      <c r="Y33" s="14">
        <v>0.09</v>
      </c>
      <c r="Z33" s="14">
        <v>0.18</v>
      </c>
      <c r="AA33" s="14">
        <v>0.14000000000000001</v>
      </c>
      <c r="AB33" s="14">
        <v>0.19</v>
      </c>
      <c r="AC33" s="14">
        <v>0.14000000000000001</v>
      </c>
      <c r="AD33" s="14">
        <v>0.21</v>
      </c>
      <c r="AE33" s="14">
        <v>7.0000000000000007E-2</v>
      </c>
      <c r="AF33" s="14">
        <v>0.04</v>
      </c>
    </row>
    <row r="34" spans="1:32" ht="31.5" x14ac:dyDescent="0.35">
      <c r="A34" s="31"/>
      <c r="B34" s="11" t="s">
        <v>405</v>
      </c>
      <c r="C34" s="12">
        <v>191</v>
      </c>
      <c r="D34" s="12">
        <v>2</v>
      </c>
      <c r="E34" s="12">
        <v>11</v>
      </c>
      <c r="F34" s="12">
        <v>1</v>
      </c>
      <c r="G34" s="12">
        <v>4</v>
      </c>
      <c r="H34" s="12">
        <v>12</v>
      </c>
      <c r="I34" s="12">
        <v>13</v>
      </c>
      <c r="J34" s="12">
        <v>1</v>
      </c>
      <c r="K34" s="12">
        <v>19</v>
      </c>
      <c r="L34" s="12">
        <v>1</v>
      </c>
      <c r="M34" s="12">
        <v>0</v>
      </c>
      <c r="N34" s="12">
        <v>4</v>
      </c>
      <c r="O34" s="12">
        <v>12</v>
      </c>
      <c r="P34" s="12">
        <v>4</v>
      </c>
      <c r="Q34" s="12">
        <v>10</v>
      </c>
      <c r="R34" s="12">
        <v>2</v>
      </c>
      <c r="S34" s="12">
        <v>6</v>
      </c>
      <c r="T34" s="12">
        <v>4</v>
      </c>
      <c r="U34" s="12">
        <v>2</v>
      </c>
      <c r="V34" s="12">
        <v>1</v>
      </c>
      <c r="W34" s="12">
        <v>0</v>
      </c>
      <c r="X34" s="12">
        <v>2</v>
      </c>
      <c r="Y34" s="12">
        <v>34</v>
      </c>
      <c r="Z34" s="12">
        <v>7</v>
      </c>
      <c r="AA34" s="12">
        <v>6</v>
      </c>
      <c r="AB34" s="12">
        <v>3</v>
      </c>
      <c r="AC34" s="12">
        <v>3</v>
      </c>
      <c r="AD34" s="12">
        <v>0</v>
      </c>
      <c r="AE34" s="12">
        <v>1</v>
      </c>
      <c r="AF34" s="12">
        <v>0</v>
      </c>
    </row>
    <row r="35" spans="1:32" ht="21.5" x14ac:dyDescent="0.35">
      <c r="A35" s="31"/>
      <c r="B35" s="13" t="s">
        <v>406</v>
      </c>
      <c r="C35" s="14">
        <v>0.01</v>
      </c>
      <c r="D35" s="15" t="s">
        <v>333</v>
      </c>
      <c r="E35" s="14">
        <v>0.01</v>
      </c>
      <c r="F35" s="15" t="s">
        <v>333</v>
      </c>
      <c r="G35" s="14">
        <v>0.01</v>
      </c>
      <c r="H35" s="14">
        <v>0.01</v>
      </c>
      <c r="I35" s="14">
        <v>0.01</v>
      </c>
      <c r="J35" s="15" t="s">
        <v>333</v>
      </c>
      <c r="K35" s="14">
        <v>0.02</v>
      </c>
      <c r="L35" s="15" t="s">
        <v>333</v>
      </c>
      <c r="M35" s="15" t="s">
        <v>333</v>
      </c>
      <c r="N35" s="15" t="s">
        <v>333</v>
      </c>
      <c r="O35" s="14">
        <v>0.01</v>
      </c>
      <c r="P35" s="15" t="s">
        <v>333</v>
      </c>
      <c r="Q35" s="14">
        <v>0.01</v>
      </c>
      <c r="R35" s="15" t="s">
        <v>333</v>
      </c>
      <c r="S35" s="15" t="s">
        <v>333</v>
      </c>
      <c r="T35" s="15" t="s">
        <v>333</v>
      </c>
      <c r="U35" s="15" t="s">
        <v>333</v>
      </c>
      <c r="V35" s="15" t="s">
        <v>333</v>
      </c>
      <c r="W35" s="15" t="s">
        <v>333</v>
      </c>
      <c r="X35" s="15" t="s">
        <v>333</v>
      </c>
      <c r="Y35" s="14">
        <v>0.03</v>
      </c>
      <c r="Z35" s="14">
        <v>0.01</v>
      </c>
      <c r="AA35" s="14">
        <v>0.01</v>
      </c>
      <c r="AB35" s="15" t="s">
        <v>333</v>
      </c>
      <c r="AC35" s="15" t="s">
        <v>333</v>
      </c>
      <c r="AD35" s="15" t="s">
        <v>333</v>
      </c>
      <c r="AE35" s="15" t="s">
        <v>333</v>
      </c>
      <c r="AF35" s="15" t="s">
        <v>333</v>
      </c>
    </row>
    <row r="36" spans="1:32" x14ac:dyDescent="0.35">
      <c r="A36" s="31"/>
      <c r="B36" s="11" t="s">
        <v>407</v>
      </c>
      <c r="C36" s="12">
        <v>593</v>
      </c>
      <c r="D36" s="12">
        <v>18</v>
      </c>
      <c r="E36" s="12">
        <v>31</v>
      </c>
      <c r="F36" s="12">
        <v>10</v>
      </c>
      <c r="G36" s="12">
        <v>4</v>
      </c>
      <c r="H36" s="12">
        <v>22</v>
      </c>
      <c r="I36" s="12">
        <v>32</v>
      </c>
      <c r="J36" s="12">
        <v>10</v>
      </c>
      <c r="K36" s="12">
        <v>41</v>
      </c>
      <c r="L36" s="12">
        <v>13</v>
      </c>
      <c r="M36" s="12">
        <v>22</v>
      </c>
      <c r="N36" s="12">
        <v>30</v>
      </c>
      <c r="O36" s="12">
        <v>44</v>
      </c>
      <c r="P36" s="12">
        <v>7</v>
      </c>
      <c r="Q36" s="12">
        <v>16</v>
      </c>
      <c r="R36" s="12">
        <v>15</v>
      </c>
      <c r="S36" s="12">
        <v>45</v>
      </c>
      <c r="T36" s="12">
        <v>26</v>
      </c>
      <c r="U36" s="12">
        <v>9</v>
      </c>
      <c r="V36" s="12">
        <v>3</v>
      </c>
      <c r="W36" s="12">
        <v>2</v>
      </c>
      <c r="X36" s="12">
        <v>12</v>
      </c>
      <c r="Y36" s="12">
        <v>22</v>
      </c>
      <c r="Z36" s="12">
        <v>7</v>
      </c>
      <c r="AA36" s="12">
        <v>7</v>
      </c>
      <c r="AB36" s="12">
        <v>43</v>
      </c>
      <c r="AC36" s="12">
        <v>39</v>
      </c>
      <c r="AD36" s="12">
        <v>13</v>
      </c>
      <c r="AE36" s="12">
        <v>19</v>
      </c>
      <c r="AF36" s="12">
        <v>4</v>
      </c>
    </row>
    <row r="37" spans="1:32" x14ac:dyDescent="0.35">
      <c r="A37" s="31"/>
      <c r="B37" s="13" t="s">
        <v>408</v>
      </c>
      <c r="C37" s="14">
        <v>0.02</v>
      </c>
      <c r="D37" s="14">
        <v>0.02</v>
      </c>
      <c r="E37" s="14">
        <v>0.03</v>
      </c>
      <c r="F37" s="14">
        <v>0.01</v>
      </c>
      <c r="G37" s="15" t="s">
        <v>333</v>
      </c>
      <c r="H37" s="14">
        <v>0.02</v>
      </c>
      <c r="I37" s="14">
        <v>0.02</v>
      </c>
      <c r="J37" s="14">
        <v>0.03</v>
      </c>
      <c r="K37" s="14">
        <v>0.04</v>
      </c>
      <c r="L37" s="14">
        <v>0.01</v>
      </c>
      <c r="M37" s="14">
        <v>0.02</v>
      </c>
      <c r="N37" s="14">
        <v>0.03</v>
      </c>
      <c r="O37" s="14">
        <v>0.04</v>
      </c>
      <c r="P37" s="14">
        <v>0.01</v>
      </c>
      <c r="Q37" s="14">
        <v>0.01</v>
      </c>
      <c r="R37" s="14">
        <v>0.03</v>
      </c>
      <c r="S37" s="14">
        <v>0.04</v>
      </c>
      <c r="T37" s="14">
        <v>0.03</v>
      </c>
      <c r="U37" s="14">
        <v>0.02</v>
      </c>
      <c r="V37" s="15" t="s">
        <v>333</v>
      </c>
      <c r="W37" s="15" t="s">
        <v>333</v>
      </c>
      <c r="X37" s="14">
        <v>0.01</v>
      </c>
      <c r="Y37" s="14">
        <v>0.02</v>
      </c>
      <c r="Z37" s="14">
        <v>0.01</v>
      </c>
      <c r="AA37" s="14">
        <v>0.01</v>
      </c>
      <c r="AB37" s="14">
        <v>0.04</v>
      </c>
      <c r="AC37" s="14">
        <v>0.04</v>
      </c>
      <c r="AD37" s="14">
        <v>0.01</v>
      </c>
      <c r="AE37" s="14">
        <v>0.02</v>
      </c>
      <c r="AF37" s="15" t="s">
        <v>333</v>
      </c>
    </row>
    <row r="38" spans="1:32" x14ac:dyDescent="0.35">
      <c r="A38" s="31"/>
      <c r="B38" s="11" t="s">
        <v>344</v>
      </c>
      <c r="C38" s="12">
        <v>1127</v>
      </c>
      <c r="D38" s="12">
        <v>19</v>
      </c>
      <c r="E38" s="12">
        <v>77</v>
      </c>
      <c r="F38" s="12">
        <v>48</v>
      </c>
      <c r="G38" s="12">
        <v>28</v>
      </c>
      <c r="H38" s="12">
        <v>29</v>
      </c>
      <c r="I38" s="12">
        <v>41</v>
      </c>
      <c r="J38" s="12">
        <v>12</v>
      </c>
      <c r="K38" s="12">
        <v>40</v>
      </c>
      <c r="L38" s="12">
        <v>35</v>
      </c>
      <c r="M38" s="12">
        <v>46</v>
      </c>
      <c r="N38" s="12">
        <v>79</v>
      </c>
      <c r="O38" s="12">
        <v>77</v>
      </c>
      <c r="P38" s="12">
        <v>31</v>
      </c>
      <c r="Q38" s="12">
        <v>48</v>
      </c>
      <c r="R38" s="12">
        <v>42</v>
      </c>
      <c r="S38" s="12">
        <v>76</v>
      </c>
      <c r="T38" s="12">
        <v>51</v>
      </c>
      <c r="U38" s="12">
        <v>11</v>
      </c>
      <c r="V38" s="12">
        <v>32</v>
      </c>
      <c r="W38" s="12">
        <v>7</v>
      </c>
      <c r="X38" s="12">
        <v>12</v>
      </c>
      <c r="Y38" s="12">
        <v>37</v>
      </c>
      <c r="Z38" s="12">
        <v>12</v>
      </c>
      <c r="AA38" s="12">
        <v>27</v>
      </c>
      <c r="AB38" s="12">
        <v>27</v>
      </c>
      <c r="AC38" s="12">
        <v>30</v>
      </c>
      <c r="AD38" s="12">
        <v>27</v>
      </c>
      <c r="AE38" s="12">
        <v>33</v>
      </c>
      <c r="AF38" s="12">
        <v>9</v>
      </c>
    </row>
    <row r="39" spans="1:32" x14ac:dyDescent="0.35">
      <c r="A39" s="31"/>
      <c r="B39" s="13" t="s">
        <v>345</v>
      </c>
      <c r="C39" s="14">
        <v>0.04</v>
      </c>
      <c r="D39" s="14">
        <v>0.02</v>
      </c>
      <c r="E39" s="14">
        <v>7.0000000000000007E-2</v>
      </c>
      <c r="F39" s="14">
        <v>0.05</v>
      </c>
      <c r="G39" s="14">
        <v>0.03</v>
      </c>
      <c r="H39" s="14">
        <v>0.02</v>
      </c>
      <c r="I39" s="14">
        <v>0.03</v>
      </c>
      <c r="J39" s="14">
        <v>0.04</v>
      </c>
      <c r="K39" s="14">
        <v>0.04</v>
      </c>
      <c r="L39" s="14">
        <v>0.04</v>
      </c>
      <c r="M39" s="14">
        <v>0.05</v>
      </c>
      <c r="N39" s="14">
        <v>0.08</v>
      </c>
      <c r="O39" s="14">
        <v>0.08</v>
      </c>
      <c r="P39" s="14">
        <v>0.03</v>
      </c>
      <c r="Q39" s="14">
        <v>0.05</v>
      </c>
      <c r="R39" s="14">
        <v>0.09</v>
      </c>
      <c r="S39" s="14">
        <v>7.0000000000000007E-2</v>
      </c>
      <c r="T39" s="14">
        <v>0.05</v>
      </c>
      <c r="U39" s="14">
        <v>0.02</v>
      </c>
      <c r="V39" s="14">
        <v>0.03</v>
      </c>
      <c r="W39" s="14">
        <v>0.02</v>
      </c>
      <c r="X39" s="14">
        <v>0.01</v>
      </c>
      <c r="Y39" s="14">
        <v>0.04</v>
      </c>
      <c r="Z39" s="14">
        <v>0.01</v>
      </c>
      <c r="AA39" s="14">
        <v>0.03</v>
      </c>
      <c r="AB39" s="14">
        <v>0.03</v>
      </c>
      <c r="AC39" s="14">
        <v>0.03</v>
      </c>
      <c r="AD39" s="14">
        <v>0.03</v>
      </c>
      <c r="AE39" s="14">
        <v>0.03</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25</v>
      </c>
      <c r="C3" s="30"/>
      <c r="D3" s="30"/>
      <c r="E3" s="30"/>
      <c r="F3" s="30"/>
      <c r="H3" s="30" t="s">
        <v>26</v>
      </c>
      <c r="I3" s="30"/>
      <c r="J3" s="30"/>
      <c r="K3" s="30"/>
      <c r="L3" s="30"/>
    </row>
    <row r="4" spans="1:32" ht="27" customHeight="1" x14ac:dyDescent="0.35">
      <c r="B4" s="30"/>
      <c r="C4" s="30"/>
      <c r="D4" s="30"/>
      <c r="E4" s="30"/>
      <c r="F4" s="30"/>
      <c r="H4" s="30"/>
      <c r="I4" s="30"/>
      <c r="J4" s="30"/>
      <c r="K4" s="30"/>
      <c r="L4" s="30"/>
    </row>
    <row r="5" spans="1:32" ht="12" customHeight="1" x14ac:dyDescent="0.35">
      <c r="B5" s="30" t="s">
        <v>409</v>
      </c>
      <c r="C5" s="30"/>
      <c r="D5" s="30"/>
      <c r="E5" s="30"/>
      <c r="F5" s="30"/>
      <c r="H5" s="30" t="s">
        <v>410</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25283</v>
      </c>
      <c r="D10" s="10">
        <v>1006</v>
      </c>
      <c r="E10" s="10">
        <v>962</v>
      </c>
      <c r="F10" s="10">
        <v>970</v>
      </c>
      <c r="G10" s="10">
        <v>989</v>
      </c>
      <c r="H10" s="10">
        <v>1204</v>
      </c>
      <c r="I10" s="10">
        <v>1489</v>
      </c>
      <c r="J10" s="10">
        <v>285</v>
      </c>
      <c r="K10" s="10">
        <v>969</v>
      </c>
      <c r="L10" s="10">
        <v>969</v>
      </c>
      <c r="M10" s="10">
        <v>958</v>
      </c>
      <c r="N10" s="10">
        <v>921</v>
      </c>
      <c r="O10" s="10">
        <v>923</v>
      </c>
      <c r="P10" s="10">
        <v>973</v>
      </c>
      <c r="Q10" s="10">
        <v>987</v>
      </c>
      <c r="R10" s="10">
        <v>459</v>
      </c>
      <c r="S10" s="10">
        <v>945</v>
      </c>
      <c r="T10" s="10">
        <v>966</v>
      </c>
      <c r="U10" s="10">
        <v>498</v>
      </c>
      <c r="V10" s="10">
        <v>982</v>
      </c>
      <c r="W10" s="10">
        <v>494</v>
      </c>
      <c r="X10" s="10">
        <v>998</v>
      </c>
      <c r="Y10" s="10">
        <v>966</v>
      </c>
      <c r="Z10" s="10">
        <v>1007</v>
      </c>
      <c r="AA10" s="10">
        <v>1003</v>
      </c>
      <c r="AB10" s="10">
        <v>1029</v>
      </c>
      <c r="AC10" s="10">
        <v>983</v>
      </c>
      <c r="AD10" s="10">
        <v>977</v>
      </c>
      <c r="AE10" s="10">
        <v>974</v>
      </c>
      <c r="AF10" s="10">
        <v>1011</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383</v>
      </c>
      <c r="C12" s="12">
        <v>2649</v>
      </c>
      <c r="D12" s="12">
        <v>121</v>
      </c>
      <c r="E12" s="12">
        <v>131</v>
      </c>
      <c r="F12" s="12">
        <v>126</v>
      </c>
      <c r="G12" s="12">
        <v>44</v>
      </c>
      <c r="H12" s="12">
        <v>134</v>
      </c>
      <c r="I12" s="12">
        <v>165</v>
      </c>
      <c r="J12" s="12">
        <v>31</v>
      </c>
      <c r="K12" s="12">
        <v>71</v>
      </c>
      <c r="L12" s="12">
        <v>75</v>
      </c>
      <c r="M12" s="12">
        <v>129</v>
      </c>
      <c r="N12" s="12">
        <v>89</v>
      </c>
      <c r="O12" s="12">
        <v>71</v>
      </c>
      <c r="P12" s="12">
        <v>125</v>
      </c>
      <c r="Q12" s="12">
        <v>107</v>
      </c>
      <c r="R12" s="12">
        <v>73</v>
      </c>
      <c r="S12" s="12">
        <v>63</v>
      </c>
      <c r="T12" s="12">
        <v>116</v>
      </c>
      <c r="U12" s="12">
        <v>44</v>
      </c>
      <c r="V12" s="12">
        <v>112</v>
      </c>
      <c r="W12" s="12">
        <v>44</v>
      </c>
      <c r="X12" s="12">
        <v>80</v>
      </c>
      <c r="Y12" s="12">
        <v>116</v>
      </c>
      <c r="Z12" s="12">
        <v>128</v>
      </c>
      <c r="AA12" s="12">
        <v>154</v>
      </c>
      <c r="AB12" s="12">
        <v>129</v>
      </c>
      <c r="AC12" s="12">
        <v>92</v>
      </c>
      <c r="AD12" s="12">
        <v>127</v>
      </c>
      <c r="AE12" s="12">
        <v>71</v>
      </c>
      <c r="AF12" s="12">
        <v>54</v>
      </c>
    </row>
    <row r="13" spans="1:32" ht="31.5" x14ac:dyDescent="0.35">
      <c r="A13" s="31"/>
      <c r="B13" s="13" t="s">
        <v>384</v>
      </c>
      <c r="C13" s="14">
        <v>0.11</v>
      </c>
      <c r="D13" s="14">
        <v>0.13</v>
      </c>
      <c r="E13" s="14">
        <v>0.14000000000000001</v>
      </c>
      <c r="F13" s="14">
        <v>0.14000000000000001</v>
      </c>
      <c r="G13" s="14">
        <v>0.05</v>
      </c>
      <c r="H13" s="14">
        <v>0.12</v>
      </c>
      <c r="I13" s="14">
        <v>0.12</v>
      </c>
      <c r="J13" s="14">
        <v>0.12</v>
      </c>
      <c r="K13" s="14">
        <v>0.08</v>
      </c>
      <c r="L13" s="14">
        <v>0.08</v>
      </c>
      <c r="M13" s="14">
        <v>0.14000000000000001</v>
      </c>
      <c r="N13" s="14">
        <v>0.1</v>
      </c>
      <c r="O13" s="14">
        <v>0.08</v>
      </c>
      <c r="P13" s="14">
        <v>0.14000000000000001</v>
      </c>
      <c r="Q13" s="14">
        <v>0.11</v>
      </c>
      <c r="R13" s="14">
        <v>0.17</v>
      </c>
      <c r="S13" s="14">
        <v>7.0000000000000007E-2</v>
      </c>
      <c r="T13" s="14">
        <v>0.12</v>
      </c>
      <c r="U13" s="14">
        <v>0.09</v>
      </c>
      <c r="V13" s="14">
        <v>0.12</v>
      </c>
      <c r="W13" s="14">
        <v>0.09</v>
      </c>
      <c r="X13" s="14">
        <v>0.08</v>
      </c>
      <c r="Y13" s="14">
        <v>0.13</v>
      </c>
      <c r="Z13" s="14">
        <v>0.14000000000000001</v>
      </c>
      <c r="AA13" s="14">
        <v>0.16</v>
      </c>
      <c r="AB13" s="14">
        <v>0.14000000000000001</v>
      </c>
      <c r="AC13" s="14">
        <v>0.1</v>
      </c>
      <c r="AD13" s="14">
        <v>0.14000000000000001</v>
      </c>
      <c r="AE13" s="14">
        <v>0.08</v>
      </c>
      <c r="AF13" s="14">
        <v>0.05</v>
      </c>
    </row>
    <row r="14" spans="1:32" ht="31.5" x14ac:dyDescent="0.35">
      <c r="A14" s="31"/>
      <c r="B14" s="11" t="s">
        <v>385</v>
      </c>
      <c r="C14" s="12">
        <v>5464</v>
      </c>
      <c r="D14" s="12">
        <v>201</v>
      </c>
      <c r="E14" s="12">
        <v>193</v>
      </c>
      <c r="F14" s="12">
        <v>212</v>
      </c>
      <c r="G14" s="12">
        <v>283</v>
      </c>
      <c r="H14" s="12">
        <v>290</v>
      </c>
      <c r="I14" s="12">
        <v>352</v>
      </c>
      <c r="J14" s="12">
        <v>62</v>
      </c>
      <c r="K14" s="12">
        <v>220</v>
      </c>
      <c r="L14" s="12">
        <v>117</v>
      </c>
      <c r="M14" s="12">
        <v>239</v>
      </c>
      <c r="N14" s="12">
        <v>171</v>
      </c>
      <c r="O14" s="12">
        <v>205</v>
      </c>
      <c r="P14" s="12">
        <v>224</v>
      </c>
      <c r="Q14" s="12">
        <v>213</v>
      </c>
      <c r="R14" s="12">
        <v>102</v>
      </c>
      <c r="S14" s="12">
        <v>168</v>
      </c>
      <c r="T14" s="12">
        <v>271</v>
      </c>
      <c r="U14" s="12">
        <v>85</v>
      </c>
      <c r="V14" s="12">
        <v>150</v>
      </c>
      <c r="W14" s="12">
        <v>72</v>
      </c>
      <c r="X14" s="12">
        <v>285</v>
      </c>
      <c r="Y14" s="12">
        <v>198</v>
      </c>
      <c r="Z14" s="12">
        <v>200</v>
      </c>
      <c r="AA14" s="12">
        <v>180</v>
      </c>
      <c r="AB14" s="12">
        <v>168</v>
      </c>
      <c r="AC14" s="12">
        <v>165</v>
      </c>
      <c r="AD14" s="12">
        <v>169</v>
      </c>
      <c r="AE14" s="12">
        <v>240</v>
      </c>
      <c r="AF14" s="12">
        <v>310</v>
      </c>
    </row>
    <row r="15" spans="1:32" ht="31.5" x14ac:dyDescent="0.35">
      <c r="A15" s="31"/>
      <c r="B15" s="13" t="s">
        <v>386</v>
      </c>
      <c r="C15" s="14">
        <v>0.26</v>
      </c>
      <c r="D15" s="14">
        <v>0.24</v>
      </c>
      <c r="E15" s="14">
        <v>0.22</v>
      </c>
      <c r="F15" s="14">
        <v>0.27</v>
      </c>
      <c r="G15" s="14">
        <v>0.35</v>
      </c>
      <c r="H15" s="14">
        <v>0.3</v>
      </c>
      <c r="I15" s="14">
        <v>0.3</v>
      </c>
      <c r="J15" s="14">
        <v>0.26</v>
      </c>
      <c r="K15" s="14">
        <v>0.27</v>
      </c>
      <c r="L15" s="14">
        <v>0.13</v>
      </c>
      <c r="M15" s="14">
        <v>0.32</v>
      </c>
      <c r="N15" s="14">
        <v>0.21</v>
      </c>
      <c r="O15" s="14">
        <v>0.28000000000000003</v>
      </c>
      <c r="P15" s="14">
        <v>0.25</v>
      </c>
      <c r="Q15" s="14">
        <v>0.26</v>
      </c>
      <c r="R15" s="14">
        <v>0.28000000000000003</v>
      </c>
      <c r="S15" s="14">
        <v>0.24</v>
      </c>
      <c r="T15" s="14">
        <v>0.34</v>
      </c>
      <c r="U15" s="14">
        <v>0.2</v>
      </c>
      <c r="V15" s="14">
        <v>0.17</v>
      </c>
      <c r="W15" s="14">
        <v>0.16</v>
      </c>
      <c r="X15" s="14">
        <v>0.37</v>
      </c>
      <c r="Y15" s="14">
        <v>0.24</v>
      </c>
      <c r="Z15" s="14">
        <v>0.23</v>
      </c>
      <c r="AA15" s="14">
        <v>0.2</v>
      </c>
      <c r="AB15" s="14">
        <v>0.18</v>
      </c>
      <c r="AC15" s="14">
        <v>0.2</v>
      </c>
      <c r="AD15" s="14">
        <v>0.19</v>
      </c>
      <c r="AE15" s="14">
        <v>0.31</v>
      </c>
      <c r="AF15" s="14">
        <v>0.4</v>
      </c>
    </row>
    <row r="16" spans="1:32" ht="41.5" x14ac:dyDescent="0.35">
      <c r="A16" s="31"/>
      <c r="B16" s="11" t="s">
        <v>387</v>
      </c>
      <c r="C16" s="12">
        <v>4485</v>
      </c>
      <c r="D16" s="12">
        <v>183</v>
      </c>
      <c r="E16" s="12">
        <v>150</v>
      </c>
      <c r="F16" s="12">
        <v>136</v>
      </c>
      <c r="G16" s="12">
        <v>199</v>
      </c>
      <c r="H16" s="12">
        <v>227</v>
      </c>
      <c r="I16" s="12">
        <v>273</v>
      </c>
      <c r="J16" s="12">
        <v>47</v>
      </c>
      <c r="K16" s="12">
        <v>174</v>
      </c>
      <c r="L16" s="12">
        <v>277</v>
      </c>
      <c r="M16" s="12">
        <v>155</v>
      </c>
      <c r="N16" s="12">
        <v>162</v>
      </c>
      <c r="O16" s="12">
        <v>115</v>
      </c>
      <c r="P16" s="12">
        <v>193</v>
      </c>
      <c r="Q16" s="12">
        <v>182</v>
      </c>
      <c r="R16" s="12">
        <v>91</v>
      </c>
      <c r="S16" s="12">
        <v>181</v>
      </c>
      <c r="T16" s="12">
        <v>249</v>
      </c>
      <c r="U16" s="12">
        <v>121</v>
      </c>
      <c r="V16" s="12">
        <v>215</v>
      </c>
      <c r="W16" s="12">
        <v>119</v>
      </c>
      <c r="X16" s="12">
        <v>251</v>
      </c>
      <c r="Y16" s="12">
        <v>243</v>
      </c>
      <c r="Z16" s="12">
        <v>156</v>
      </c>
      <c r="AA16" s="12">
        <v>229</v>
      </c>
      <c r="AB16" s="12">
        <v>160</v>
      </c>
      <c r="AC16" s="12">
        <v>253</v>
      </c>
      <c r="AD16" s="12">
        <v>201</v>
      </c>
      <c r="AE16" s="12">
        <v>143</v>
      </c>
      <c r="AF16" s="12">
        <v>191</v>
      </c>
    </row>
    <row r="17" spans="1:32" ht="31.5" x14ac:dyDescent="0.35">
      <c r="A17" s="31"/>
      <c r="B17" s="13" t="s">
        <v>388</v>
      </c>
      <c r="C17" s="14">
        <v>0.2</v>
      </c>
      <c r="D17" s="14">
        <v>0.21</v>
      </c>
      <c r="E17" s="14">
        <v>0.17</v>
      </c>
      <c r="F17" s="14">
        <v>0.15</v>
      </c>
      <c r="G17" s="14">
        <v>0.24</v>
      </c>
      <c r="H17" s="14">
        <v>0.22</v>
      </c>
      <c r="I17" s="14">
        <v>0.21</v>
      </c>
      <c r="J17" s="14">
        <v>0.18</v>
      </c>
      <c r="K17" s="14">
        <v>0.2</v>
      </c>
      <c r="L17" s="14">
        <v>0.39</v>
      </c>
      <c r="M17" s="14">
        <v>0.18</v>
      </c>
      <c r="N17" s="14">
        <v>0.23</v>
      </c>
      <c r="O17" s="14">
        <v>0.13</v>
      </c>
      <c r="P17" s="14">
        <v>0.23</v>
      </c>
      <c r="Q17" s="14">
        <v>0.2</v>
      </c>
      <c r="R17" s="14">
        <v>0.24</v>
      </c>
      <c r="S17" s="14">
        <v>0.22</v>
      </c>
      <c r="T17" s="14">
        <v>0.33</v>
      </c>
      <c r="U17" s="14">
        <v>0.28999999999999998</v>
      </c>
      <c r="V17" s="14">
        <v>0.25</v>
      </c>
      <c r="W17" s="14">
        <v>0.34</v>
      </c>
      <c r="X17" s="14">
        <v>0.31</v>
      </c>
      <c r="Y17" s="14">
        <v>0.28999999999999998</v>
      </c>
      <c r="Z17" s="14">
        <v>0.18</v>
      </c>
      <c r="AA17" s="14">
        <v>0.27</v>
      </c>
      <c r="AB17" s="14">
        <v>0.17</v>
      </c>
      <c r="AC17" s="14">
        <v>0.32</v>
      </c>
      <c r="AD17" s="14">
        <v>0.23</v>
      </c>
      <c r="AE17" s="14">
        <v>0.16</v>
      </c>
      <c r="AF17" s="14">
        <v>0.22</v>
      </c>
    </row>
    <row r="18" spans="1:32" ht="51.5" x14ac:dyDescent="0.35">
      <c r="A18" s="31"/>
      <c r="B18" s="11" t="s">
        <v>389</v>
      </c>
      <c r="C18" s="12">
        <v>5316</v>
      </c>
      <c r="D18" s="12">
        <v>227</v>
      </c>
      <c r="E18" s="12">
        <v>190</v>
      </c>
      <c r="F18" s="12">
        <v>181</v>
      </c>
      <c r="G18" s="12">
        <v>303</v>
      </c>
      <c r="H18" s="12">
        <v>304</v>
      </c>
      <c r="I18" s="12">
        <v>363</v>
      </c>
      <c r="J18" s="12">
        <v>59</v>
      </c>
      <c r="K18" s="12">
        <v>204</v>
      </c>
      <c r="L18" s="12">
        <v>134</v>
      </c>
      <c r="M18" s="12">
        <v>211</v>
      </c>
      <c r="N18" s="12">
        <v>162</v>
      </c>
      <c r="O18" s="12">
        <v>204</v>
      </c>
      <c r="P18" s="12">
        <v>155</v>
      </c>
      <c r="Q18" s="12">
        <v>210</v>
      </c>
      <c r="R18" s="12">
        <v>92</v>
      </c>
      <c r="S18" s="12">
        <v>173</v>
      </c>
      <c r="T18" s="12">
        <v>150</v>
      </c>
      <c r="U18" s="12">
        <v>114</v>
      </c>
      <c r="V18" s="12">
        <v>178</v>
      </c>
      <c r="W18" s="12">
        <v>86</v>
      </c>
      <c r="X18" s="12">
        <v>295</v>
      </c>
      <c r="Y18" s="12">
        <v>172</v>
      </c>
      <c r="Z18" s="12">
        <v>139</v>
      </c>
      <c r="AA18" s="12">
        <v>159</v>
      </c>
      <c r="AB18" s="12">
        <v>159</v>
      </c>
      <c r="AC18" s="12">
        <v>200</v>
      </c>
      <c r="AD18" s="12">
        <v>219</v>
      </c>
      <c r="AE18" s="12">
        <v>242</v>
      </c>
      <c r="AF18" s="12">
        <v>326</v>
      </c>
    </row>
    <row r="19" spans="1:32" ht="51.5" x14ac:dyDescent="0.35">
      <c r="A19" s="31"/>
      <c r="B19" s="13" t="s">
        <v>390</v>
      </c>
      <c r="C19" s="14">
        <v>0.25</v>
      </c>
      <c r="D19" s="14">
        <v>0.27</v>
      </c>
      <c r="E19" s="14">
        <v>0.22</v>
      </c>
      <c r="F19" s="14">
        <v>0.21</v>
      </c>
      <c r="G19" s="14">
        <v>0.44</v>
      </c>
      <c r="H19" s="14">
        <v>0.33</v>
      </c>
      <c r="I19" s="14">
        <v>0.32</v>
      </c>
      <c r="J19" s="14">
        <v>0.26</v>
      </c>
      <c r="K19" s="14">
        <v>0.24</v>
      </c>
      <c r="L19" s="14">
        <v>0.15</v>
      </c>
      <c r="M19" s="14">
        <v>0.26</v>
      </c>
      <c r="N19" s="14">
        <v>0.2</v>
      </c>
      <c r="O19" s="14">
        <v>0.27</v>
      </c>
      <c r="P19" s="14">
        <v>0.17</v>
      </c>
      <c r="Q19" s="14">
        <v>0.25</v>
      </c>
      <c r="R19" s="14">
        <v>0.23</v>
      </c>
      <c r="S19" s="14">
        <v>0.21</v>
      </c>
      <c r="T19" s="14">
        <v>0.17</v>
      </c>
      <c r="U19" s="14">
        <v>0.26</v>
      </c>
      <c r="V19" s="14">
        <v>0.2</v>
      </c>
      <c r="W19" s="14">
        <v>0.2</v>
      </c>
      <c r="X19" s="14">
        <v>0.41</v>
      </c>
      <c r="Y19" s="14">
        <v>0.2</v>
      </c>
      <c r="Z19" s="14">
        <v>0.15</v>
      </c>
      <c r="AA19" s="14">
        <v>0.17</v>
      </c>
      <c r="AB19" s="14">
        <v>0.17</v>
      </c>
      <c r="AC19" s="14">
        <v>0.24</v>
      </c>
      <c r="AD19" s="14">
        <v>0.25</v>
      </c>
      <c r="AE19" s="14">
        <v>0.39</v>
      </c>
      <c r="AF19" s="14">
        <v>0.54</v>
      </c>
    </row>
    <row r="20" spans="1:32" ht="51.5" x14ac:dyDescent="0.35">
      <c r="A20" s="31"/>
      <c r="B20" s="11" t="s">
        <v>391</v>
      </c>
      <c r="C20" s="12">
        <v>3525</v>
      </c>
      <c r="D20" s="12">
        <v>145</v>
      </c>
      <c r="E20" s="12">
        <v>89</v>
      </c>
      <c r="F20" s="12">
        <v>91</v>
      </c>
      <c r="G20" s="12">
        <v>130</v>
      </c>
      <c r="H20" s="12">
        <v>193</v>
      </c>
      <c r="I20" s="12">
        <v>235</v>
      </c>
      <c r="J20" s="12">
        <v>42</v>
      </c>
      <c r="K20" s="12">
        <v>100</v>
      </c>
      <c r="L20" s="12">
        <v>79</v>
      </c>
      <c r="M20" s="12">
        <v>183</v>
      </c>
      <c r="N20" s="12">
        <v>123</v>
      </c>
      <c r="O20" s="12">
        <v>117</v>
      </c>
      <c r="P20" s="12">
        <v>93</v>
      </c>
      <c r="Q20" s="12">
        <v>180</v>
      </c>
      <c r="R20" s="12">
        <v>33</v>
      </c>
      <c r="S20" s="12">
        <v>93</v>
      </c>
      <c r="T20" s="12">
        <v>72</v>
      </c>
      <c r="U20" s="12">
        <v>51</v>
      </c>
      <c r="V20" s="12">
        <v>119</v>
      </c>
      <c r="W20" s="12">
        <v>57</v>
      </c>
      <c r="X20" s="12">
        <v>172</v>
      </c>
      <c r="Y20" s="12">
        <v>130</v>
      </c>
      <c r="Z20" s="12">
        <v>111</v>
      </c>
      <c r="AA20" s="12">
        <v>79</v>
      </c>
      <c r="AB20" s="12">
        <v>112</v>
      </c>
      <c r="AC20" s="12">
        <v>99</v>
      </c>
      <c r="AD20" s="12">
        <v>98</v>
      </c>
      <c r="AE20" s="12">
        <v>204</v>
      </c>
      <c r="AF20" s="12">
        <v>138</v>
      </c>
    </row>
    <row r="21" spans="1:32" ht="41.5" x14ac:dyDescent="0.35">
      <c r="A21" s="31"/>
      <c r="B21" s="13" t="s">
        <v>392</v>
      </c>
      <c r="C21" s="14">
        <v>0.15</v>
      </c>
      <c r="D21" s="14">
        <v>0.16</v>
      </c>
      <c r="E21" s="14">
        <v>0.1</v>
      </c>
      <c r="F21" s="14">
        <v>0.1</v>
      </c>
      <c r="G21" s="14">
        <v>0.14000000000000001</v>
      </c>
      <c r="H21" s="14">
        <v>0.17</v>
      </c>
      <c r="I21" s="14">
        <v>0.17</v>
      </c>
      <c r="J21" s="14">
        <v>0.16</v>
      </c>
      <c r="K21" s="14">
        <v>0.11</v>
      </c>
      <c r="L21" s="14">
        <v>0.08</v>
      </c>
      <c r="M21" s="14">
        <v>0.2</v>
      </c>
      <c r="N21" s="14">
        <v>0.14000000000000001</v>
      </c>
      <c r="O21" s="14">
        <v>0.13</v>
      </c>
      <c r="P21" s="14">
        <v>0.1</v>
      </c>
      <c r="Q21" s="14">
        <v>0.2</v>
      </c>
      <c r="R21" s="14">
        <v>0.08</v>
      </c>
      <c r="S21" s="14">
        <v>0.1</v>
      </c>
      <c r="T21" s="14">
        <v>0.08</v>
      </c>
      <c r="U21" s="14">
        <v>0.11</v>
      </c>
      <c r="V21" s="14">
        <v>0.13</v>
      </c>
      <c r="W21" s="14">
        <v>0.12</v>
      </c>
      <c r="X21" s="14">
        <v>0.18</v>
      </c>
      <c r="Y21" s="14">
        <v>0.14000000000000001</v>
      </c>
      <c r="Z21" s="14">
        <v>0.12</v>
      </c>
      <c r="AA21" s="14">
        <v>0.08</v>
      </c>
      <c r="AB21" s="14">
        <v>0.12</v>
      </c>
      <c r="AC21" s="14">
        <v>0.11</v>
      </c>
      <c r="AD21" s="14">
        <v>0.1</v>
      </c>
      <c r="AE21" s="14">
        <v>0.23</v>
      </c>
      <c r="AF21" s="14">
        <v>0.14000000000000001</v>
      </c>
    </row>
    <row r="22" spans="1:32" ht="41.5" x14ac:dyDescent="0.35">
      <c r="A22" s="31"/>
      <c r="B22" s="11" t="s">
        <v>393</v>
      </c>
      <c r="C22" s="12">
        <v>2244</v>
      </c>
      <c r="D22" s="12">
        <v>81</v>
      </c>
      <c r="E22" s="12">
        <v>88</v>
      </c>
      <c r="F22" s="12">
        <v>65</v>
      </c>
      <c r="G22" s="12">
        <v>61</v>
      </c>
      <c r="H22" s="12">
        <v>71</v>
      </c>
      <c r="I22" s="12">
        <v>87</v>
      </c>
      <c r="J22" s="12">
        <v>16</v>
      </c>
      <c r="K22" s="12">
        <v>63</v>
      </c>
      <c r="L22" s="12">
        <v>62</v>
      </c>
      <c r="M22" s="12">
        <v>97</v>
      </c>
      <c r="N22" s="12">
        <v>76</v>
      </c>
      <c r="O22" s="12">
        <v>104</v>
      </c>
      <c r="P22" s="12">
        <v>114</v>
      </c>
      <c r="Q22" s="12">
        <v>116</v>
      </c>
      <c r="R22" s="12">
        <v>25</v>
      </c>
      <c r="S22" s="12">
        <v>35</v>
      </c>
      <c r="T22" s="12">
        <v>48</v>
      </c>
      <c r="U22" s="12">
        <v>44</v>
      </c>
      <c r="V22" s="12">
        <v>116</v>
      </c>
      <c r="W22" s="12">
        <v>61</v>
      </c>
      <c r="X22" s="12">
        <v>49</v>
      </c>
      <c r="Y22" s="12">
        <v>131</v>
      </c>
      <c r="Z22" s="12">
        <v>102</v>
      </c>
      <c r="AA22" s="12">
        <v>98</v>
      </c>
      <c r="AB22" s="12">
        <v>110</v>
      </c>
      <c r="AC22" s="12">
        <v>45</v>
      </c>
      <c r="AD22" s="12">
        <v>86</v>
      </c>
      <c r="AE22" s="12">
        <v>42</v>
      </c>
      <c r="AF22" s="12">
        <v>59</v>
      </c>
    </row>
    <row r="23" spans="1:32" ht="31.5" x14ac:dyDescent="0.35">
      <c r="A23" s="31"/>
      <c r="B23" s="13" t="s">
        <v>394</v>
      </c>
      <c r="C23" s="14">
        <v>0.09</v>
      </c>
      <c r="D23" s="14">
        <v>0.08</v>
      </c>
      <c r="E23" s="14">
        <v>0.09</v>
      </c>
      <c r="F23" s="14">
        <v>7.0000000000000007E-2</v>
      </c>
      <c r="G23" s="14">
        <v>0.06</v>
      </c>
      <c r="H23" s="14">
        <v>0.06</v>
      </c>
      <c r="I23" s="14">
        <v>0.06</v>
      </c>
      <c r="J23" s="14">
        <v>0.06</v>
      </c>
      <c r="K23" s="14">
        <v>7.0000000000000007E-2</v>
      </c>
      <c r="L23" s="14">
        <v>7.0000000000000007E-2</v>
      </c>
      <c r="M23" s="14">
        <v>0.1</v>
      </c>
      <c r="N23" s="14">
        <v>0.09</v>
      </c>
      <c r="O23" s="14">
        <v>0.12</v>
      </c>
      <c r="P23" s="14">
        <v>0.12</v>
      </c>
      <c r="Q23" s="14">
        <v>0.12</v>
      </c>
      <c r="R23" s="14">
        <v>0.06</v>
      </c>
      <c r="S23" s="14">
        <v>0.04</v>
      </c>
      <c r="T23" s="14">
        <v>0.05</v>
      </c>
      <c r="U23" s="14">
        <v>0.09</v>
      </c>
      <c r="V23" s="14">
        <v>0.12</v>
      </c>
      <c r="W23" s="14">
        <v>0.13</v>
      </c>
      <c r="X23" s="14">
        <v>0.05</v>
      </c>
      <c r="Y23" s="14">
        <v>0.14000000000000001</v>
      </c>
      <c r="Z23" s="14">
        <v>0.11</v>
      </c>
      <c r="AA23" s="14">
        <v>0.1</v>
      </c>
      <c r="AB23" s="14">
        <v>0.11</v>
      </c>
      <c r="AC23" s="14">
        <v>0.05</v>
      </c>
      <c r="AD23" s="14">
        <v>0.09</v>
      </c>
      <c r="AE23" s="14">
        <v>0.04</v>
      </c>
      <c r="AF23" s="14">
        <v>0.06</v>
      </c>
    </row>
    <row r="24" spans="1:32" ht="41.5" x14ac:dyDescent="0.35">
      <c r="A24" s="31"/>
      <c r="B24" s="11" t="s">
        <v>395</v>
      </c>
      <c r="C24" s="12">
        <v>3908</v>
      </c>
      <c r="D24" s="12">
        <v>126</v>
      </c>
      <c r="E24" s="12">
        <v>132</v>
      </c>
      <c r="F24" s="12">
        <v>163</v>
      </c>
      <c r="G24" s="12">
        <v>259</v>
      </c>
      <c r="H24" s="12">
        <v>161</v>
      </c>
      <c r="I24" s="12">
        <v>195</v>
      </c>
      <c r="J24" s="12">
        <v>34</v>
      </c>
      <c r="K24" s="12">
        <v>108</v>
      </c>
      <c r="L24" s="12">
        <v>175</v>
      </c>
      <c r="M24" s="12">
        <v>210</v>
      </c>
      <c r="N24" s="12">
        <v>121</v>
      </c>
      <c r="O24" s="12">
        <v>173</v>
      </c>
      <c r="P24" s="12">
        <v>165</v>
      </c>
      <c r="Q24" s="12">
        <v>202</v>
      </c>
      <c r="R24" s="12">
        <v>59</v>
      </c>
      <c r="S24" s="12">
        <v>72</v>
      </c>
      <c r="T24" s="12">
        <v>98</v>
      </c>
      <c r="U24" s="12">
        <v>86</v>
      </c>
      <c r="V24" s="12">
        <v>131</v>
      </c>
      <c r="W24" s="12">
        <v>75</v>
      </c>
      <c r="X24" s="12">
        <v>63</v>
      </c>
      <c r="Y24" s="12">
        <v>152</v>
      </c>
      <c r="Z24" s="12">
        <v>128</v>
      </c>
      <c r="AA24" s="12">
        <v>268</v>
      </c>
      <c r="AB24" s="12">
        <v>124</v>
      </c>
      <c r="AC24" s="12">
        <v>73</v>
      </c>
      <c r="AD24" s="12">
        <v>127</v>
      </c>
      <c r="AE24" s="12">
        <v>124</v>
      </c>
      <c r="AF24" s="12">
        <v>145</v>
      </c>
    </row>
    <row r="25" spans="1:32" ht="31.5" x14ac:dyDescent="0.35">
      <c r="A25" s="31"/>
      <c r="B25" s="13" t="s">
        <v>396</v>
      </c>
      <c r="C25" s="14">
        <v>0.17</v>
      </c>
      <c r="D25" s="14">
        <v>0.14000000000000001</v>
      </c>
      <c r="E25" s="14">
        <v>0.15</v>
      </c>
      <c r="F25" s="14">
        <v>0.19</v>
      </c>
      <c r="G25" s="14">
        <v>0.3</v>
      </c>
      <c r="H25" s="14">
        <v>0.14000000000000001</v>
      </c>
      <c r="I25" s="14">
        <v>0.14000000000000001</v>
      </c>
      <c r="J25" s="14">
        <v>0.13</v>
      </c>
      <c r="K25" s="14">
        <v>0.12</v>
      </c>
      <c r="L25" s="14">
        <v>0.2</v>
      </c>
      <c r="M25" s="14">
        <v>0.25</v>
      </c>
      <c r="N25" s="14">
        <v>0.14000000000000001</v>
      </c>
      <c r="O25" s="14">
        <v>0.22</v>
      </c>
      <c r="P25" s="14">
        <v>0.18</v>
      </c>
      <c r="Q25" s="14">
        <v>0.24</v>
      </c>
      <c r="R25" s="14">
        <v>0.13</v>
      </c>
      <c r="S25" s="14">
        <v>0.08</v>
      </c>
      <c r="T25" s="14">
        <v>0.11</v>
      </c>
      <c r="U25" s="14">
        <v>0.2</v>
      </c>
      <c r="V25" s="14">
        <v>0.15</v>
      </c>
      <c r="W25" s="14">
        <v>0.17</v>
      </c>
      <c r="X25" s="14">
        <v>7.0000000000000007E-2</v>
      </c>
      <c r="Y25" s="14">
        <v>0.18</v>
      </c>
      <c r="Z25" s="14">
        <v>0.14000000000000001</v>
      </c>
      <c r="AA25" s="14">
        <v>0.33</v>
      </c>
      <c r="AB25" s="14">
        <v>0.13</v>
      </c>
      <c r="AC25" s="14">
        <v>0.08</v>
      </c>
      <c r="AD25" s="14">
        <v>0.14000000000000001</v>
      </c>
      <c r="AE25" s="14">
        <v>0.13</v>
      </c>
      <c r="AF25" s="14">
        <v>0.15</v>
      </c>
    </row>
    <row r="26" spans="1:32" ht="31.5" x14ac:dyDescent="0.35">
      <c r="A26" s="31"/>
      <c r="B26" s="11" t="s">
        <v>397</v>
      </c>
      <c r="C26" s="12">
        <v>3016</v>
      </c>
      <c r="D26" s="12">
        <v>116</v>
      </c>
      <c r="E26" s="12">
        <v>121</v>
      </c>
      <c r="F26" s="12">
        <v>136</v>
      </c>
      <c r="G26" s="12">
        <v>100</v>
      </c>
      <c r="H26" s="12">
        <v>145</v>
      </c>
      <c r="I26" s="12">
        <v>169</v>
      </c>
      <c r="J26" s="12">
        <v>24</v>
      </c>
      <c r="K26" s="12">
        <v>161</v>
      </c>
      <c r="L26" s="12">
        <v>252</v>
      </c>
      <c r="M26" s="12">
        <v>120</v>
      </c>
      <c r="N26" s="12">
        <v>121</v>
      </c>
      <c r="O26" s="12">
        <v>52</v>
      </c>
      <c r="P26" s="12">
        <v>194</v>
      </c>
      <c r="Q26" s="12">
        <v>89</v>
      </c>
      <c r="R26" s="12">
        <v>74</v>
      </c>
      <c r="S26" s="12">
        <v>160</v>
      </c>
      <c r="T26" s="12">
        <v>233</v>
      </c>
      <c r="U26" s="12">
        <v>65</v>
      </c>
      <c r="V26" s="12">
        <v>140</v>
      </c>
      <c r="W26" s="12">
        <v>78</v>
      </c>
      <c r="X26" s="12">
        <v>108</v>
      </c>
      <c r="Y26" s="12">
        <v>189</v>
      </c>
      <c r="Z26" s="12">
        <v>164</v>
      </c>
      <c r="AA26" s="12">
        <v>227</v>
      </c>
      <c r="AB26" s="12">
        <v>166</v>
      </c>
      <c r="AC26" s="12">
        <v>151</v>
      </c>
      <c r="AD26" s="12">
        <v>197</v>
      </c>
      <c r="AE26" s="12">
        <v>80</v>
      </c>
      <c r="AF26" s="12">
        <v>54</v>
      </c>
    </row>
    <row r="27" spans="1:32" ht="31.5" x14ac:dyDescent="0.35">
      <c r="A27" s="31"/>
      <c r="B27" s="13" t="s">
        <v>398</v>
      </c>
      <c r="C27" s="14">
        <v>0.13</v>
      </c>
      <c r="D27" s="14">
        <v>0.12</v>
      </c>
      <c r="E27" s="14">
        <v>0.14000000000000001</v>
      </c>
      <c r="F27" s="14">
        <v>0.16</v>
      </c>
      <c r="G27" s="14">
        <v>0.1</v>
      </c>
      <c r="H27" s="14">
        <v>0.13</v>
      </c>
      <c r="I27" s="14">
        <v>0.12</v>
      </c>
      <c r="J27" s="14">
        <v>0.09</v>
      </c>
      <c r="K27" s="14">
        <v>0.19</v>
      </c>
      <c r="L27" s="14">
        <v>0.33</v>
      </c>
      <c r="M27" s="14">
        <v>0.14000000000000001</v>
      </c>
      <c r="N27" s="14">
        <v>0.14000000000000001</v>
      </c>
      <c r="O27" s="14">
        <v>0.06</v>
      </c>
      <c r="P27" s="14">
        <v>0.23</v>
      </c>
      <c r="Q27" s="14">
        <v>0.09</v>
      </c>
      <c r="R27" s="14">
        <v>0.17</v>
      </c>
      <c r="S27" s="14">
        <v>0.2</v>
      </c>
      <c r="T27" s="14">
        <v>0.28999999999999998</v>
      </c>
      <c r="U27" s="14">
        <v>0.14000000000000001</v>
      </c>
      <c r="V27" s="14">
        <v>0.16</v>
      </c>
      <c r="W27" s="14">
        <v>0.17</v>
      </c>
      <c r="X27" s="14">
        <v>0.11</v>
      </c>
      <c r="Y27" s="14">
        <v>0.21</v>
      </c>
      <c r="Z27" s="14">
        <v>0.19</v>
      </c>
      <c r="AA27" s="14">
        <v>0.26</v>
      </c>
      <c r="AB27" s="14">
        <v>0.18</v>
      </c>
      <c r="AC27" s="14">
        <v>0.18</v>
      </c>
      <c r="AD27" s="14">
        <v>0.23</v>
      </c>
      <c r="AE27" s="14">
        <v>0.08</v>
      </c>
      <c r="AF27" s="14">
        <v>0.05</v>
      </c>
    </row>
    <row r="28" spans="1:32" ht="31.5" x14ac:dyDescent="0.35">
      <c r="A28" s="31"/>
      <c r="B28" s="11" t="s">
        <v>399</v>
      </c>
      <c r="C28" s="12">
        <v>2423</v>
      </c>
      <c r="D28" s="12">
        <v>119</v>
      </c>
      <c r="E28" s="12">
        <v>102</v>
      </c>
      <c r="F28" s="12">
        <v>99</v>
      </c>
      <c r="G28" s="12">
        <v>103</v>
      </c>
      <c r="H28" s="12">
        <v>102</v>
      </c>
      <c r="I28" s="12">
        <v>144</v>
      </c>
      <c r="J28" s="12">
        <v>42</v>
      </c>
      <c r="K28" s="12">
        <v>45</v>
      </c>
      <c r="L28" s="12">
        <v>62</v>
      </c>
      <c r="M28" s="12">
        <v>83</v>
      </c>
      <c r="N28" s="12">
        <v>65</v>
      </c>
      <c r="O28" s="12">
        <v>113</v>
      </c>
      <c r="P28" s="12">
        <v>77</v>
      </c>
      <c r="Q28" s="12">
        <v>99</v>
      </c>
      <c r="R28" s="12">
        <v>27</v>
      </c>
      <c r="S28" s="12">
        <v>37</v>
      </c>
      <c r="T28" s="12">
        <v>34</v>
      </c>
      <c r="U28" s="12">
        <v>34</v>
      </c>
      <c r="V28" s="12">
        <v>102</v>
      </c>
      <c r="W28" s="12">
        <v>44</v>
      </c>
      <c r="X28" s="12">
        <v>107</v>
      </c>
      <c r="Y28" s="12">
        <v>88</v>
      </c>
      <c r="Z28" s="12">
        <v>79</v>
      </c>
      <c r="AA28" s="12">
        <v>61</v>
      </c>
      <c r="AB28" s="12">
        <v>120</v>
      </c>
      <c r="AC28" s="12">
        <v>48</v>
      </c>
      <c r="AD28" s="12">
        <v>60</v>
      </c>
      <c r="AE28" s="12">
        <v>74</v>
      </c>
      <c r="AF28" s="12">
        <v>121</v>
      </c>
    </row>
    <row r="29" spans="1:32" ht="31.5" x14ac:dyDescent="0.35">
      <c r="A29" s="31"/>
      <c r="B29" s="13" t="s">
        <v>400</v>
      </c>
      <c r="C29" s="14">
        <v>0.1</v>
      </c>
      <c r="D29" s="14">
        <v>0.12</v>
      </c>
      <c r="E29" s="14">
        <v>0.11</v>
      </c>
      <c r="F29" s="14">
        <v>0.11</v>
      </c>
      <c r="G29" s="14">
        <v>0.11</v>
      </c>
      <c r="H29" s="14">
        <v>0.09</v>
      </c>
      <c r="I29" s="14">
        <v>0.1</v>
      </c>
      <c r="J29" s="14">
        <v>0.15</v>
      </c>
      <c r="K29" s="14">
        <v>0.05</v>
      </c>
      <c r="L29" s="14">
        <v>7.0000000000000007E-2</v>
      </c>
      <c r="M29" s="14">
        <v>0.09</v>
      </c>
      <c r="N29" s="14">
        <v>7.0000000000000007E-2</v>
      </c>
      <c r="O29" s="14">
        <v>0.13</v>
      </c>
      <c r="P29" s="14">
        <v>0.08</v>
      </c>
      <c r="Q29" s="14">
        <v>0.11</v>
      </c>
      <c r="R29" s="14">
        <v>0.06</v>
      </c>
      <c r="S29" s="14">
        <v>0.04</v>
      </c>
      <c r="T29" s="14">
        <v>0.04</v>
      </c>
      <c r="U29" s="14">
        <v>7.0000000000000007E-2</v>
      </c>
      <c r="V29" s="14">
        <v>0.11</v>
      </c>
      <c r="W29" s="14">
        <v>0.09</v>
      </c>
      <c r="X29" s="14">
        <v>0.11</v>
      </c>
      <c r="Y29" s="14">
        <v>0.1</v>
      </c>
      <c r="Z29" s="14">
        <v>0.08</v>
      </c>
      <c r="AA29" s="14">
        <v>0.06</v>
      </c>
      <c r="AB29" s="14">
        <v>0.12</v>
      </c>
      <c r="AC29" s="14">
        <v>0.05</v>
      </c>
      <c r="AD29" s="14">
        <v>0.06</v>
      </c>
      <c r="AE29" s="14">
        <v>0.08</v>
      </c>
      <c r="AF29" s="14">
        <v>0.12</v>
      </c>
    </row>
    <row r="30" spans="1:32" ht="31.5" x14ac:dyDescent="0.35">
      <c r="A30" s="31"/>
      <c r="B30" s="11" t="s">
        <v>401</v>
      </c>
      <c r="C30" s="12">
        <v>2640</v>
      </c>
      <c r="D30" s="12">
        <v>149</v>
      </c>
      <c r="E30" s="12">
        <v>54</v>
      </c>
      <c r="F30" s="12">
        <v>67</v>
      </c>
      <c r="G30" s="12">
        <v>164</v>
      </c>
      <c r="H30" s="12">
        <v>122</v>
      </c>
      <c r="I30" s="12">
        <v>151</v>
      </c>
      <c r="J30" s="12">
        <v>29</v>
      </c>
      <c r="K30" s="12">
        <v>60</v>
      </c>
      <c r="L30" s="12">
        <v>98</v>
      </c>
      <c r="M30" s="12">
        <v>98</v>
      </c>
      <c r="N30" s="12">
        <v>78</v>
      </c>
      <c r="O30" s="12">
        <v>70</v>
      </c>
      <c r="P30" s="12">
        <v>131</v>
      </c>
      <c r="Q30" s="12">
        <v>125</v>
      </c>
      <c r="R30" s="12">
        <v>39</v>
      </c>
      <c r="S30" s="12">
        <v>41</v>
      </c>
      <c r="T30" s="12">
        <v>39</v>
      </c>
      <c r="U30" s="12">
        <v>41</v>
      </c>
      <c r="V30" s="12">
        <v>135</v>
      </c>
      <c r="W30" s="12">
        <v>43</v>
      </c>
      <c r="X30" s="12">
        <v>160</v>
      </c>
      <c r="Y30" s="12">
        <v>121</v>
      </c>
      <c r="Z30" s="12">
        <v>105</v>
      </c>
      <c r="AA30" s="12">
        <v>62</v>
      </c>
      <c r="AB30" s="12">
        <v>105</v>
      </c>
      <c r="AC30" s="12">
        <v>83</v>
      </c>
      <c r="AD30" s="12">
        <v>98</v>
      </c>
      <c r="AE30" s="12">
        <v>86</v>
      </c>
      <c r="AF30" s="12">
        <v>194</v>
      </c>
    </row>
    <row r="31" spans="1:32" ht="31.5" x14ac:dyDescent="0.35">
      <c r="A31" s="31"/>
      <c r="B31" s="13" t="s">
        <v>402</v>
      </c>
      <c r="C31" s="14">
        <v>0.11</v>
      </c>
      <c r="D31" s="14">
        <v>0.15</v>
      </c>
      <c r="E31" s="14">
        <v>0.06</v>
      </c>
      <c r="F31" s="14">
        <v>7.0000000000000007E-2</v>
      </c>
      <c r="G31" s="14">
        <v>0.17</v>
      </c>
      <c r="H31" s="14">
        <v>0.11</v>
      </c>
      <c r="I31" s="14">
        <v>0.1</v>
      </c>
      <c r="J31" s="14">
        <v>0.1</v>
      </c>
      <c r="K31" s="14">
        <v>0.06</v>
      </c>
      <c r="L31" s="14">
        <v>0.1</v>
      </c>
      <c r="M31" s="14">
        <v>0.11</v>
      </c>
      <c r="N31" s="14">
        <v>0.09</v>
      </c>
      <c r="O31" s="14">
        <v>0.08</v>
      </c>
      <c r="P31" s="14">
        <v>0.14000000000000001</v>
      </c>
      <c r="Q31" s="14">
        <v>0.13</v>
      </c>
      <c r="R31" s="14">
        <v>0.09</v>
      </c>
      <c r="S31" s="14">
        <v>0.04</v>
      </c>
      <c r="T31" s="14">
        <v>0.04</v>
      </c>
      <c r="U31" s="14">
        <v>0.08</v>
      </c>
      <c r="V31" s="14">
        <v>0.15</v>
      </c>
      <c r="W31" s="14">
        <v>0.09</v>
      </c>
      <c r="X31" s="14">
        <v>0.17</v>
      </c>
      <c r="Y31" s="14">
        <v>0.14000000000000001</v>
      </c>
      <c r="Z31" s="14">
        <v>0.11</v>
      </c>
      <c r="AA31" s="14">
        <v>0.06</v>
      </c>
      <c r="AB31" s="14">
        <v>0.11</v>
      </c>
      <c r="AC31" s="14">
        <v>0.09</v>
      </c>
      <c r="AD31" s="14">
        <v>0.1</v>
      </c>
      <c r="AE31" s="14">
        <v>0.09</v>
      </c>
      <c r="AF31" s="14">
        <v>0.2</v>
      </c>
    </row>
    <row r="32" spans="1:32" ht="41.5" x14ac:dyDescent="0.35">
      <c r="A32" s="31"/>
      <c r="B32" s="11" t="s">
        <v>403</v>
      </c>
      <c r="C32" s="12">
        <v>4036</v>
      </c>
      <c r="D32" s="12">
        <v>155</v>
      </c>
      <c r="E32" s="12">
        <v>217</v>
      </c>
      <c r="F32" s="12">
        <v>224</v>
      </c>
      <c r="G32" s="12">
        <v>94</v>
      </c>
      <c r="H32" s="12">
        <v>159</v>
      </c>
      <c r="I32" s="12">
        <v>206</v>
      </c>
      <c r="J32" s="12">
        <v>46</v>
      </c>
      <c r="K32" s="12">
        <v>210</v>
      </c>
      <c r="L32" s="12">
        <v>248</v>
      </c>
      <c r="M32" s="12">
        <v>166</v>
      </c>
      <c r="N32" s="12">
        <v>154</v>
      </c>
      <c r="O32" s="12">
        <v>84</v>
      </c>
      <c r="P32" s="12">
        <v>245</v>
      </c>
      <c r="Q32" s="12">
        <v>136</v>
      </c>
      <c r="R32" s="12">
        <v>100</v>
      </c>
      <c r="S32" s="12">
        <v>197</v>
      </c>
      <c r="T32" s="12">
        <v>246</v>
      </c>
      <c r="U32" s="12">
        <v>93</v>
      </c>
      <c r="V32" s="12">
        <v>231</v>
      </c>
      <c r="W32" s="12">
        <v>133</v>
      </c>
      <c r="X32" s="12">
        <v>88</v>
      </c>
      <c r="Y32" s="12">
        <v>182</v>
      </c>
      <c r="Z32" s="12">
        <v>225</v>
      </c>
      <c r="AA32" s="12">
        <v>205</v>
      </c>
      <c r="AB32" s="12">
        <v>208</v>
      </c>
      <c r="AC32" s="12">
        <v>239</v>
      </c>
      <c r="AD32" s="12">
        <v>266</v>
      </c>
      <c r="AE32" s="12">
        <v>241</v>
      </c>
      <c r="AF32" s="12">
        <v>183</v>
      </c>
    </row>
    <row r="33" spans="1:32" ht="31.5" x14ac:dyDescent="0.35">
      <c r="A33" s="31"/>
      <c r="B33" s="13" t="s">
        <v>404</v>
      </c>
      <c r="C33" s="14">
        <v>0.18</v>
      </c>
      <c r="D33" s="14">
        <v>0.17</v>
      </c>
      <c r="E33" s="14">
        <v>0.32</v>
      </c>
      <c r="F33" s="14">
        <v>0.28000000000000003</v>
      </c>
      <c r="G33" s="14">
        <v>0.1</v>
      </c>
      <c r="H33" s="14">
        <v>0.14000000000000001</v>
      </c>
      <c r="I33" s="14">
        <v>0.15</v>
      </c>
      <c r="J33" s="14">
        <v>0.18</v>
      </c>
      <c r="K33" s="14">
        <v>0.27</v>
      </c>
      <c r="L33" s="14">
        <v>0.3</v>
      </c>
      <c r="M33" s="14">
        <v>0.19</v>
      </c>
      <c r="N33" s="14">
        <v>0.19</v>
      </c>
      <c r="O33" s="14">
        <v>0.1</v>
      </c>
      <c r="P33" s="14">
        <v>0.34</v>
      </c>
      <c r="Q33" s="14">
        <v>0.15</v>
      </c>
      <c r="R33" s="14">
        <v>0.25</v>
      </c>
      <c r="S33" s="14">
        <v>0.24</v>
      </c>
      <c r="T33" s="14">
        <v>0.32</v>
      </c>
      <c r="U33" s="14">
        <v>0.22</v>
      </c>
      <c r="V33" s="14">
        <v>0.28999999999999998</v>
      </c>
      <c r="W33" s="14">
        <v>0.3</v>
      </c>
      <c r="X33" s="14">
        <v>0.09</v>
      </c>
      <c r="Y33" s="14">
        <v>0.21</v>
      </c>
      <c r="Z33" s="14">
        <v>0.27</v>
      </c>
      <c r="AA33" s="14">
        <v>0.24</v>
      </c>
      <c r="AB33" s="14">
        <v>0.25</v>
      </c>
      <c r="AC33" s="14">
        <v>0.28000000000000003</v>
      </c>
      <c r="AD33" s="14">
        <v>0.35</v>
      </c>
      <c r="AE33" s="14">
        <v>0.27</v>
      </c>
      <c r="AF33" s="14">
        <v>0.19</v>
      </c>
    </row>
    <row r="34" spans="1:32" ht="31.5" x14ac:dyDescent="0.35">
      <c r="A34" s="31"/>
      <c r="B34" s="11" t="s">
        <v>405</v>
      </c>
      <c r="C34" s="12">
        <v>102</v>
      </c>
      <c r="D34" s="12">
        <v>1</v>
      </c>
      <c r="E34" s="12">
        <v>4</v>
      </c>
      <c r="F34" s="12">
        <v>7</v>
      </c>
      <c r="G34" s="12">
        <v>5</v>
      </c>
      <c r="H34" s="12">
        <v>6</v>
      </c>
      <c r="I34" s="12">
        <v>7</v>
      </c>
      <c r="J34" s="12">
        <v>1</v>
      </c>
      <c r="K34" s="12">
        <v>12</v>
      </c>
      <c r="L34" s="12">
        <v>0</v>
      </c>
      <c r="M34" s="12">
        <v>0</v>
      </c>
      <c r="N34" s="12">
        <v>4</v>
      </c>
      <c r="O34" s="12">
        <v>5</v>
      </c>
      <c r="P34" s="12">
        <v>2</v>
      </c>
      <c r="Q34" s="12">
        <v>1</v>
      </c>
      <c r="R34" s="12">
        <v>4</v>
      </c>
      <c r="S34" s="12">
        <v>9</v>
      </c>
      <c r="T34" s="12">
        <v>1</v>
      </c>
      <c r="U34" s="12">
        <v>2</v>
      </c>
      <c r="V34" s="12">
        <v>2</v>
      </c>
      <c r="W34" s="12">
        <v>0</v>
      </c>
      <c r="X34" s="12">
        <v>5</v>
      </c>
      <c r="Y34" s="12">
        <v>2</v>
      </c>
      <c r="Z34" s="12">
        <v>9</v>
      </c>
      <c r="AA34" s="12">
        <v>5</v>
      </c>
      <c r="AB34" s="12">
        <v>2</v>
      </c>
      <c r="AC34" s="12">
        <v>3</v>
      </c>
      <c r="AD34" s="12">
        <v>1</v>
      </c>
      <c r="AE34" s="12">
        <v>2</v>
      </c>
      <c r="AF34" s="12">
        <v>0</v>
      </c>
    </row>
    <row r="35" spans="1:32" ht="21.5" x14ac:dyDescent="0.35">
      <c r="A35" s="31"/>
      <c r="B35" s="13" t="s">
        <v>406</v>
      </c>
      <c r="C35" s="15" t="s">
        <v>333</v>
      </c>
      <c r="D35" s="15" t="s">
        <v>333</v>
      </c>
      <c r="E35" s="15" t="s">
        <v>333</v>
      </c>
      <c r="F35" s="14">
        <v>0.01</v>
      </c>
      <c r="G35" s="14">
        <v>0.01</v>
      </c>
      <c r="H35" s="15" t="s">
        <v>333</v>
      </c>
      <c r="I35" s="15" t="s">
        <v>333</v>
      </c>
      <c r="J35" s="15" t="s">
        <v>333</v>
      </c>
      <c r="K35" s="14">
        <v>0.01</v>
      </c>
      <c r="L35" s="15" t="s">
        <v>333</v>
      </c>
      <c r="M35" s="15" t="s">
        <v>333</v>
      </c>
      <c r="N35" s="15" t="s">
        <v>333</v>
      </c>
      <c r="O35" s="14">
        <v>0.01</v>
      </c>
      <c r="P35" s="15" t="s">
        <v>333</v>
      </c>
      <c r="Q35" s="15" t="s">
        <v>333</v>
      </c>
      <c r="R35" s="14">
        <v>0.01</v>
      </c>
      <c r="S35" s="14">
        <v>0.01</v>
      </c>
      <c r="T35" s="15" t="s">
        <v>333</v>
      </c>
      <c r="U35" s="15" t="s">
        <v>333</v>
      </c>
      <c r="V35" s="15" t="s">
        <v>333</v>
      </c>
      <c r="W35" s="15" t="s">
        <v>333</v>
      </c>
      <c r="X35" s="15" t="s">
        <v>333</v>
      </c>
      <c r="Y35" s="15" t="s">
        <v>333</v>
      </c>
      <c r="Z35" s="14">
        <v>0.01</v>
      </c>
      <c r="AA35" s="15" t="s">
        <v>333</v>
      </c>
      <c r="AB35" s="15" t="s">
        <v>333</v>
      </c>
      <c r="AC35" s="15" t="s">
        <v>333</v>
      </c>
      <c r="AD35" s="15" t="s">
        <v>333</v>
      </c>
      <c r="AE35" s="15" t="s">
        <v>333</v>
      </c>
      <c r="AF35" s="15" t="s">
        <v>333</v>
      </c>
    </row>
    <row r="36" spans="1:32" x14ac:dyDescent="0.35">
      <c r="A36" s="31"/>
      <c r="B36" s="11" t="s">
        <v>407</v>
      </c>
      <c r="C36" s="12">
        <v>602</v>
      </c>
      <c r="D36" s="12">
        <v>17</v>
      </c>
      <c r="E36" s="12">
        <v>25</v>
      </c>
      <c r="F36" s="12">
        <v>16</v>
      </c>
      <c r="G36" s="12">
        <v>7</v>
      </c>
      <c r="H36" s="12">
        <v>17</v>
      </c>
      <c r="I36" s="12">
        <v>32</v>
      </c>
      <c r="J36" s="12">
        <v>15</v>
      </c>
      <c r="K36" s="12">
        <v>43</v>
      </c>
      <c r="L36" s="12">
        <v>15</v>
      </c>
      <c r="M36" s="12">
        <v>22</v>
      </c>
      <c r="N36" s="12">
        <v>21</v>
      </c>
      <c r="O36" s="12">
        <v>43</v>
      </c>
      <c r="P36" s="12">
        <v>9</v>
      </c>
      <c r="Q36" s="12">
        <v>19</v>
      </c>
      <c r="R36" s="12">
        <v>12</v>
      </c>
      <c r="S36" s="12">
        <v>60</v>
      </c>
      <c r="T36" s="12">
        <v>32</v>
      </c>
      <c r="U36" s="12">
        <v>11</v>
      </c>
      <c r="V36" s="12">
        <v>6</v>
      </c>
      <c r="W36" s="12">
        <v>0</v>
      </c>
      <c r="X36" s="12">
        <v>18</v>
      </c>
      <c r="Y36" s="12">
        <v>37</v>
      </c>
      <c r="Z36" s="12">
        <v>6</v>
      </c>
      <c r="AA36" s="12">
        <v>5</v>
      </c>
      <c r="AB36" s="12">
        <v>56</v>
      </c>
      <c r="AC36" s="12">
        <v>53</v>
      </c>
      <c r="AD36" s="12">
        <v>15</v>
      </c>
      <c r="AE36" s="12">
        <v>12</v>
      </c>
      <c r="AF36" s="12">
        <v>5</v>
      </c>
    </row>
    <row r="37" spans="1:32" x14ac:dyDescent="0.35">
      <c r="A37" s="31"/>
      <c r="B37" s="13" t="s">
        <v>408</v>
      </c>
      <c r="C37" s="14">
        <v>0.02</v>
      </c>
      <c r="D37" s="14">
        <v>0.02</v>
      </c>
      <c r="E37" s="14">
        <v>0.03</v>
      </c>
      <c r="F37" s="14">
        <v>0.02</v>
      </c>
      <c r="G37" s="14">
        <v>0.01</v>
      </c>
      <c r="H37" s="14">
        <v>0.01</v>
      </c>
      <c r="I37" s="14">
        <v>0.02</v>
      </c>
      <c r="J37" s="14">
        <v>0.05</v>
      </c>
      <c r="K37" s="14">
        <v>0.04</v>
      </c>
      <c r="L37" s="14">
        <v>0.02</v>
      </c>
      <c r="M37" s="14">
        <v>0.02</v>
      </c>
      <c r="N37" s="14">
        <v>0.02</v>
      </c>
      <c r="O37" s="14">
        <v>0.05</v>
      </c>
      <c r="P37" s="14">
        <v>0.01</v>
      </c>
      <c r="Q37" s="14">
        <v>0.02</v>
      </c>
      <c r="R37" s="14">
        <v>0.03</v>
      </c>
      <c r="S37" s="14">
        <v>0.06</v>
      </c>
      <c r="T37" s="14">
        <v>0.03</v>
      </c>
      <c r="U37" s="14">
        <v>0.02</v>
      </c>
      <c r="V37" s="14">
        <v>0.01</v>
      </c>
      <c r="W37" s="15" t="s">
        <v>333</v>
      </c>
      <c r="X37" s="14">
        <v>0.02</v>
      </c>
      <c r="Y37" s="14">
        <v>0.04</v>
      </c>
      <c r="Z37" s="14">
        <v>0.01</v>
      </c>
      <c r="AA37" s="15" t="s">
        <v>333</v>
      </c>
      <c r="AB37" s="14">
        <v>0.05</v>
      </c>
      <c r="AC37" s="14">
        <v>0.05</v>
      </c>
      <c r="AD37" s="14">
        <v>0.02</v>
      </c>
      <c r="AE37" s="14">
        <v>0.01</v>
      </c>
      <c r="AF37" s="15" t="s">
        <v>333</v>
      </c>
    </row>
    <row r="38" spans="1:32" x14ac:dyDescent="0.35">
      <c r="A38" s="31"/>
      <c r="B38" s="11" t="s">
        <v>344</v>
      </c>
      <c r="C38" s="12">
        <v>1004</v>
      </c>
      <c r="D38" s="12">
        <v>9</v>
      </c>
      <c r="E38" s="12">
        <v>69</v>
      </c>
      <c r="F38" s="12">
        <v>43</v>
      </c>
      <c r="G38" s="12">
        <v>15</v>
      </c>
      <c r="H38" s="12">
        <v>22</v>
      </c>
      <c r="I38" s="12">
        <v>34</v>
      </c>
      <c r="J38" s="12">
        <v>12</v>
      </c>
      <c r="K38" s="12">
        <v>48</v>
      </c>
      <c r="L38" s="12">
        <v>17</v>
      </c>
      <c r="M38" s="12">
        <v>25</v>
      </c>
      <c r="N38" s="12">
        <v>89</v>
      </c>
      <c r="O38" s="12">
        <v>78</v>
      </c>
      <c r="P38" s="12">
        <v>17</v>
      </c>
      <c r="Q38" s="12">
        <v>32</v>
      </c>
      <c r="R38" s="12">
        <v>21</v>
      </c>
      <c r="S38" s="12">
        <v>76</v>
      </c>
      <c r="T38" s="12">
        <v>17</v>
      </c>
      <c r="U38" s="12">
        <v>5</v>
      </c>
      <c r="V38" s="12">
        <v>21</v>
      </c>
      <c r="W38" s="12">
        <v>14</v>
      </c>
      <c r="X38" s="12">
        <v>11</v>
      </c>
      <c r="Y38" s="12">
        <v>24</v>
      </c>
      <c r="Z38" s="12">
        <v>11</v>
      </c>
      <c r="AA38" s="12">
        <v>16</v>
      </c>
      <c r="AB38" s="12">
        <v>12</v>
      </c>
      <c r="AC38" s="12">
        <v>19</v>
      </c>
      <c r="AD38" s="12">
        <v>17</v>
      </c>
      <c r="AE38" s="12">
        <v>45</v>
      </c>
      <c r="AF38" s="12">
        <v>15</v>
      </c>
    </row>
    <row r="39" spans="1:32" x14ac:dyDescent="0.35">
      <c r="A39" s="31"/>
      <c r="B39" s="13" t="s">
        <v>345</v>
      </c>
      <c r="C39" s="14">
        <v>0.04</v>
      </c>
      <c r="D39" s="14">
        <v>0.01</v>
      </c>
      <c r="E39" s="14">
        <v>7.0000000000000007E-2</v>
      </c>
      <c r="F39" s="14">
        <v>0.04</v>
      </c>
      <c r="G39" s="14">
        <v>0.01</v>
      </c>
      <c r="H39" s="14">
        <v>0.02</v>
      </c>
      <c r="I39" s="14">
        <v>0.02</v>
      </c>
      <c r="J39" s="14">
        <v>0.04</v>
      </c>
      <c r="K39" s="14">
        <v>0.05</v>
      </c>
      <c r="L39" s="14">
        <v>0.02</v>
      </c>
      <c r="M39" s="14">
        <v>0.03</v>
      </c>
      <c r="N39" s="14">
        <v>0.1</v>
      </c>
      <c r="O39" s="14">
        <v>0.08</v>
      </c>
      <c r="P39" s="14">
        <v>0.02</v>
      </c>
      <c r="Q39" s="14">
        <v>0.03</v>
      </c>
      <c r="R39" s="14">
        <v>0.05</v>
      </c>
      <c r="S39" s="14">
        <v>0.08</v>
      </c>
      <c r="T39" s="14">
        <v>0.02</v>
      </c>
      <c r="U39" s="14">
        <v>0.01</v>
      </c>
      <c r="V39" s="14">
        <v>0.02</v>
      </c>
      <c r="W39" s="14">
        <v>0.03</v>
      </c>
      <c r="X39" s="14">
        <v>0.01</v>
      </c>
      <c r="Y39" s="14">
        <v>0.02</v>
      </c>
      <c r="Z39" s="14">
        <v>0.01</v>
      </c>
      <c r="AA39" s="14">
        <v>0.02</v>
      </c>
      <c r="AB39" s="14">
        <v>0.01</v>
      </c>
      <c r="AC39" s="14">
        <v>0.02</v>
      </c>
      <c r="AD39" s="14">
        <v>0.02</v>
      </c>
      <c r="AE39" s="14">
        <v>0.05</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27</v>
      </c>
      <c r="C3" s="30"/>
      <c r="D3" s="30"/>
      <c r="E3" s="30"/>
      <c r="F3" s="30"/>
      <c r="H3" s="30" t="s">
        <v>28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383</v>
      </c>
      <c r="C12" s="12">
        <v>3996</v>
      </c>
      <c r="D12" s="12">
        <v>179</v>
      </c>
      <c r="E12" s="12">
        <v>180</v>
      </c>
      <c r="F12" s="12">
        <v>173</v>
      </c>
      <c r="G12" s="12">
        <v>68</v>
      </c>
      <c r="H12" s="12">
        <v>206</v>
      </c>
      <c r="I12" s="12">
        <v>255</v>
      </c>
      <c r="J12" s="12">
        <v>49</v>
      </c>
      <c r="K12" s="12">
        <v>107</v>
      </c>
      <c r="L12" s="12">
        <v>108</v>
      </c>
      <c r="M12" s="12">
        <v>191</v>
      </c>
      <c r="N12" s="12">
        <v>142</v>
      </c>
      <c r="O12" s="12">
        <v>107</v>
      </c>
      <c r="P12" s="12">
        <v>171</v>
      </c>
      <c r="Q12" s="12">
        <v>158</v>
      </c>
      <c r="R12" s="12">
        <v>102</v>
      </c>
      <c r="S12" s="12">
        <v>100</v>
      </c>
      <c r="T12" s="12">
        <v>142</v>
      </c>
      <c r="U12" s="12">
        <v>72</v>
      </c>
      <c r="V12" s="12">
        <v>196</v>
      </c>
      <c r="W12" s="12">
        <v>68</v>
      </c>
      <c r="X12" s="12">
        <v>104</v>
      </c>
      <c r="Y12" s="12">
        <v>166</v>
      </c>
      <c r="Z12" s="12">
        <v>197</v>
      </c>
      <c r="AA12" s="12">
        <v>214</v>
      </c>
      <c r="AB12" s="12">
        <v>208</v>
      </c>
      <c r="AC12" s="12">
        <v>136</v>
      </c>
      <c r="AD12" s="12">
        <v>186</v>
      </c>
      <c r="AE12" s="12">
        <v>101</v>
      </c>
      <c r="AF12" s="12">
        <v>78</v>
      </c>
    </row>
    <row r="13" spans="1:32" ht="31.5" x14ac:dyDescent="0.35">
      <c r="A13" s="31"/>
      <c r="B13" s="13" t="s">
        <v>384</v>
      </c>
      <c r="C13" s="14">
        <v>0.15</v>
      </c>
      <c r="D13" s="14">
        <v>0.17</v>
      </c>
      <c r="E13" s="14">
        <v>0.17</v>
      </c>
      <c r="F13" s="14">
        <v>0.17</v>
      </c>
      <c r="G13" s="14">
        <v>7.0000000000000007E-2</v>
      </c>
      <c r="H13" s="14">
        <v>0.17</v>
      </c>
      <c r="I13" s="14">
        <v>0.17</v>
      </c>
      <c r="J13" s="14">
        <v>0.17</v>
      </c>
      <c r="K13" s="14">
        <v>0.11</v>
      </c>
      <c r="L13" s="14">
        <v>0.11</v>
      </c>
      <c r="M13" s="14">
        <v>0.19</v>
      </c>
      <c r="N13" s="14">
        <v>0.14000000000000001</v>
      </c>
      <c r="O13" s="14">
        <v>0.11</v>
      </c>
      <c r="P13" s="14">
        <v>0.17</v>
      </c>
      <c r="Q13" s="14">
        <v>0.15</v>
      </c>
      <c r="R13" s="14">
        <v>0.2</v>
      </c>
      <c r="S13" s="14">
        <v>0.1</v>
      </c>
      <c r="T13" s="14">
        <v>0.14000000000000001</v>
      </c>
      <c r="U13" s="14">
        <v>0.14000000000000001</v>
      </c>
      <c r="V13" s="14">
        <v>0.19</v>
      </c>
      <c r="W13" s="14">
        <v>0.14000000000000001</v>
      </c>
      <c r="X13" s="14">
        <v>0.1</v>
      </c>
      <c r="Y13" s="14">
        <v>0.17</v>
      </c>
      <c r="Z13" s="14">
        <v>0.19</v>
      </c>
      <c r="AA13" s="14">
        <v>0.21</v>
      </c>
      <c r="AB13" s="14">
        <v>0.2</v>
      </c>
      <c r="AC13" s="14">
        <v>0.13</v>
      </c>
      <c r="AD13" s="14">
        <v>0.19</v>
      </c>
      <c r="AE13" s="14">
        <v>0.1</v>
      </c>
      <c r="AF13" s="14">
        <v>0.08</v>
      </c>
    </row>
    <row r="14" spans="1:32" ht="31.5" x14ac:dyDescent="0.35">
      <c r="A14" s="31"/>
      <c r="B14" s="11" t="s">
        <v>385</v>
      </c>
      <c r="C14" s="12">
        <v>9674</v>
      </c>
      <c r="D14" s="12">
        <v>355</v>
      </c>
      <c r="E14" s="12">
        <v>298</v>
      </c>
      <c r="F14" s="12">
        <v>386</v>
      </c>
      <c r="G14" s="12">
        <v>459</v>
      </c>
      <c r="H14" s="12">
        <v>536</v>
      </c>
      <c r="I14" s="12">
        <v>650</v>
      </c>
      <c r="J14" s="12">
        <v>114</v>
      </c>
      <c r="K14" s="12">
        <v>366</v>
      </c>
      <c r="L14" s="12">
        <v>162</v>
      </c>
      <c r="M14" s="12">
        <v>452</v>
      </c>
      <c r="N14" s="12">
        <v>295</v>
      </c>
      <c r="O14" s="12">
        <v>387</v>
      </c>
      <c r="P14" s="12">
        <v>320</v>
      </c>
      <c r="Q14" s="12">
        <v>373</v>
      </c>
      <c r="R14" s="12">
        <v>196</v>
      </c>
      <c r="S14" s="12">
        <v>401</v>
      </c>
      <c r="T14" s="12">
        <v>449</v>
      </c>
      <c r="U14" s="12">
        <v>166</v>
      </c>
      <c r="V14" s="12">
        <v>243</v>
      </c>
      <c r="W14" s="12">
        <v>103</v>
      </c>
      <c r="X14" s="12">
        <v>509</v>
      </c>
      <c r="Y14" s="12">
        <v>337</v>
      </c>
      <c r="Z14" s="12">
        <v>335</v>
      </c>
      <c r="AA14" s="12">
        <v>299</v>
      </c>
      <c r="AB14" s="12">
        <v>247</v>
      </c>
      <c r="AC14" s="12">
        <v>313</v>
      </c>
      <c r="AD14" s="12">
        <v>276</v>
      </c>
      <c r="AE14" s="12">
        <v>433</v>
      </c>
      <c r="AF14" s="12">
        <v>551</v>
      </c>
    </row>
    <row r="15" spans="1:32" ht="31.5" x14ac:dyDescent="0.35">
      <c r="A15" s="31"/>
      <c r="B15" s="13" t="s">
        <v>386</v>
      </c>
      <c r="C15" s="14">
        <v>0.37</v>
      </c>
      <c r="D15" s="14">
        <v>0.35</v>
      </c>
      <c r="E15" s="14">
        <v>0.28999999999999998</v>
      </c>
      <c r="F15" s="14">
        <v>0.38</v>
      </c>
      <c r="G15" s="14">
        <v>0.45</v>
      </c>
      <c r="H15" s="14">
        <v>0.44</v>
      </c>
      <c r="I15" s="14">
        <v>0.42</v>
      </c>
      <c r="J15" s="14">
        <v>0.38</v>
      </c>
      <c r="K15" s="14">
        <v>0.36</v>
      </c>
      <c r="L15" s="14">
        <v>0.16</v>
      </c>
      <c r="M15" s="14">
        <v>0.45</v>
      </c>
      <c r="N15" s="14">
        <v>0.28999999999999998</v>
      </c>
      <c r="O15" s="14">
        <v>0.39</v>
      </c>
      <c r="P15" s="14">
        <v>0.32</v>
      </c>
      <c r="Q15" s="14">
        <v>0.36</v>
      </c>
      <c r="R15" s="14">
        <v>0.39</v>
      </c>
      <c r="S15" s="14">
        <v>0.39</v>
      </c>
      <c r="T15" s="14">
        <v>0.44</v>
      </c>
      <c r="U15" s="14">
        <v>0.33</v>
      </c>
      <c r="V15" s="14">
        <v>0.24</v>
      </c>
      <c r="W15" s="14">
        <v>0.2</v>
      </c>
      <c r="X15" s="14">
        <v>0.5</v>
      </c>
      <c r="Y15" s="14">
        <v>0.34</v>
      </c>
      <c r="Z15" s="14">
        <v>0.33</v>
      </c>
      <c r="AA15" s="14">
        <v>0.28999999999999998</v>
      </c>
      <c r="AB15" s="14">
        <v>0.23</v>
      </c>
      <c r="AC15" s="14">
        <v>0.31</v>
      </c>
      <c r="AD15" s="14">
        <v>0.27</v>
      </c>
      <c r="AE15" s="14">
        <v>0.43</v>
      </c>
      <c r="AF15" s="14">
        <v>0.54</v>
      </c>
    </row>
    <row r="16" spans="1:32" ht="41.5" x14ac:dyDescent="0.35">
      <c r="A16" s="31"/>
      <c r="B16" s="11" t="s">
        <v>387</v>
      </c>
      <c r="C16" s="12">
        <v>7611</v>
      </c>
      <c r="D16" s="12">
        <v>330</v>
      </c>
      <c r="E16" s="12">
        <v>231</v>
      </c>
      <c r="F16" s="12">
        <v>230</v>
      </c>
      <c r="G16" s="12">
        <v>369</v>
      </c>
      <c r="H16" s="12">
        <v>379</v>
      </c>
      <c r="I16" s="12">
        <v>457</v>
      </c>
      <c r="J16" s="12">
        <v>78</v>
      </c>
      <c r="K16" s="12">
        <v>291</v>
      </c>
      <c r="L16" s="12">
        <v>533</v>
      </c>
      <c r="M16" s="12">
        <v>272</v>
      </c>
      <c r="N16" s="12">
        <v>373</v>
      </c>
      <c r="O16" s="12">
        <v>169</v>
      </c>
      <c r="P16" s="12">
        <v>322</v>
      </c>
      <c r="Q16" s="12">
        <v>253</v>
      </c>
      <c r="R16" s="12">
        <v>164</v>
      </c>
      <c r="S16" s="12">
        <v>293</v>
      </c>
      <c r="T16" s="12">
        <v>454</v>
      </c>
      <c r="U16" s="12">
        <v>205</v>
      </c>
      <c r="V16" s="12">
        <v>334</v>
      </c>
      <c r="W16" s="12">
        <v>261</v>
      </c>
      <c r="X16" s="12">
        <v>427</v>
      </c>
      <c r="Y16" s="12">
        <v>357</v>
      </c>
      <c r="Z16" s="12">
        <v>292</v>
      </c>
      <c r="AA16" s="12">
        <v>389</v>
      </c>
      <c r="AB16" s="12">
        <v>263</v>
      </c>
      <c r="AC16" s="12">
        <v>447</v>
      </c>
      <c r="AD16" s="12">
        <v>313</v>
      </c>
      <c r="AE16" s="12">
        <v>225</v>
      </c>
      <c r="AF16" s="12">
        <v>314</v>
      </c>
    </row>
    <row r="17" spans="1:32" ht="31.5" x14ac:dyDescent="0.35">
      <c r="A17" s="31"/>
      <c r="B17" s="13" t="s">
        <v>388</v>
      </c>
      <c r="C17" s="14">
        <v>0.28999999999999998</v>
      </c>
      <c r="D17" s="14">
        <v>0.32</v>
      </c>
      <c r="E17" s="14">
        <v>0.22</v>
      </c>
      <c r="F17" s="14">
        <v>0.23</v>
      </c>
      <c r="G17" s="14">
        <v>0.36</v>
      </c>
      <c r="H17" s="14">
        <v>0.31</v>
      </c>
      <c r="I17" s="14">
        <v>0.3</v>
      </c>
      <c r="J17" s="14">
        <v>0.26</v>
      </c>
      <c r="K17" s="14">
        <v>0.28999999999999998</v>
      </c>
      <c r="L17" s="14">
        <v>0.53</v>
      </c>
      <c r="M17" s="14">
        <v>0.27</v>
      </c>
      <c r="N17" s="14">
        <v>0.37</v>
      </c>
      <c r="O17" s="14">
        <v>0.17</v>
      </c>
      <c r="P17" s="14">
        <v>0.32</v>
      </c>
      <c r="Q17" s="14">
        <v>0.24</v>
      </c>
      <c r="R17" s="14">
        <v>0.33</v>
      </c>
      <c r="S17" s="14">
        <v>0.28999999999999998</v>
      </c>
      <c r="T17" s="14">
        <v>0.45</v>
      </c>
      <c r="U17" s="14">
        <v>0.4</v>
      </c>
      <c r="V17" s="14">
        <v>0.33</v>
      </c>
      <c r="W17" s="14">
        <v>0.52</v>
      </c>
      <c r="X17" s="14">
        <v>0.42</v>
      </c>
      <c r="Y17" s="14">
        <v>0.36</v>
      </c>
      <c r="Z17" s="14">
        <v>0.28999999999999998</v>
      </c>
      <c r="AA17" s="14">
        <v>0.38</v>
      </c>
      <c r="AB17" s="14">
        <v>0.25</v>
      </c>
      <c r="AC17" s="14">
        <v>0.44</v>
      </c>
      <c r="AD17" s="14">
        <v>0.31</v>
      </c>
      <c r="AE17" s="14">
        <v>0.22</v>
      </c>
      <c r="AF17" s="14">
        <v>0.31</v>
      </c>
    </row>
    <row r="18" spans="1:32" ht="51.5" x14ac:dyDescent="0.35">
      <c r="A18" s="31"/>
      <c r="B18" s="11" t="s">
        <v>389</v>
      </c>
      <c r="C18" s="12">
        <v>9435</v>
      </c>
      <c r="D18" s="12">
        <v>387</v>
      </c>
      <c r="E18" s="12">
        <v>301</v>
      </c>
      <c r="F18" s="12">
        <v>293</v>
      </c>
      <c r="G18" s="12">
        <v>611</v>
      </c>
      <c r="H18" s="12">
        <v>583</v>
      </c>
      <c r="I18" s="12">
        <v>704</v>
      </c>
      <c r="J18" s="12">
        <v>121</v>
      </c>
      <c r="K18" s="12">
        <v>333</v>
      </c>
      <c r="L18" s="12">
        <v>211</v>
      </c>
      <c r="M18" s="12">
        <v>342</v>
      </c>
      <c r="N18" s="12">
        <v>263</v>
      </c>
      <c r="O18" s="12">
        <v>357</v>
      </c>
      <c r="P18" s="12">
        <v>220</v>
      </c>
      <c r="Q18" s="12">
        <v>357</v>
      </c>
      <c r="R18" s="12">
        <v>148</v>
      </c>
      <c r="S18" s="12">
        <v>306</v>
      </c>
      <c r="T18" s="12">
        <v>220</v>
      </c>
      <c r="U18" s="12">
        <v>174</v>
      </c>
      <c r="V18" s="12">
        <v>277</v>
      </c>
      <c r="W18" s="12">
        <v>146</v>
      </c>
      <c r="X18" s="12">
        <v>581</v>
      </c>
      <c r="Y18" s="12">
        <v>291</v>
      </c>
      <c r="Z18" s="12">
        <v>221</v>
      </c>
      <c r="AA18" s="12">
        <v>224</v>
      </c>
      <c r="AB18" s="12">
        <v>249</v>
      </c>
      <c r="AC18" s="12">
        <v>335</v>
      </c>
      <c r="AD18" s="12">
        <v>325</v>
      </c>
      <c r="AE18" s="12">
        <v>601</v>
      </c>
      <c r="AF18" s="12">
        <v>738</v>
      </c>
    </row>
    <row r="19" spans="1:32" ht="51.5" x14ac:dyDescent="0.35">
      <c r="A19" s="31"/>
      <c r="B19" s="13" t="s">
        <v>390</v>
      </c>
      <c r="C19" s="14">
        <v>0.36</v>
      </c>
      <c r="D19" s="14">
        <v>0.38</v>
      </c>
      <c r="E19" s="14">
        <v>0.28999999999999998</v>
      </c>
      <c r="F19" s="14">
        <v>0.28999999999999998</v>
      </c>
      <c r="G19" s="14">
        <v>0.6</v>
      </c>
      <c r="H19" s="14">
        <v>0.47</v>
      </c>
      <c r="I19" s="14">
        <v>0.46</v>
      </c>
      <c r="J19" s="14">
        <v>0.41</v>
      </c>
      <c r="K19" s="14">
        <v>0.33</v>
      </c>
      <c r="L19" s="14">
        <v>0.21</v>
      </c>
      <c r="M19" s="14">
        <v>0.34</v>
      </c>
      <c r="N19" s="14">
        <v>0.26</v>
      </c>
      <c r="O19" s="14">
        <v>0.36</v>
      </c>
      <c r="P19" s="14">
        <v>0.22</v>
      </c>
      <c r="Q19" s="14">
        <v>0.34</v>
      </c>
      <c r="R19" s="14">
        <v>0.3</v>
      </c>
      <c r="S19" s="14">
        <v>0.3</v>
      </c>
      <c r="T19" s="14">
        <v>0.22</v>
      </c>
      <c r="U19" s="14">
        <v>0.34</v>
      </c>
      <c r="V19" s="14">
        <v>0.27</v>
      </c>
      <c r="W19" s="14">
        <v>0.28999999999999998</v>
      </c>
      <c r="X19" s="14">
        <v>0.57999999999999996</v>
      </c>
      <c r="Y19" s="14">
        <v>0.28999999999999998</v>
      </c>
      <c r="Z19" s="14">
        <v>0.22</v>
      </c>
      <c r="AA19" s="14">
        <v>0.22</v>
      </c>
      <c r="AB19" s="14">
        <v>0.24</v>
      </c>
      <c r="AC19" s="14">
        <v>0.33</v>
      </c>
      <c r="AD19" s="14">
        <v>0.32</v>
      </c>
      <c r="AE19" s="14">
        <v>0.6</v>
      </c>
      <c r="AF19" s="14">
        <v>0.72</v>
      </c>
    </row>
    <row r="20" spans="1:32" ht="51.5" x14ac:dyDescent="0.35">
      <c r="A20" s="31"/>
      <c r="B20" s="11" t="s">
        <v>391</v>
      </c>
      <c r="C20" s="12">
        <v>5064</v>
      </c>
      <c r="D20" s="12">
        <v>226</v>
      </c>
      <c r="E20" s="12">
        <v>125</v>
      </c>
      <c r="F20" s="12">
        <v>130</v>
      </c>
      <c r="G20" s="12">
        <v>177</v>
      </c>
      <c r="H20" s="12">
        <v>266</v>
      </c>
      <c r="I20" s="12">
        <v>328</v>
      </c>
      <c r="J20" s="12">
        <v>62</v>
      </c>
      <c r="K20" s="12">
        <v>135</v>
      </c>
      <c r="L20" s="12">
        <v>111</v>
      </c>
      <c r="M20" s="12">
        <v>230</v>
      </c>
      <c r="N20" s="12">
        <v>179</v>
      </c>
      <c r="O20" s="12">
        <v>171</v>
      </c>
      <c r="P20" s="12">
        <v>150</v>
      </c>
      <c r="Q20" s="12">
        <v>251</v>
      </c>
      <c r="R20" s="12">
        <v>58</v>
      </c>
      <c r="S20" s="12">
        <v>134</v>
      </c>
      <c r="T20" s="12">
        <v>100</v>
      </c>
      <c r="U20" s="12">
        <v>69</v>
      </c>
      <c r="V20" s="12">
        <v>174</v>
      </c>
      <c r="W20" s="12">
        <v>86</v>
      </c>
      <c r="X20" s="12">
        <v>228</v>
      </c>
      <c r="Y20" s="12">
        <v>182</v>
      </c>
      <c r="Z20" s="12">
        <v>188</v>
      </c>
      <c r="AA20" s="12">
        <v>105</v>
      </c>
      <c r="AB20" s="12">
        <v>176</v>
      </c>
      <c r="AC20" s="12">
        <v>141</v>
      </c>
      <c r="AD20" s="12">
        <v>143</v>
      </c>
      <c r="AE20" s="12">
        <v>286</v>
      </c>
      <c r="AF20" s="12">
        <v>191</v>
      </c>
    </row>
    <row r="21" spans="1:32" ht="41.5" x14ac:dyDescent="0.35">
      <c r="A21" s="31"/>
      <c r="B21" s="13" t="s">
        <v>392</v>
      </c>
      <c r="C21" s="14">
        <v>0.19</v>
      </c>
      <c r="D21" s="14">
        <v>0.22</v>
      </c>
      <c r="E21" s="14">
        <v>0.12</v>
      </c>
      <c r="F21" s="14">
        <v>0.13</v>
      </c>
      <c r="G21" s="14">
        <v>0.17</v>
      </c>
      <c r="H21" s="14">
        <v>0.22</v>
      </c>
      <c r="I21" s="14">
        <v>0.21</v>
      </c>
      <c r="J21" s="14">
        <v>0.21</v>
      </c>
      <c r="K21" s="14">
        <v>0.13</v>
      </c>
      <c r="L21" s="14">
        <v>0.11</v>
      </c>
      <c r="M21" s="14">
        <v>0.23</v>
      </c>
      <c r="N21" s="14">
        <v>0.18</v>
      </c>
      <c r="O21" s="14">
        <v>0.17</v>
      </c>
      <c r="P21" s="14">
        <v>0.15</v>
      </c>
      <c r="Q21" s="14">
        <v>0.24</v>
      </c>
      <c r="R21" s="14">
        <v>0.12</v>
      </c>
      <c r="S21" s="14">
        <v>0.13</v>
      </c>
      <c r="T21" s="14">
        <v>0.1</v>
      </c>
      <c r="U21" s="14">
        <v>0.14000000000000001</v>
      </c>
      <c r="V21" s="14">
        <v>0.17</v>
      </c>
      <c r="W21" s="14">
        <v>0.17</v>
      </c>
      <c r="X21" s="14">
        <v>0.23</v>
      </c>
      <c r="Y21" s="14">
        <v>0.18</v>
      </c>
      <c r="Z21" s="14">
        <v>0.18</v>
      </c>
      <c r="AA21" s="14">
        <v>0.1</v>
      </c>
      <c r="AB21" s="14">
        <v>0.17</v>
      </c>
      <c r="AC21" s="14">
        <v>0.14000000000000001</v>
      </c>
      <c r="AD21" s="14">
        <v>0.14000000000000001</v>
      </c>
      <c r="AE21" s="14">
        <v>0.28000000000000003</v>
      </c>
      <c r="AF21" s="14">
        <v>0.19</v>
      </c>
    </row>
    <row r="22" spans="1:32" ht="41.5" x14ac:dyDescent="0.35">
      <c r="A22" s="31"/>
      <c r="B22" s="11" t="s">
        <v>393</v>
      </c>
      <c r="C22" s="12">
        <v>3329</v>
      </c>
      <c r="D22" s="12">
        <v>118</v>
      </c>
      <c r="E22" s="12">
        <v>113</v>
      </c>
      <c r="F22" s="12">
        <v>106</v>
      </c>
      <c r="G22" s="12">
        <v>76</v>
      </c>
      <c r="H22" s="12">
        <v>106</v>
      </c>
      <c r="I22" s="12">
        <v>129</v>
      </c>
      <c r="J22" s="12">
        <v>23</v>
      </c>
      <c r="K22" s="12">
        <v>84</v>
      </c>
      <c r="L22" s="12">
        <v>84</v>
      </c>
      <c r="M22" s="12">
        <v>125</v>
      </c>
      <c r="N22" s="12">
        <v>117</v>
      </c>
      <c r="O22" s="12">
        <v>166</v>
      </c>
      <c r="P22" s="12">
        <v>154</v>
      </c>
      <c r="Q22" s="12">
        <v>169</v>
      </c>
      <c r="R22" s="12">
        <v>36</v>
      </c>
      <c r="S22" s="12">
        <v>46</v>
      </c>
      <c r="T22" s="12">
        <v>67</v>
      </c>
      <c r="U22" s="12">
        <v>59</v>
      </c>
      <c r="V22" s="12">
        <v>162</v>
      </c>
      <c r="W22" s="12">
        <v>87</v>
      </c>
      <c r="X22" s="12">
        <v>65</v>
      </c>
      <c r="Y22" s="12">
        <v>188</v>
      </c>
      <c r="Z22" s="12">
        <v>146</v>
      </c>
      <c r="AA22" s="12">
        <v>145</v>
      </c>
      <c r="AB22" s="12">
        <v>180</v>
      </c>
      <c r="AC22" s="12">
        <v>59</v>
      </c>
      <c r="AD22" s="12">
        <v>123</v>
      </c>
      <c r="AE22" s="12">
        <v>58</v>
      </c>
      <c r="AF22" s="12">
        <v>75</v>
      </c>
    </row>
    <row r="23" spans="1:32" ht="31.5" x14ac:dyDescent="0.35">
      <c r="A23" s="31"/>
      <c r="B23" s="13" t="s">
        <v>394</v>
      </c>
      <c r="C23" s="14">
        <v>0.13</v>
      </c>
      <c r="D23" s="14">
        <v>0.11</v>
      </c>
      <c r="E23" s="14">
        <v>0.11</v>
      </c>
      <c r="F23" s="14">
        <v>0.1</v>
      </c>
      <c r="G23" s="14">
        <v>0.08</v>
      </c>
      <c r="H23" s="14">
        <v>0.09</v>
      </c>
      <c r="I23" s="14">
        <v>0.08</v>
      </c>
      <c r="J23" s="14">
        <v>0.08</v>
      </c>
      <c r="K23" s="14">
        <v>0.08</v>
      </c>
      <c r="L23" s="14">
        <v>0.08</v>
      </c>
      <c r="M23" s="14">
        <v>0.12</v>
      </c>
      <c r="N23" s="14">
        <v>0.12</v>
      </c>
      <c r="O23" s="14">
        <v>0.17</v>
      </c>
      <c r="P23" s="14">
        <v>0.15</v>
      </c>
      <c r="Q23" s="14">
        <v>0.16</v>
      </c>
      <c r="R23" s="14">
        <v>7.0000000000000007E-2</v>
      </c>
      <c r="S23" s="14">
        <v>0.05</v>
      </c>
      <c r="T23" s="14">
        <v>7.0000000000000007E-2</v>
      </c>
      <c r="U23" s="14">
        <v>0.11</v>
      </c>
      <c r="V23" s="14">
        <v>0.16</v>
      </c>
      <c r="W23" s="14">
        <v>0.17</v>
      </c>
      <c r="X23" s="14">
        <v>0.06</v>
      </c>
      <c r="Y23" s="14">
        <v>0.19</v>
      </c>
      <c r="Z23" s="14">
        <v>0.14000000000000001</v>
      </c>
      <c r="AA23" s="14">
        <v>0.14000000000000001</v>
      </c>
      <c r="AB23" s="14">
        <v>0.17</v>
      </c>
      <c r="AC23" s="14">
        <v>0.06</v>
      </c>
      <c r="AD23" s="14">
        <v>0.12</v>
      </c>
      <c r="AE23" s="14">
        <v>0.06</v>
      </c>
      <c r="AF23" s="14">
        <v>7.0000000000000007E-2</v>
      </c>
    </row>
    <row r="24" spans="1:32" ht="41.5" x14ac:dyDescent="0.35">
      <c r="A24" s="31"/>
      <c r="B24" s="11" t="s">
        <v>395</v>
      </c>
      <c r="C24" s="12">
        <v>6405</v>
      </c>
      <c r="D24" s="12">
        <v>240</v>
      </c>
      <c r="E24" s="12">
        <v>206</v>
      </c>
      <c r="F24" s="12">
        <v>274</v>
      </c>
      <c r="G24" s="12">
        <v>378</v>
      </c>
      <c r="H24" s="12">
        <v>239</v>
      </c>
      <c r="I24" s="12">
        <v>290</v>
      </c>
      <c r="J24" s="12">
        <v>51</v>
      </c>
      <c r="K24" s="12">
        <v>182</v>
      </c>
      <c r="L24" s="12">
        <v>268</v>
      </c>
      <c r="M24" s="12">
        <v>338</v>
      </c>
      <c r="N24" s="12">
        <v>196</v>
      </c>
      <c r="O24" s="12">
        <v>308</v>
      </c>
      <c r="P24" s="12">
        <v>238</v>
      </c>
      <c r="Q24" s="12">
        <v>356</v>
      </c>
      <c r="R24" s="12">
        <v>83</v>
      </c>
      <c r="S24" s="12">
        <v>101</v>
      </c>
      <c r="T24" s="12">
        <v>147</v>
      </c>
      <c r="U24" s="12">
        <v>150</v>
      </c>
      <c r="V24" s="12">
        <v>210</v>
      </c>
      <c r="W24" s="12">
        <v>124</v>
      </c>
      <c r="X24" s="12">
        <v>97</v>
      </c>
      <c r="Y24" s="12">
        <v>255</v>
      </c>
      <c r="Z24" s="12">
        <v>194</v>
      </c>
      <c r="AA24" s="12">
        <v>462</v>
      </c>
      <c r="AB24" s="12">
        <v>213</v>
      </c>
      <c r="AC24" s="12">
        <v>110</v>
      </c>
      <c r="AD24" s="12">
        <v>218</v>
      </c>
      <c r="AE24" s="12">
        <v>168</v>
      </c>
      <c r="AF24" s="12">
        <v>171</v>
      </c>
    </row>
    <row r="25" spans="1:32" ht="31.5" x14ac:dyDescent="0.35">
      <c r="A25" s="31"/>
      <c r="B25" s="13" t="s">
        <v>396</v>
      </c>
      <c r="C25" s="14">
        <v>0.24</v>
      </c>
      <c r="D25" s="14">
        <v>0.23</v>
      </c>
      <c r="E25" s="14">
        <v>0.2</v>
      </c>
      <c r="F25" s="14">
        <v>0.27</v>
      </c>
      <c r="G25" s="14">
        <v>0.37</v>
      </c>
      <c r="H25" s="14">
        <v>0.19</v>
      </c>
      <c r="I25" s="14">
        <v>0.19</v>
      </c>
      <c r="J25" s="14">
        <v>0.17</v>
      </c>
      <c r="K25" s="14">
        <v>0.18</v>
      </c>
      <c r="L25" s="14">
        <v>0.27</v>
      </c>
      <c r="M25" s="14">
        <v>0.34</v>
      </c>
      <c r="N25" s="14">
        <v>0.2</v>
      </c>
      <c r="O25" s="14">
        <v>0.31</v>
      </c>
      <c r="P25" s="14">
        <v>0.24</v>
      </c>
      <c r="Q25" s="14">
        <v>0.34</v>
      </c>
      <c r="R25" s="14">
        <v>0.16</v>
      </c>
      <c r="S25" s="14">
        <v>0.1</v>
      </c>
      <c r="T25" s="14">
        <v>0.14000000000000001</v>
      </c>
      <c r="U25" s="14">
        <v>0.3</v>
      </c>
      <c r="V25" s="14">
        <v>0.21</v>
      </c>
      <c r="W25" s="14">
        <v>0.25</v>
      </c>
      <c r="X25" s="14">
        <v>0.1</v>
      </c>
      <c r="Y25" s="14">
        <v>0.25</v>
      </c>
      <c r="Z25" s="14">
        <v>0.19</v>
      </c>
      <c r="AA25" s="14">
        <v>0.45</v>
      </c>
      <c r="AB25" s="14">
        <v>0.2</v>
      </c>
      <c r="AC25" s="14">
        <v>0.11</v>
      </c>
      <c r="AD25" s="14">
        <v>0.22</v>
      </c>
      <c r="AE25" s="14">
        <v>0.17</v>
      </c>
      <c r="AF25" s="14">
        <v>0.17</v>
      </c>
    </row>
    <row r="26" spans="1:32" ht="31.5" x14ac:dyDescent="0.35">
      <c r="A26" s="31"/>
      <c r="B26" s="11" t="s">
        <v>397</v>
      </c>
      <c r="C26" s="12">
        <v>4752</v>
      </c>
      <c r="D26" s="12">
        <v>181</v>
      </c>
      <c r="E26" s="12">
        <v>212</v>
      </c>
      <c r="F26" s="12">
        <v>237</v>
      </c>
      <c r="G26" s="12">
        <v>133</v>
      </c>
      <c r="H26" s="12">
        <v>212</v>
      </c>
      <c r="I26" s="12">
        <v>251</v>
      </c>
      <c r="J26" s="12">
        <v>39</v>
      </c>
      <c r="K26" s="12">
        <v>286</v>
      </c>
      <c r="L26" s="12">
        <v>462</v>
      </c>
      <c r="M26" s="12">
        <v>200</v>
      </c>
      <c r="N26" s="12">
        <v>196</v>
      </c>
      <c r="O26" s="12">
        <v>77</v>
      </c>
      <c r="P26" s="12">
        <v>321</v>
      </c>
      <c r="Q26" s="12">
        <v>127</v>
      </c>
      <c r="R26" s="12">
        <v>103</v>
      </c>
      <c r="S26" s="12">
        <v>302</v>
      </c>
      <c r="T26" s="12">
        <v>382</v>
      </c>
      <c r="U26" s="12">
        <v>103</v>
      </c>
      <c r="V26" s="12">
        <v>230</v>
      </c>
      <c r="W26" s="12">
        <v>124</v>
      </c>
      <c r="X26" s="12">
        <v>162</v>
      </c>
      <c r="Y26" s="12">
        <v>259</v>
      </c>
      <c r="Z26" s="12">
        <v>287</v>
      </c>
      <c r="AA26" s="12">
        <v>359</v>
      </c>
      <c r="AB26" s="12">
        <v>279</v>
      </c>
      <c r="AC26" s="12">
        <v>276</v>
      </c>
      <c r="AD26" s="12">
        <v>332</v>
      </c>
      <c r="AE26" s="12">
        <v>105</v>
      </c>
      <c r="AF26" s="12">
        <v>63</v>
      </c>
    </row>
    <row r="27" spans="1:32" ht="31.5" x14ac:dyDescent="0.35">
      <c r="A27" s="31"/>
      <c r="B27" s="13" t="s">
        <v>398</v>
      </c>
      <c r="C27" s="14">
        <v>0.18</v>
      </c>
      <c r="D27" s="14">
        <v>0.18</v>
      </c>
      <c r="E27" s="14">
        <v>0.2</v>
      </c>
      <c r="F27" s="14">
        <v>0.23</v>
      </c>
      <c r="G27" s="14">
        <v>0.13</v>
      </c>
      <c r="H27" s="14">
        <v>0.17</v>
      </c>
      <c r="I27" s="14">
        <v>0.16</v>
      </c>
      <c r="J27" s="14">
        <v>0.13</v>
      </c>
      <c r="K27" s="14">
        <v>0.28000000000000003</v>
      </c>
      <c r="L27" s="14">
        <v>0.46</v>
      </c>
      <c r="M27" s="14">
        <v>0.2</v>
      </c>
      <c r="N27" s="14">
        <v>0.2</v>
      </c>
      <c r="O27" s="14">
        <v>0.08</v>
      </c>
      <c r="P27" s="14">
        <v>0.32</v>
      </c>
      <c r="Q27" s="14">
        <v>0.12</v>
      </c>
      <c r="R27" s="14">
        <v>0.21</v>
      </c>
      <c r="S27" s="14">
        <v>0.3</v>
      </c>
      <c r="T27" s="14">
        <v>0.38</v>
      </c>
      <c r="U27" s="14">
        <v>0.2</v>
      </c>
      <c r="V27" s="14">
        <v>0.23</v>
      </c>
      <c r="W27" s="14">
        <v>0.25</v>
      </c>
      <c r="X27" s="14">
        <v>0.16</v>
      </c>
      <c r="Y27" s="14">
        <v>0.26</v>
      </c>
      <c r="Z27" s="14">
        <v>0.28000000000000003</v>
      </c>
      <c r="AA27" s="14">
        <v>0.35</v>
      </c>
      <c r="AB27" s="14">
        <v>0.26</v>
      </c>
      <c r="AC27" s="14">
        <v>0.27</v>
      </c>
      <c r="AD27" s="14">
        <v>0.33</v>
      </c>
      <c r="AE27" s="14">
        <v>0.1</v>
      </c>
      <c r="AF27" s="14">
        <v>0.06</v>
      </c>
    </row>
    <row r="28" spans="1:32" ht="31.5" x14ac:dyDescent="0.35">
      <c r="A28" s="31"/>
      <c r="B28" s="11" t="s">
        <v>399</v>
      </c>
      <c r="C28" s="12">
        <v>3446</v>
      </c>
      <c r="D28" s="12">
        <v>174</v>
      </c>
      <c r="E28" s="12">
        <v>148</v>
      </c>
      <c r="F28" s="12">
        <v>143</v>
      </c>
      <c r="G28" s="12">
        <v>126</v>
      </c>
      <c r="H28" s="12">
        <v>143</v>
      </c>
      <c r="I28" s="12">
        <v>197</v>
      </c>
      <c r="J28" s="12">
        <v>55</v>
      </c>
      <c r="K28" s="12">
        <v>68</v>
      </c>
      <c r="L28" s="12">
        <v>76</v>
      </c>
      <c r="M28" s="12">
        <v>104</v>
      </c>
      <c r="N28" s="12">
        <v>88</v>
      </c>
      <c r="O28" s="12">
        <v>166</v>
      </c>
      <c r="P28" s="12">
        <v>112</v>
      </c>
      <c r="Q28" s="12">
        <v>149</v>
      </c>
      <c r="R28" s="12">
        <v>42</v>
      </c>
      <c r="S28" s="12">
        <v>59</v>
      </c>
      <c r="T28" s="12">
        <v>52</v>
      </c>
      <c r="U28" s="12">
        <v>49</v>
      </c>
      <c r="V28" s="12">
        <v>155</v>
      </c>
      <c r="W28" s="12">
        <v>63</v>
      </c>
      <c r="X28" s="12">
        <v>147</v>
      </c>
      <c r="Y28" s="12">
        <v>132</v>
      </c>
      <c r="Z28" s="12">
        <v>124</v>
      </c>
      <c r="AA28" s="12">
        <v>85</v>
      </c>
      <c r="AB28" s="12">
        <v>167</v>
      </c>
      <c r="AC28" s="12">
        <v>67</v>
      </c>
      <c r="AD28" s="12">
        <v>89</v>
      </c>
      <c r="AE28" s="12">
        <v>97</v>
      </c>
      <c r="AF28" s="12">
        <v>136</v>
      </c>
    </row>
    <row r="29" spans="1:32" ht="31.5" x14ac:dyDescent="0.35">
      <c r="A29" s="31"/>
      <c r="B29" s="13" t="s">
        <v>400</v>
      </c>
      <c r="C29" s="14">
        <v>0.13</v>
      </c>
      <c r="D29" s="14">
        <v>0.17</v>
      </c>
      <c r="E29" s="14">
        <v>0.14000000000000001</v>
      </c>
      <c r="F29" s="14">
        <v>0.14000000000000001</v>
      </c>
      <c r="G29" s="14">
        <v>0.12</v>
      </c>
      <c r="H29" s="14">
        <v>0.12</v>
      </c>
      <c r="I29" s="14">
        <v>0.13</v>
      </c>
      <c r="J29" s="14">
        <v>0.18</v>
      </c>
      <c r="K29" s="14">
        <v>7.0000000000000007E-2</v>
      </c>
      <c r="L29" s="14">
        <v>0.08</v>
      </c>
      <c r="M29" s="14">
        <v>0.1</v>
      </c>
      <c r="N29" s="14">
        <v>0.09</v>
      </c>
      <c r="O29" s="14">
        <v>0.17</v>
      </c>
      <c r="P29" s="14">
        <v>0.11</v>
      </c>
      <c r="Q29" s="14">
        <v>0.14000000000000001</v>
      </c>
      <c r="R29" s="14">
        <v>0.08</v>
      </c>
      <c r="S29" s="14">
        <v>0.06</v>
      </c>
      <c r="T29" s="14">
        <v>0.05</v>
      </c>
      <c r="U29" s="14">
        <v>0.1</v>
      </c>
      <c r="V29" s="14">
        <v>0.15</v>
      </c>
      <c r="W29" s="14">
        <v>0.13</v>
      </c>
      <c r="X29" s="14">
        <v>0.15</v>
      </c>
      <c r="Y29" s="14">
        <v>0.13</v>
      </c>
      <c r="Z29" s="14">
        <v>0.12</v>
      </c>
      <c r="AA29" s="14">
        <v>0.08</v>
      </c>
      <c r="AB29" s="14">
        <v>0.16</v>
      </c>
      <c r="AC29" s="14">
        <v>7.0000000000000007E-2</v>
      </c>
      <c r="AD29" s="14">
        <v>0.09</v>
      </c>
      <c r="AE29" s="14">
        <v>0.1</v>
      </c>
      <c r="AF29" s="14">
        <v>0.13</v>
      </c>
    </row>
    <row r="30" spans="1:32" ht="31.5" x14ac:dyDescent="0.35">
      <c r="A30" s="31"/>
      <c r="B30" s="11" t="s">
        <v>401</v>
      </c>
      <c r="C30" s="12">
        <v>3768</v>
      </c>
      <c r="D30" s="12">
        <v>193</v>
      </c>
      <c r="E30" s="12">
        <v>82</v>
      </c>
      <c r="F30" s="12">
        <v>108</v>
      </c>
      <c r="G30" s="12">
        <v>196</v>
      </c>
      <c r="H30" s="12">
        <v>162</v>
      </c>
      <c r="I30" s="12">
        <v>201</v>
      </c>
      <c r="J30" s="12">
        <v>39</v>
      </c>
      <c r="K30" s="12">
        <v>83</v>
      </c>
      <c r="L30" s="12">
        <v>136</v>
      </c>
      <c r="M30" s="12">
        <v>132</v>
      </c>
      <c r="N30" s="12">
        <v>105</v>
      </c>
      <c r="O30" s="12">
        <v>126</v>
      </c>
      <c r="P30" s="12">
        <v>171</v>
      </c>
      <c r="Q30" s="12">
        <v>188</v>
      </c>
      <c r="R30" s="12">
        <v>59</v>
      </c>
      <c r="S30" s="12">
        <v>57</v>
      </c>
      <c r="T30" s="12">
        <v>47</v>
      </c>
      <c r="U30" s="12">
        <v>55</v>
      </c>
      <c r="V30" s="12">
        <v>207</v>
      </c>
      <c r="W30" s="12">
        <v>55</v>
      </c>
      <c r="X30" s="12">
        <v>211</v>
      </c>
      <c r="Y30" s="12">
        <v>196</v>
      </c>
      <c r="Z30" s="12">
        <v>142</v>
      </c>
      <c r="AA30" s="12">
        <v>82</v>
      </c>
      <c r="AB30" s="12">
        <v>154</v>
      </c>
      <c r="AC30" s="12">
        <v>123</v>
      </c>
      <c r="AD30" s="12">
        <v>127</v>
      </c>
      <c r="AE30" s="12">
        <v>109</v>
      </c>
      <c r="AF30" s="12">
        <v>243</v>
      </c>
    </row>
    <row r="31" spans="1:32" ht="31.5" x14ac:dyDescent="0.35">
      <c r="A31" s="31"/>
      <c r="B31" s="13" t="s">
        <v>402</v>
      </c>
      <c r="C31" s="14">
        <v>0.14000000000000001</v>
      </c>
      <c r="D31" s="14">
        <v>0.19</v>
      </c>
      <c r="E31" s="14">
        <v>0.08</v>
      </c>
      <c r="F31" s="14">
        <v>0.11</v>
      </c>
      <c r="G31" s="14">
        <v>0.19</v>
      </c>
      <c r="H31" s="14">
        <v>0.13</v>
      </c>
      <c r="I31" s="14">
        <v>0.13</v>
      </c>
      <c r="J31" s="14">
        <v>0.13</v>
      </c>
      <c r="K31" s="14">
        <v>0.08</v>
      </c>
      <c r="L31" s="14">
        <v>0.14000000000000001</v>
      </c>
      <c r="M31" s="14">
        <v>0.13</v>
      </c>
      <c r="N31" s="14">
        <v>0.1</v>
      </c>
      <c r="O31" s="14">
        <v>0.13</v>
      </c>
      <c r="P31" s="14">
        <v>0.17</v>
      </c>
      <c r="Q31" s="14">
        <v>0.18</v>
      </c>
      <c r="R31" s="14">
        <v>0.12</v>
      </c>
      <c r="S31" s="14">
        <v>0.06</v>
      </c>
      <c r="T31" s="14">
        <v>0.05</v>
      </c>
      <c r="U31" s="14">
        <v>0.11</v>
      </c>
      <c r="V31" s="14">
        <v>0.2</v>
      </c>
      <c r="W31" s="14">
        <v>0.11</v>
      </c>
      <c r="X31" s="14">
        <v>0.21</v>
      </c>
      <c r="Y31" s="14">
        <v>0.2</v>
      </c>
      <c r="Z31" s="14">
        <v>0.14000000000000001</v>
      </c>
      <c r="AA31" s="14">
        <v>0.08</v>
      </c>
      <c r="AB31" s="14">
        <v>0.15</v>
      </c>
      <c r="AC31" s="14">
        <v>0.12</v>
      </c>
      <c r="AD31" s="14">
        <v>0.13</v>
      </c>
      <c r="AE31" s="14">
        <v>0.11</v>
      </c>
      <c r="AF31" s="14">
        <v>0.24</v>
      </c>
    </row>
    <row r="32" spans="1:32" ht="41.5" x14ac:dyDescent="0.35">
      <c r="A32" s="31"/>
      <c r="B32" s="11" t="s">
        <v>403</v>
      </c>
      <c r="C32" s="12">
        <v>6727</v>
      </c>
      <c r="D32" s="12">
        <v>224</v>
      </c>
      <c r="E32" s="12">
        <v>492</v>
      </c>
      <c r="F32" s="12">
        <v>381</v>
      </c>
      <c r="G32" s="12">
        <v>126</v>
      </c>
      <c r="H32" s="12">
        <v>245</v>
      </c>
      <c r="I32" s="12">
        <v>320</v>
      </c>
      <c r="J32" s="12">
        <v>75</v>
      </c>
      <c r="K32" s="12">
        <v>389</v>
      </c>
      <c r="L32" s="12">
        <v>383</v>
      </c>
      <c r="M32" s="12">
        <v>241</v>
      </c>
      <c r="N32" s="12">
        <v>255</v>
      </c>
      <c r="O32" s="12">
        <v>141</v>
      </c>
      <c r="P32" s="12">
        <v>496</v>
      </c>
      <c r="Q32" s="12">
        <v>238</v>
      </c>
      <c r="R32" s="12">
        <v>166</v>
      </c>
      <c r="S32" s="12">
        <v>316</v>
      </c>
      <c r="T32" s="12">
        <v>434</v>
      </c>
      <c r="U32" s="12">
        <v>163</v>
      </c>
      <c r="V32" s="12">
        <v>421</v>
      </c>
      <c r="W32" s="12">
        <v>190</v>
      </c>
      <c r="X32" s="12">
        <v>110</v>
      </c>
      <c r="Y32" s="12">
        <v>267</v>
      </c>
      <c r="Z32" s="12">
        <v>403</v>
      </c>
      <c r="AA32" s="12">
        <v>347</v>
      </c>
      <c r="AB32" s="12">
        <v>410</v>
      </c>
      <c r="AC32" s="12">
        <v>384</v>
      </c>
      <c r="AD32" s="12">
        <v>479</v>
      </c>
      <c r="AE32" s="12">
        <v>316</v>
      </c>
      <c r="AF32" s="12">
        <v>223</v>
      </c>
    </row>
    <row r="33" spans="1:32" ht="31.5" x14ac:dyDescent="0.35">
      <c r="A33" s="31"/>
      <c r="B33" s="13" t="s">
        <v>404</v>
      </c>
      <c r="C33" s="14">
        <v>0.25</v>
      </c>
      <c r="D33" s="14">
        <v>0.22</v>
      </c>
      <c r="E33" s="14">
        <v>0.47</v>
      </c>
      <c r="F33" s="14">
        <v>0.37</v>
      </c>
      <c r="G33" s="14">
        <v>0.12</v>
      </c>
      <c r="H33" s="14">
        <v>0.2</v>
      </c>
      <c r="I33" s="14">
        <v>0.21</v>
      </c>
      <c r="J33" s="14">
        <v>0.25</v>
      </c>
      <c r="K33" s="14">
        <v>0.39</v>
      </c>
      <c r="L33" s="14">
        <v>0.38</v>
      </c>
      <c r="M33" s="14">
        <v>0.24</v>
      </c>
      <c r="N33" s="14">
        <v>0.25</v>
      </c>
      <c r="O33" s="14">
        <v>0.14000000000000001</v>
      </c>
      <c r="P33" s="14">
        <v>0.49</v>
      </c>
      <c r="Q33" s="14">
        <v>0.23</v>
      </c>
      <c r="R33" s="14">
        <v>0.33</v>
      </c>
      <c r="S33" s="14">
        <v>0.31</v>
      </c>
      <c r="T33" s="14">
        <v>0.43</v>
      </c>
      <c r="U33" s="14">
        <v>0.32</v>
      </c>
      <c r="V33" s="14">
        <v>0.41</v>
      </c>
      <c r="W33" s="14">
        <v>0.38</v>
      </c>
      <c r="X33" s="14">
        <v>0.11</v>
      </c>
      <c r="Y33" s="14">
        <v>0.27</v>
      </c>
      <c r="Z33" s="14">
        <v>0.4</v>
      </c>
      <c r="AA33" s="14">
        <v>0.34</v>
      </c>
      <c r="AB33" s="14">
        <v>0.39</v>
      </c>
      <c r="AC33" s="14">
        <v>0.38</v>
      </c>
      <c r="AD33" s="14">
        <v>0.48</v>
      </c>
      <c r="AE33" s="14">
        <v>0.31</v>
      </c>
      <c r="AF33" s="14">
        <v>0.22</v>
      </c>
    </row>
    <row r="34" spans="1:32" ht="31.5" x14ac:dyDescent="0.35">
      <c r="A34" s="31"/>
      <c r="B34" s="11" t="s">
        <v>405</v>
      </c>
      <c r="C34" s="12">
        <v>292</v>
      </c>
      <c r="D34" s="12">
        <v>3</v>
      </c>
      <c r="E34" s="12">
        <v>15</v>
      </c>
      <c r="F34" s="12">
        <v>8</v>
      </c>
      <c r="G34" s="12">
        <v>10</v>
      </c>
      <c r="H34" s="12">
        <v>17</v>
      </c>
      <c r="I34" s="12">
        <v>20</v>
      </c>
      <c r="J34" s="12">
        <v>3</v>
      </c>
      <c r="K34" s="12">
        <v>30</v>
      </c>
      <c r="L34" s="12">
        <v>1</v>
      </c>
      <c r="M34" s="12">
        <v>0</v>
      </c>
      <c r="N34" s="12">
        <v>8</v>
      </c>
      <c r="O34" s="12">
        <v>17</v>
      </c>
      <c r="P34" s="12">
        <v>7</v>
      </c>
      <c r="Q34" s="12">
        <v>12</v>
      </c>
      <c r="R34" s="12">
        <v>6</v>
      </c>
      <c r="S34" s="12">
        <v>15</v>
      </c>
      <c r="T34" s="12">
        <v>6</v>
      </c>
      <c r="U34" s="12">
        <v>4</v>
      </c>
      <c r="V34" s="12">
        <v>3</v>
      </c>
      <c r="W34" s="12">
        <v>0</v>
      </c>
      <c r="X34" s="12">
        <v>7</v>
      </c>
      <c r="Y34" s="12">
        <v>37</v>
      </c>
      <c r="Z34" s="12">
        <v>16</v>
      </c>
      <c r="AA34" s="12">
        <v>11</v>
      </c>
      <c r="AB34" s="12">
        <v>5</v>
      </c>
      <c r="AC34" s="12">
        <v>6</v>
      </c>
      <c r="AD34" s="12">
        <v>1</v>
      </c>
      <c r="AE34" s="12">
        <v>3</v>
      </c>
      <c r="AF34" s="12">
        <v>0</v>
      </c>
    </row>
    <row r="35" spans="1:32" ht="21.5" x14ac:dyDescent="0.35">
      <c r="A35" s="31"/>
      <c r="B35" s="13" t="s">
        <v>406</v>
      </c>
      <c r="C35" s="14">
        <v>0.01</v>
      </c>
      <c r="D35" s="15" t="s">
        <v>333</v>
      </c>
      <c r="E35" s="14">
        <v>0.01</v>
      </c>
      <c r="F35" s="14">
        <v>0.01</v>
      </c>
      <c r="G35" s="14">
        <v>0.01</v>
      </c>
      <c r="H35" s="14">
        <v>0.01</v>
      </c>
      <c r="I35" s="14">
        <v>0.01</v>
      </c>
      <c r="J35" s="14">
        <v>0.01</v>
      </c>
      <c r="K35" s="14">
        <v>0.03</v>
      </c>
      <c r="L35" s="15" t="s">
        <v>333</v>
      </c>
      <c r="M35" s="15" t="s">
        <v>333</v>
      </c>
      <c r="N35" s="14">
        <v>0.01</v>
      </c>
      <c r="O35" s="14">
        <v>0.02</v>
      </c>
      <c r="P35" s="14">
        <v>0.01</v>
      </c>
      <c r="Q35" s="14">
        <v>0.01</v>
      </c>
      <c r="R35" s="14">
        <v>0.01</v>
      </c>
      <c r="S35" s="14">
        <v>0.01</v>
      </c>
      <c r="T35" s="14">
        <v>0.01</v>
      </c>
      <c r="U35" s="14">
        <v>0.01</v>
      </c>
      <c r="V35" s="15" t="s">
        <v>333</v>
      </c>
      <c r="W35" s="15" t="s">
        <v>333</v>
      </c>
      <c r="X35" s="14">
        <v>0.01</v>
      </c>
      <c r="Y35" s="14">
        <v>0.04</v>
      </c>
      <c r="Z35" s="14">
        <v>0.02</v>
      </c>
      <c r="AA35" s="14">
        <v>0.01</v>
      </c>
      <c r="AB35" s="14">
        <v>0.01</v>
      </c>
      <c r="AC35" s="14">
        <v>0.01</v>
      </c>
      <c r="AD35" s="15" t="s">
        <v>333</v>
      </c>
      <c r="AE35" s="15" t="s">
        <v>333</v>
      </c>
      <c r="AF35" s="15" t="s">
        <v>333</v>
      </c>
    </row>
    <row r="36" spans="1:32" x14ac:dyDescent="0.35">
      <c r="A36" s="31"/>
      <c r="B36" s="11" t="s">
        <v>407</v>
      </c>
      <c r="C36" s="12">
        <v>891</v>
      </c>
      <c r="D36" s="12">
        <v>22</v>
      </c>
      <c r="E36" s="12">
        <v>38</v>
      </c>
      <c r="F36" s="12">
        <v>21</v>
      </c>
      <c r="G36" s="12">
        <v>9</v>
      </c>
      <c r="H36" s="12">
        <v>33</v>
      </c>
      <c r="I36" s="12">
        <v>52</v>
      </c>
      <c r="J36" s="12">
        <v>19</v>
      </c>
      <c r="K36" s="12">
        <v>66</v>
      </c>
      <c r="L36" s="12">
        <v>16</v>
      </c>
      <c r="M36" s="12">
        <v>31</v>
      </c>
      <c r="N36" s="12">
        <v>44</v>
      </c>
      <c r="O36" s="12">
        <v>59</v>
      </c>
      <c r="P36" s="12">
        <v>12</v>
      </c>
      <c r="Q36" s="12">
        <v>26</v>
      </c>
      <c r="R36" s="12">
        <v>16</v>
      </c>
      <c r="S36" s="12">
        <v>67</v>
      </c>
      <c r="T36" s="12">
        <v>40</v>
      </c>
      <c r="U36" s="12">
        <v>14</v>
      </c>
      <c r="V36" s="12">
        <v>8</v>
      </c>
      <c r="W36" s="12">
        <v>2</v>
      </c>
      <c r="X36" s="12">
        <v>23</v>
      </c>
      <c r="Y36" s="12">
        <v>48</v>
      </c>
      <c r="Z36" s="12">
        <v>13</v>
      </c>
      <c r="AA36" s="12">
        <v>11</v>
      </c>
      <c r="AB36" s="12">
        <v>66</v>
      </c>
      <c r="AC36" s="12">
        <v>57</v>
      </c>
      <c r="AD36" s="12">
        <v>20</v>
      </c>
      <c r="AE36" s="12">
        <v>27</v>
      </c>
      <c r="AF36" s="12">
        <v>9</v>
      </c>
    </row>
    <row r="37" spans="1:32" x14ac:dyDescent="0.35">
      <c r="A37" s="31"/>
      <c r="B37" s="13" t="s">
        <v>408</v>
      </c>
      <c r="C37" s="14">
        <v>0.03</v>
      </c>
      <c r="D37" s="14">
        <v>0.02</v>
      </c>
      <c r="E37" s="14">
        <v>0.04</v>
      </c>
      <c r="F37" s="14">
        <v>0.02</v>
      </c>
      <c r="G37" s="14">
        <v>0.01</v>
      </c>
      <c r="H37" s="14">
        <v>0.03</v>
      </c>
      <c r="I37" s="14">
        <v>0.03</v>
      </c>
      <c r="J37" s="14">
        <v>0.06</v>
      </c>
      <c r="K37" s="14">
        <v>7.0000000000000007E-2</v>
      </c>
      <c r="L37" s="14">
        <v>0.02</v>
      </c>
      <c r="M37" s="14">
        <v>0.03</v>
      </c>
      <c r="N37" s="14">
        <v>0.04</v>
      </c>
      <c r="O37" s="14">
        <v>0.06</v>
      </c>
      <c r="P37" s="14">
        <v>0.01</v>
      </c>
      <c r="Q37" s="14">
        <v>0.02</v>
      </c>
      <c r="R37" s="14">
        <v>0.03</v>
      </c>
      <c r="S37" s="14">
        <v>7.0000000000000007E-2</v>
      </c>
      <c r="T37" s="14">
        <v>0.04</v>
      </c>
      <c r="U37" s="14">
        <v>0.03</v>
      </c>
      <c r="V37" s="14">
        <v>0.01</v>
      </c>
      <c r="W37" s="15" t="s">
        <v>333</v>
      </c>
      <c r="X37" s="14">
        <v>0.02</v>
      </c>
      <c r="Y37" s="14">
        <v>0.05</v>
      </c>
      <c r="Z37" s="14">
        <v>0.01</v>
      </c>
      <c r="AA37" s="14">
        <v>0.01</v>
      </c>
      <c r="AB37" s="14">
        <v>0.06</v>
      </c>
      <c r="AC37" s="14">
        <v>0.06</v>
      </c>
      <c r="AD37" s="14">
        <v>0.02</v>
      </c>
      <c r="AE37" s="14">
        <v>0.03</v>
      </c>
      <c r="AF37" s="14">
        <v>0.01</v>
      </c>
    </row>
    <row r="38" spans="1:32" x14ac:dyDescent="0.35">
      <c r="A38" s="31"/>
      <c r="B38" s="11" t="s">
        <v>344</v>
      </c>
      <c r="C38" s="12">
        <v>1127</v>
      </c>
      <c r="D38" s="12">
        <v>19</v>
      </c>
      <c r="E38" s="12">
        <v>77</v>
      </c>
      <c r="F38" s="12">
        <v>48</v>
      </c>
      <c r="G38" s="12">
        <v>28</v>
      </c>
      <c r="H38" s="12">
        <v>29</v>
      </c>
      <c r="I38" s="12">
        <v>41</v>
      </c>
      <c r="J38" s="12">
        <v>12</v>
      </c>
      <c r="K38" s="12">
        <v>40</v>
      </c>
      <c r="L38" s="12">
        <v>35</v>
      </c>
      <c r="M38" s="12">
        <v>46</v>
      </c>
      <c r="N38" s="12">
        <v>79</v>
      </c>
      <c r="O38" s="12">
        <v>77</v>
      </c>
      <c r="P38" s="12">
        <v>31</v>
      </c>
      <c r="Q38" s="12">
        <v>48</v>
      </c>
      <c r="R38" s="12">
        <v>42</v>
      </c>
      <c r="S38" s="12">
        <v>76</v>
      </c>
      <c r="T38" s="12">
        <v>51</v>
      </c>
      <c r="U38" s="12">
        <v>11</v>
      </c>
      <c r="V38" s="12">
        <v>32</v>
      </c>
      <c r="W38" s="12">
        <v>7</v>
      </c>
      <c r="X38" s="12">
        <v>12</v>
      </c>
      <c r="Y38" s="12">
        <v>37</v>
      </c>
      <c r="Z38" s="12">
        <v>12</v>
      </c>
      <c r="AA38" s="12">
        <v>27</v>
      </c>
      <c r="AB38" s="12">
        <v>27</v>
      </c>
      <c r="AC38" s="12">
        <v>30</v>
      </c>
      <c r="AD38" s="12">
        <v>27</v>
      </c>
      <c r="AE38" s="12">
        <v>33</v>
      </c>
      <c r="AF38" s="12">
        <v>9</v>
      </c>
    </row>
    <row r="39" spans="1:32" x14ac:dyDescent="0.35">
      <c r="A39" s="31"/>
      <c r="B39" s="13" t="s">
        <v>345</v>
      </c>
      <c r="C39" s="14">
        <v>0.04</v>
      </c>
      <c r="D39" s="14">
        <v>0.02</v>
      </c>
      <c r="E39" s="14">
        <v>7.0000000000000007E-2</v>
      </c>
      <c r="F39" s="14">
        <v>0.05</v>
      </c>
      <c r="G39" s="14">
        <v>0.03</v>
      </c>
      <c r="H39" s="14">
        <v>0.02</v>
      </c>
      <c r="I39" s="14">
        <v>0.03</v>
      </c>
      <c r="J39" s="14">
        <v>0.04</v>
      </c>
      <c r="K39" s="14">
        <v>0.04</v>
      </c>
      <c r="L39" s="14">
        <v>0.04</v>
      </c>
      <c r="M39" s="14">
        <v>0.05</v>
      </c>
      <c r="N39" s="14">
        <v>0.08</v>
      </c>
      <c r="O39" s="14">
        <v>0.08</v>
      </c>
      <c r="P39" s="14">
        <v>0.03</v>
      </c>
      <c r="Q39" s="14">
        <v>0.05</v>
      </c>
      <c r="R39" s="14">
        <v>0.08</v>
      </c>
      <c r="S39" s="14">
        <v>7.0000000000000007E-2</v>
      </c>
      <c r="T39" s="14">
        <v>0.05</v>
      </c>
      <c r="U39" s="14">
        <v>0.02</v>
      </c>
      <c r="V39" s="14">
        <v>0.03</v>
      </c>
      <c r="W39" s="14">
        <v>0.01</v>
      </c>
      <c r="X39" s="14">
        <v>0.01</v>
      </c>
      <c r="Y39" s="14">
        <v>0.04</v>
      </c>
      <c r="Z39" s="14">
        <v>0.01</v>
      </c>
      <c r="AA39" s="14">
        <v>0.03</v>
      </c>
      <c r="AB39" s="14">
        <v>0.03</v>
      </c>
      <c r="AC39" s="14">
        <v>0.03</v>
      </c>
      <c r="AD39" s="14">
        <v>0.03</v>
      </c>
      <c r="AE39" s="14">
        <v>0.03</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29</v>
      </c>
      <c r="C3" s="30"/>
      <c r="D3" s="30"/>
      <c r="E3" s="30"/>
      <c r="F3" s="30"/>
      <c r="H3" s="30" t="s">
        <v>30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411</v>
      </c>
      <c r="C12" s="12">
        <v>1874</v>
      </c>
      <c r="D12" s="12">
        <v>47</v>
      </c>
      <c r="E12" s="12">
        <v>119</v>
      </c>
      <c r="F12" s="12">
        <v>52</v>
      </c>
      <c r="G12" s="12">
        <v>210</v>
      </c>
      <c r="H12" s="12">
        <v>87</v>
      </c>
      <c r="I12" s="12">
        <v>103</v>
      </c>
      <c r="J12" s="12">
        <v>16</v>
      </c>
      <c r="K12" s="12">
        <v>66</v>
      </c>
      <c r="L12" s="12">
        <v>254</v>
      </c>
      <c r="M12" s="12">
        <v>39</v>
      </c>
      <c r="N12" s="12">
        <v>80</v>
      </c>
      <c r="O12" s="12">
        <v>39</v>
      </c>
      <c r="P12" s="12">
        <v>138</v>
      </c>
      <c r="Q12" s="12">
        <v>52</v>
      </c>
      <c r="R12" s="12">
        <v>37</v>
      </c>
      <c r="S12" s="12">
        <v>98</v>
      </c>
      <c r="T12" s="12">
        <v>111</v>
      </c>
      <c r="U12" s="12">
        <v>54</v>
      </c>
      <c r="V12" s="12">
        <v>43</v>
      </c>
      <c r="W12" s="12">
        <v>55</v>
      </c>
      <c r="X12" s="12">
        <v>72</v>
      </c>
      <c r="Y12" s="12">
        <v>121</v>
      </c>
      <c r="Z12" s="12">
        <v>96</v>
      </c>
      <c r="AA12" s="12">
        <v>71</v>
      </c>
      <c r="AB12" s="12">
        <v>76</v>
      </c>
      <c r="AC12" s="12">
        <v>71</v>
      </c>
      <c r="AD12" s="12">
        <v>101</v>
      </c>
      <c r="AE12" s="12">
        <v>50</v>
      </c>
      <c r="AF12" s="12">
        <v>121</v>
      </c>
    </row>
    <row r="13" spans="1:32" x14ac:dyDescent="0.35">
      <c r="A13" s="31"/>
      <c r="B13" s="13" t="s">
        <v>412</v>
      </c>
      <c r="C13" s="14">
        <v>7.0000000000000007E-2</v>
      </c>
      <c r="D13" s="14">
        <v>0.05</v>
      </c>
      <c r="E13" s="14">
        <v>0.12</v>
      </c>
      <c r="F13" s="14">
        <v>0.05</v>
      </c>
      <c r="G13" s="14">
        <v>0.21</v>
      </c>
      <c r="H13" s="14">
        <v>7.0000000000000007E-2</v>
      </c>
      <c r="I13" s="14">
        <v>7.0000000000000007E-2</v>
      </c>
      <c r="J13" s="14">
        <v>0.05</v>
      </c>
      <c r="K13" s="14">
        <v>7.0000000000000007E-2</v>
      </c>
      <c r="L13" s="14">
        <v>0.25</v>
      </c>
      <c r="M13" s="14">
        <v>0.04</v>
      </c>
      <c r="N13" s="14">
        <v>0.08</v>
      </c>
      <c r="O13" s="14">
        <v>0.04</v>
      </c>
      <c r="P13" s="14">
        <v>0.14000000000000001</v>
      </c>
      <c r="Q13" s="14">
        <v>0.05</v>
      </c>
      <c r="R13" s="14">
        <v>7.0000000000000007E-2</v>
      </c>
      <c r="S13" s="14">
        <v>0.09</v>
      </c>
      <c r="T13" s="14">
        <v>0.11</v>
      </c>
      <c r="U13" s="14">
        <v>0.1</v>
      </c>
      <c r="V13" s="14">
        <v>0.04</v>
      </c>
      <c r="W13" s="14">
        <v>0.11</v>
      </c>
      <c r="X13" s="14">
        <v>7.0000000000000007E-2</v>
      </c>
      <c r="Y13" s="14">
        <v>0.12</v>
      </c>
      <c r="Z13" s="14">
        <v>0.1</v>
      </c>
      <c r="AA13" s="14">
        <v>7.0000000000000007E-2</v>
      </c>
      <c r="AB13" s="14">
        <v>7.0000000000000007E-2</v>
      </c>
      <c r="AC13" s="14">
        <v>7.0000000000000007E-2</v>
      </c>
      <c r="AD13" s="14">
        <v>0.1</v>
      </c>
      <c r="AE13" s="14">
        <v>0.05</v>
      </c>
      <c r="AF13" s="14">
        <v>0.12</v>
      </c>
    </row>
    <row r="14" spans="1:32" x14ac:dyDescent="0.35">
      <c r="A14" s="31"/>
      <c r="B14" s="11" t="s">
        <v>413</v>
      </c>
      <c r="C14" s="12">
        <v>15570</v>
      </c>
      <c r="D14" s="12">
        <v>596</v>
      </c>
      <c r="E14" s="12">
        <v>485</v>
      </c>
      <c r="F14" s="12">
        <v>538</v>
      </c>
      <c r="G14" s="12">
        <v>654</v>
      </c>
      <c r="H14" s="12">
        <v>818</v>
      </c>
      <c r="I14" s="12">
        <v>944</v>
      </c>
      <c r="J14" s="12">
        <v>126</v>
      </c>
      <c r="K14" s="12">
        <v>560</v>
      </c>
      <c r="L14" s="12">
        <v>570</v>
      </c>
      <c r="M14" s="12">
        <v>488</v>
      </c>
      <c r="N14" s="12">
        <v>561</v>
      </c>
      <c r="O14" s="12">
        <v>474</v>
      </c>
      <c r="P14" s="12">
        <v>568</v>
      </c>
      <c r="Q14" s="12">
        <v>708</v>
      </c>
      <c r="R14" s="12">
        <v>259</v>
      </c>
      <c r="S14" s="12">
        <v>591</v>
      </c>
      <c r="T14" s="12">
        <v>635</v>
      </c>
      <c r="U14" s="12">
        <v>285</v>
      </c>
      <c r="V14" s="12">
        <v>581</v>
      </c>
      <c r="W14" s="12">
        <v>329</v>
      </c>
      <c r="X14" s="12">
        <v>650</v>
      </c>
      <c r="Y14" s="12">
        <v>497</v>
      </c>
      <c r="Z14" s="12">
        <v>702</v>
      </c>
      <c r="AA14" s="12">
        <v>711</v>
      </c>
      <c r="AB14" s="12">
        <v>528</v>
      </c>
      <c r="AC14" s="12">
        <v>588</v>
      </c>
      <c r="AD14" s="12">
        <v>567</v>
      </c>
      <c r="AE14" s="12">
        <v>642</v>
      </c>
      <c r="AF14" s="12">
        <v>658</v>
      </c>
    </row>
    <row r="15" spans="1:32" x14ac:dyDescent="0.35">
      <c r="A15" s="31"/>
      <c r="B15" s="13" t="s">
        <v>414</v>
      </c>
      <c r="C15" s="14">
        <v>0.59</v>
      </c>
      <c r="D15" s="14">
        <v>0.57999999999999996</v>
      </c>
      <c r="E15" s="14">
        <v>0.47</v>
      </c>
      <c r="F15" s="14">
        <v>0.53</v>
      </c>
      <c r="G15" s="14">
        <v>0.64</v>
      </c>
      <c r="H15" s="14">
        <v>0.66</v>
      </c>
      <c r="I15" s="14">
        <v>0.62</v>
      </c>
      <c r="J15" s="14">
        <v>0.42</v>
      </c>
      <c r="K15" s="14">
        <v>0.56000000000000005</v>
      </c>
      <c r="L15" s="14">
        <v>0.57000000000000006</v>
      </c>
      <c r="M15" s="14">
        <v>0.48</v>
      </c>
      <c r="N15" s="14">
        <v>0.56000000000000005</v>
      </c>
      <c r="O15" s="14">
        <v>0.47</v>
      </c>
      <c r="P15" s="14">
        <v>0.56000000000000005</v>
      </c>
      <c r="Q15" s="14">
        <v>0.68</v>
      </c>
      <c r="R15" s="14">
        <v>0.52</v>
      </c>
      <c r="S15" s="14">
        <v>0.57999999999999996</v>
      </c>
      <c r="T15" s="14">
        <v>0.62</v>
      </c>
      <c r="U15" s="14">
        <v>0.56000000000000005</v>
      </c>
      <c r="V15" s="14">
        <v>0.57000000000000006</v>
      </c>
      <c r="W15" s="14">
        <v>0.66</v>
      </c>
      <c r="X15" s="14">
        <v>0.64</v>
      </c>
      <c r="Y15" s="14">
        <v>0.5</v>
      </c>
      <c r="Z15" s="14">
        <v>0.69000000000000006</v>
      </c>
      <c r="AA15" s="14">
        <v>0.69000000000000006</v>
      </c>
      <c r="AB15" s="14">
        <v>0.5</v>
      </c>
      <c r="AC15" s="14">
        <v>0.57999999999999996</v>
      </c>
      <c r="AD15" s="14">
        <v>0.56000000000000005</v>
      </c>
      <c r="AE15" s="14">
        <v>0.64</v>
      </c>
      <c r="AF15" s="14">
        <v>0.64</v>
      </c>
    </row>
    <row r="16" spans="1:32" x14ac:dyDescent="0.35">
      <c r="A16" s="31"/>
      <c r="B16" s="11" t="s">
        <v>415</v>
      </c>
      <c r="C16" s="12">
        <v>6566</v>
      </c>
      <c r="D16" s="12">
        <v>332</v>
      </c>
      <c r="E16" s="12">
        <v>262</v>
      </c>
      <c r="F16" s="12">
        <v>309</v>
      </c>
      <c r="G16" s="12">
        <v>124</v>
      </c>
      <c r="H16" s="12">
        <v>227</v>
      </c>
      <c r="I16" s="12">
        <v>346</v>
      </c>
      <c r="J16" s="12">
        <v>119</v>
      </c>
      <c r="K16" s="12">
        <v>256</v>
      </c>
      <c r="L16" s="12">
        <v>102</v>
      </c>
      <c r="M16" s="12">
        <v>330</v>
      </c>
      <c r="N16" s="12">
        <v>233</v>
      </c>
      <c r="O16" s="12">
        <v>356</v>
      </c>
      <c r="P16" s="12">
        <v>220</v>
      </c>
      <c r="Q16" s="12">
        <v>214</v>
      </c>
      <c r="R16" s="12">
        <v>139</v>
      </c>
      <c r="S16" s="12">
        <v>254</v>
      </c>
      <c r="T16" s="12">
        <v>204</v>
      </c>
      <c r="U16" s="12">
        <v>128</v>
      </c>
      <c r="V16" s="12">
        <v>313</v>
      </c>
      <c r="W16" s="12">
        <v>96</v>
      </c>
      <c r="X16" s="12">
        <v>240</v>
      </c>
      <c r="Y16" s="12">
        <v>252</v>
      </c>
      <c r="Z16" s="12">
        <v>167</v>
      </c>
      <c r="AA16" s="12">
        <v>191</v>
      </c>
      <c r="AB16" s="12">
        <v>328</v>
      </c>
      <c r="AC16" s="12">
        <v>270</v>
      </c>
      <c r="AD16" s="12">
        <v>269</v>
      </c>
      <c r="AE16" s="12">
        <v>242</v>
      </c>
      <c r="AF16" s="12">
        <v>213</v>
      </c>
    </row>
    <row r="17" spans="1:32" x14ac:dyDescent="0.35">
      <c r="A17" s="31"/>
      <c r="B17" s="13" t="s">
        <v>416</v>
      </c>
      <c r="C17" s="14">
        <v>0.25</v>
      </c>
      <c r="D17" s="14">
        <v>0.32</v>
      </c>
      <c r="E17" s="14">
        <v>0.25</v>
      </c>
      <c r="F17" s="14">
        <v>0.3</v>
      </c>
      <c r="G17" s="14">
        <v>0.12</v>
      </c>
      <c r="H17" s="14">
        <v>0.19</v>
      </c>
      <c r="I17" s="14">
        <v>0.23</v>
      </c>
      <c r="J17" s="14">
        <v>0.4</v>
      </c>
      <c r="K17" s="14">
        <v>0.25</v>
      </c>
      <c r="L17" s="14">
        <v>0.1</v>
      </c>
      <c r="M17" s="14">
        <v>0.33</v>
      </c>
      <c r="N17" s="14">
        <v>0.23</v>
      </c>
      <c r="O17" s="14">
        <v>0.36</v>
      </c>
      <c r="P17" s="14">
        <v>0.22</v>
      </c>
      <c r="Q17" s="14">
        <v>0.21</v>
      </c>
      <c r="R17" s="14">
        <v>0.28000000000000003</v>
      </c>
      <c r="S17" s="14">
        <v>0.25</v>
      </c>
      <c r="T17" s="14">
        <v>0.2</v>
      </c>
      <c r="U17" s="14">
        <v>0.25</v>
      </c>
      <c r="V17" s="14">
        <v>0.31</v>
      </c>
      <c r="W17" s="14">
        <v>0.19</v>
      </c>
      <c r="X17" s="14">
        <v>0.24</v>
      </c>
      <c r="Y17" s="14">
        <v>0.25</v>
      </c>
      <c r="Z17" s="14">
        <v>0.16</v>
      </c>
      <c r="AA17" s="14">
        <v>0.18</v>
      </c>
      <c r="AB17" s="14">
        <v>0.31</v>
      </c>
      <c r="AC17" s="14">
        <v>0.27</v>
      </c>
      <c r="AD17" s="14">
        <v>0.27</v>
      </c>
      <c r="AE17" s="14">
        <v>0.24</v>
      </c>
      <c r="AF17" s="14">
        <v>0.21</v>
      </c>
    </row>
    <row r="18" spans="1:32" x14ac:dyDescent="0.35">
      <c r="A18" s="31"/>
      <c r="B18" s="11" t="s">
        <v>417</v>
      </c>
      <c r="C18" s="12">
        <v>1547</v>
      </c>
      <c r="D18" s="12">
        <v>43</v>
      </c>
      <c r="E18" s="12">
        <v>109</v>
      </c>
      <c r="F18" s="12">
        <v>98</v>
      </c>
      <c r="G18" s="12">
        <v>7</v>
      </c>
      <c r="H18" s="12">
        <v>75</v>
      </c>
      <c r="I18" s="12">
        <v>98</v>
      </c>
      <c r="J18" s="12">
        <v>23</v>
      </c>
      <c r="K18" s="12">
        <v>71</v>
      </c>
      <c r="L18" s="12">
        <v>36</v>
      </c>
      <c r="M18" s="12">
        <v>128</v>
      </c>
      <c r="N18" s="12">
        <v>60</v>
      </c>
      <c r="O18" s="12">
        <v>91</v>
      </c>
      <c r="P18" s="12">
        <v>68</v>
      </c>
      <c r="Q18" s="12">
        <v>38</v>
      </c>
      <c r="R18" s="12">
        <v>55</v>
      </c>
      <c r="S18" s="12">
        <v>40</v>
      </c>
      <c r="T18" s="12">
        <v>28</v>
      </c>
      <c r="U18" s="12">
        <v>34</v>
      </c>
      <c r="V18" s="12">
        <v>42</v>
      </c>
      <c r="W18" s="12">
        <v>10</v>
      </c>
      <c r="X18" s="12">
        <v>44</v>
      </c>
      <c r="Y18" s="12">
        <v>73</v>
      </c>
      <c r="Z18" s="12">
        <v>21</v>
      </c>
      <c r="AA18" s="12">
        <v>20</v>
      </c>
      <c r="AB18" s="12">
        <v>92</v>
      </c>
      <c r="AC18" s="12">
        <v>55</v>
      </c>
      <c r="AD18" s="12">
        <v>57</v>
      </c>
      <c r="AE18" s="12">
        <v>31</v>
      </c>
      <c r="AF18" s="12">
        <v>22</v>
      </c>
    </row>
    <row r="19" spans="1:32" x14ac:dyDescent="0.35">
      <c r="A19" s="31"/>
      <c r="B19" s="13" t="s">
        <v>418</v>
      </c>
      <c r="C19" s="14">
        <v>0.06</v>
      </c>
      <c r="D19" s="14">
        <v>0.04</v>
      </c>
      <c r="E19" s="14">
        <v>0.1</v>
      </c>
      <c r="F19" s="14">
        <v>0.1</v>
      </c>
      <c r="G19" s="14">
        <v>0.01</v>
      </c>
      <c r="H19" s="14">
        <v>0.06</v>
      </c>
      <c r="I19" s="14">
        <v>0.06</v>
      </c>
      <c r="J19" s="14">
        <v>0.08</v>
      </c>
      <c r="K19" s="14">
        <v>7.0000000000000007E-2</v>
      </c>
      <c r="L19" s="14">
        <v>0.04</v>
      </c>
      <c r="M19" s="14">
        <v>0.13</v>
      </c>
      <c r="N19" s="14">
        <v>0.06</v>
      </c>
      <c r="O19" s="14">
        <v>0.09</v>
      </c>
      <c r="P19" s="14">
        <v>7.0000000000000007E-2</v>
      </c>
      <c r="Q19" s="14">
        <v>0.04</v>
      </c>
      <c r="R19" s="14">
        <v>0.11</v>
      </c>
      <c r="S19" s="14">
        <v>0.04</v>
      </c>
      <c r="T19" s="14">
        <v>0.03</v>
      </c>
      <c r="U19" s="14">
        <v>7.0000000000000007E-2</v>
      </c>
      <c r="V19" s="14">
        <v>0.04</v>
      </c>
      <c r="W19" s="14">
        <v>0.02</v>
      </c>
      <c r="X19" s="14">
        <v>0.04</v>
      </c>
      <c r="Y19" s="14">
        <v>7.0000000000000007E-2</v>
      </c>
      <c r="Z19" s="14">
        <v>0.02</v>
      </c>
      <c r="AA19" s="14">
        <v>0.02</v>
      </c>
      <c r="AB19" s="14">
        <v>0.09</v>
      </c>
      <c r="AC19" s="14">
        <v>0.05</v>
      </c>
      <c r="AD19" s="14">
        <v>0.06</v>
      </c>
      <c r="AE19" s="14">
        <v>0.03</v>
      </c>
      <c r="AF19" s="14">
        <v>0.02</v>
      </c>
    </row>
    <row r="20" spans="1:32" x14ac:dyDescent="0.35">
      <c r="A20" s="31"/>
      <c r="B20" s="11" t="s">
        <v>344</v>
      </c>
      <c r="C20" s="12">
        <v>853</v>
      </c>
      <c r="D20" s="12">
        <v>8</v>
      </c>
      <c r="E20" s="12">
        <v>64</v>
      </c>
      <c r="F20" s="12">
        <v>20</v>
      </c>
      <c r="G20" s="12">
        <v>22</v>
      </c>
      <c r="H20" s="12">
        <v>24</v>
      </c>
      <c r="I20" s="12">
        <v>38</v>
      </c>
      <c r="J20" s="12">
        <v>14</v>
      </c>
      <c r="K20" s="12">
        <v>56</v>
      </c>
      <c r="L20" s="12">
        <v>41</v>
      </c>
      <c r="M20" s="12">
        <v>19</v>
      </c>
      <c r="N20" s="12">
        <v>67</v>
      </c>
      <c r="O20" s="12">
        <v>40</v>
      </c>
      <c r="P20" s="12">
        <v>10</v>
      </c>
      <c r="Q20" s="12">
        <v>23</v>
      </c>
      <c r="R20" s="12">
        <v>11</v>
      </c>
      <c r="S20" s="12">
        <v>38</v>
      </c>
      <c r="T20" s="12">
        <v>39</v>
      </c>
      <c r="U20" s="12">
        <v>9</v>
      </c>
      <c r="V20" s="12">
        <v>35</v>
      </c>
      <c r="W20" s="12">
        <v>11</v>
      </c>
      <c r="X20" s="12">
        <v>4</v>
      </c>
      <c r="Y20" s="12">
        <v>61</v>
      </c>
      <c r="Z20" s="12">
        <v>33</v>
      </c>
      <c r="AA20" s="12">
        <v>38</v>
      </c>
      <c r="AB20" s="12">
        <v>31</v>
      </c>
      <c r="AC20" s="12">
        <v>30</v>
      </c>
      <c r="AD20" s="12">
        <v>10</v>
      </c>
      <c r="AE20" s="12">
        <v>42</v>
      </c>
      <c r="AF20" s="12">
        <v>7</v>
      </c>
    </row>
    <row r="21" spans="1:32" x14ac:dyDescent="0.35">
      <c r="A21" s="31"/>
      <c r="B21" s="13" t="s">
        <v>419</v>
      </c>
      <c r="C21" s="14">
        <v>0.03</v>
      </c>
      <c r="D21" s="14">
        <v>0.01</v>
      </c>
      <c r="E21" s="14">
        <v>0.06</v>
      </c>
      <c r="F21" s="14">
        <v>0.02</v>
      </c>
      <c r="G21" s="14">
        <v>0.02</v>
      </c>
      <c r="H21" s="14">
        <v>0.02</v>
      </c>
      <c r="I21" s="14">
        <v>0.02</v>
      </c>
      <c r="J21" s="14">
        <v>0.05</v>
      </c>
      <c r="K21" s="14">
        <v>0.05</v>
      </c>
      <c r="L21" s="14">
        <v>0.04</v>
      </c>
      <c r="M21" s="14">
        <v>0.02</v>
      </c>
      <c r="N21" s="14">
        <v>7.0000000000000007E-2</v>
      </c>
      <c r="O21" s="14">
        <v>0.04</v>
      </c>
      <c r="P21" s="14">
        <v>0.01</v>
      </c>
      <c r="Q21" s="14">
        <v>0.02</v>
      </c>
      <c r="R21" s="14">
        <v>0.02</v>
      </c>
      <c r="S21" s="14">
        <v>0.04</v>
      </c>
      <c r="T21" s="14">
        <v>0.04</v>
      </c>
      <c r="U21" s="14">
        <v>0.02</v>
      </c>
      <c r="V21" s="14">
        <v>0.04</v>
      </c>
      <c r="W21" s="14">
        <v>0.02</v>
      </c>
      <c r="X21" s="14">
        <v>0.01</v>
      </c>
      <c r="Y21" s="14">
        <v>0.06</v>
      </c>
      <c r="Z21" s="14">
        <v>0.03</v>
      </c>
      <c r="AA21" s="14">
        <v>0.04</v>
      </c>
      <c r="AB21" s="14">
        <v>0.03</v>
      </c>
      <c r="AC21" s="14">
        <v>0.03</v>
      </c>
      <c r="AD21" s="14">
        <v>0.01</v>
      </c>
      <c r="AE21" s="14">
        <v>0.04</v>
      </c>
      <c r="AF21" s="14">
        <v>0.01</v>
      </c>
    </row>
    <row r="22" spans="1:32" x14ac:dyDescent="0.35">
      <c r="A22" s="31"/>
      <c r="B22" s="11" t="s">
        <v>420</v>
      </c>
      <c r="C22" s="12">
        <v>17444</v>
      </c>
      <c r="D22" s="12">
        <v>643</v>
      </c>
      <c r="E22" s="12">
        <v>604</v>
      </c>
      <c r="F22" s="12">
        <v>590</v>
      </c>
      <c r="G22" s="12">
        <v>864</v>
      </c>
      <c r="H22" s="12">
        <v>905</v>
      </c>
      <c r="I22" s="12">
        <v>1047</v>
      </c>
      <c r="J22" s="12">
        <v>142</v>
      </c>
      <c r="K22" s="12">
        <v>626</v>
      </c>
      <c r="L22" s="12">
        <v>824</v>
      </c>
      <c r="M22" s="12">
        <v>527</v>
      </c>
      <c r="N22" s="12">
        <v>641</v>
      </c>
      <c r="O22" s="12">
        <v>513</v>
      </c>
      <c r="P22" s="12">
        <v>706</v>
      </c>
      <c r="Q22" s="12">
        <v>760</v>
      </c>
      <c r="R22" s="12">
        <v>296</v>
      </c>
      <c r="S22" s="12">
        <v>689</v>
      </c>
      <c r="T22" s="12">
        <v>746</v>
      </c>
      <c r="U22" s="12">
        <v>339</v>
      </c>
      <c r="V22" s="12">
        <v>624</v>
      </c>
      <c r="W22" s="12">
        <v>384</v>
      </c>
      <c r="X22" s="12">
        <v>722</v>
      </c>
      <c r="Y22" s="12">
        <v>618</v>
      </c>
      <c r="Z22" s="12">
        <v>798</v>
      </c>
      <c r="AA22" s="12">
        <v>782</v>
      </c>
      <c r="AB22" s="12">
        <v>604</v>
      </c>
      <c r="AC22" s="12">
        <v>659</v>
      </c>
      <c r="AD22" s="12">
        <v>668</v>
      </c>
      <c r="AE22" s="12">
        <v>692</v>
      </c>
      <c r="AF22" s="12">
        <v>779</v>
      </c>
    </row>
    <row r="23" spans="1:32" x14ac:dyDescent="0.35">
      <c r="A23" s="31"/>
      <c r="B23" s="13" t="s">
        <v>420</v>
      </c>
      <c r="C23" s="14">
        <v>0.66</v>
      </c>
      <c r="D23" s="14">
        <v>0.63</v>
      </c>
      <c r="E23" s="14">
        <v>0.59</v>
      </c>
      <c r="F23" s="14">
        <v>0.57999999999999996</v>
      </c>
      <c r="G23" s="14">
        <v>0.85</v>
      </c>
      <c r="H23" s="14">
        <v>0.73</v>
      </c>
      <c r="I23" s="14">
        <v>0.69000000000000006</v>
      </c>
      <c r="J23" s="14">
        <v>0.47</v>
      </c>
      <c r="K23" s="14">
        <v>0.63</v>
      </c>
      <c r="L23" s="14">
        <v>0.82000000000000006</v>
      </c>
      <c r="M23" s="14">
        <v>0.52</v>
      </c>
      <c r="N23" s="14">
        <v>0.64</v>
      </c>
      <c r="O23" s="14">
        <v>0.51</v>
      </c>
      <c r="P23" s="14">
        <v>0.70000000000000007</v>
      </c>
      <c r="Q23" s="14">
        <v>0.73</v>
      </c>
      <c r="R23" s="14">
        <v>0.59</v>
      </c>
      <c r="S23" s="14">
        <v>0.67</v>
      </c>
      <c r="T23" s="14">
        <v>0.73</v>
      </c>
      <c r="U23" s="14">
        <v>0.66</v>
      </c>
      <c r="V23" s="14">
        <v>0.61</v>
      </c>
      <c r="W23" s="14">
        <v>0.77</v>
      </c>
      <c r="X23" s="14">
        <v>0.71</v>
      </c>
      <c r="Y23" s="14">
        <v>0.62</v>
      </c>
      <c r="Z23" s="14">
        <v>0.79</v>
      </c>
      <c r="AA23" s="14">
        <v>0.76</v>
      </c>
      <c r="AB23" s="14">
        <v>0.57000000000000006</v>
      </c>
      <c r="AC23" s="14">
        <v>0.65</v>
      </c>
      <c r="AD23" s="14">
        <v>0.66</v>
      </c>
      <c r="AE23" s="14">
        <v>0.69000000000000006</v>
      </c>
      <c r="AF23" s="14">
        <v>0.76</v>
      </c>
    </row>
    <row r="24" spans="1:32" x14ac:dyDescent="0.35">
      <c r="A24" s="31"/>
      <c r="B24" s="11" t="s">
        <v>421</v>
      </c>
      <c r="C24" s="12">
        <v>8113</v>
      </c>
      <c r="D24" s="12">
        <v>375</v>
      </c>
      <c r="E24" s="12">
        <v>371</v>
      </c>
      <c r="F24" s="12">
        <v>407</v>
      </c>
      <c r="G24" s="12">
        <v>131</v>
      </c>
      <c r="H24" s="12">
        <v>302</v>
      </c>
      <c r="I24" s="12">
        <v>444</v>
      </c>
      <c r="J24" s="12">
        <v>142</v>
      </c>
      <c r="K24" s="12">
        <v>327</v>
      </c>
      <c r="L24" s="12">
        <v>138</v>
      </c>
      <c r="M24" s="12">
        <v>458</v>
      </c>
      <c r="N24" s="12">
        <v>293</v>
      </c>
      <c r="O24" s="12">
        <v>447</v>
      </c>
      <c r="P24" s="12">
        <v>288</v>
      </c>
      <c r="Q24" s="12">
        <v>252</v>
      </c>
      <c r="R24" s="12">
        <v>194</v>
      </c>
      <c r="S24" s="12">
        <v>294</v>
      </c>
      <c r="T24" s="12">
        <v>232</v>
      </c>
      <c r="U24" s="12">
        <v>162</v>
      </c>
      <c r="V24" s="12">
        <v>355</v>
      </c>
      <c r="W24" s="12">
        <v>106</v>
      </c>
      <c r="X24" s="12">
        <v>284</v>
      </c>
      <c r="Y24" s="12">
        <v>325</v>
      </c>
      <c r="Z24" s="12">
        <v>188</v>
      </c>
      <c r="AA24" s="12">
        <v>211</v>
      </c>
      <c r="AB24" s="12">
        <v>420</v>
      </c>
      <c r="AC24" s="12">
        <v>325</v>
      </c>
      <c r="AD24" s="12">
        <v>326</v>
      </c>
      <c r="AE24" s="12">
        <v>273</v>
      </c>
      <c r="AF24" s="12">
        <v>235</v>
      </c>
    </row>
    <row r="25" spans="1:32" x14ac:dyDescent="0.35">
      <c r="A25" s="31"/>
      <c r="B25" s="13" t="s">
        <v>421</v>
      </c>
      <c r="C25" s="14">
        <v>0.31</v>
      </c>
      <c r="D25" s="14">
        <v>0.36</v>
      </c>
      <c r="E25" s="14">
        <v>0.35</v>
      </c>
      <c r="F25" s="14">
        <v>0.4</v>
      </c>
      <c r="G25" s="14">
        <v>0.13</v>
      </c>
      <c r="H25" s="14">
        <v>0.25</v>
      </c>
      <c r="I25" s="14">
        <v>0.28999999999999998</v>
      </c>
      <c r="J25" s="14">
        <v>0.48</v>
      </c>
      <c r="K25" s="14">
        <v>0.32</v>
      </c>
      <c r="L25" s="14">
        <v>0.14000000000000001</v>
      </c>
      <c r="M25" s="14">
        <v>0.46</v>
      </c>
      <c r="N25" s="14">
        <v>0.28999999999999998</v>
      </c>
      <c r="O25" s="14">
        <v>0.45</v>
      </c>
      <c r="P25" s="14">
        <v>0.28999999999999998</v>
      </c>
      <c r="Q25" s="14">
        <v>0.25</v>
      </c>
      <c r="R25" s="14">
        <v>0.39</v>
      </c>
      <c r="S25" s="14">
        <v>0.28999999999999998</v>
      </c>
      <c r="T25" s="14">
        <v>0.23</v>
      </c>
      <c r="U25" s="14">
        <v>0.32</v>
      </c>
      <c r="V25" s="14">
        <v>0.35</v>
      </c>
      <c r="W25" s="14">
        <v>0.21</v>
      </c>
      <c r="X25" s="14">
        <v>0.28000000000000003</v>
      </c>
      <c r="Y25" s="14">
        <v>0.32</v>
      </c>
      <c r="Z25" s="14">
        <v>0.18</v>
      </c>
      <c r="AA25" s="14">
        <v>0.2</v>
      </c>
      <c r="AB25" s="14">
        <v>0.4</v>
      </c>
      <c r="AC25" s="14">
        <v>0.32</v>
      </c>
      <c r="AD25" s="14">
        <v>0.33</v>
      </c>
      <c r="AE25" s="14">
        <v>0.27</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31</v>
      </c>
      <c r="C3" s="30"/>
      <c r="D3" s="30"/>
      <c r="E3" s="30"/>
      <c r="F3" s="30"/>
      <c r="H3" s="30" t="s">
        <v>32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422</v>
      </c>
      <c r="C12" s="12">
        <v>1578</v>
      </c>
      <c r="D12" s="12">
        <v>43</v>
      </c>
      <c r="E12" s="12">
        <v>63</v>
      </c>
      <c r="F12" s="12">
        <v>31</v>
      </c>
      <c r="G12" s="12">
        <v>44</v>
      </c>
      <c r="H12" s="12">
        <v>23</v>
      </c>
      <c r="I12" s="12">
        <v>33</v>
      </c>
      <c r="J12" s="12">
        <v>10</v>
      </c>
      <c r="K12" s="12">
        <v>58</v>
      </c>
      <c r="L12" s="12">
        <v>102</v>
      </c>
      <c r="M12" s="12">
        <v>104</v>
      </c>
      <c r="N12" s="12">
        <v>139</v>
      </c>
      <c r="O12" s="12">
        <v>55</v>
      </c>
      <c r="P12" s="12">
        <v>63</v>
      </c>
      <c r="Q12" s="12">
        <v>39</v>
      </c>
      <c r="R12" s="12">
        <v>45</v>
      </c>
      <c r="S12" s="12">
        <v>99</v>
      </c>
      <c r="T12" s="12">
        <v>93</v>
      </c>
      <c r="U12" s="12">
        <v>18</v>
      </c>
      <c r="V12" s="12">
        <v>82</v>
      </c>
      <c r="W12" s="12">
        <v>48</v>
      </c>
      <c r="X12" s="12">
        <v>22</v>
      </c>
      <c r="Y12" s="12">
        <v>39</v>
      </c>
      <c r="Z12" s="12">
        <v>73</v>
      </c>
      <c r="AA12" s="12">
        <v>188</v>
      </c>
      <c r="AB12" s="12">
        <v>67</v>
      </c>
      <c r="AC12" s="12">
        <v>114</v>
      </c>
      <c r="AD12" s="12">
        <v>56</v>
      </c>
      <c r="AE12" s="12">
        <v>21</v>
      </c>
      <c r="AF12" s="12">
        <v>23</v>
      </c>
    </row>
    <row r="13" spans="1:32" ht="21.5" x14ac:dyDescent="0.35">
      <c r="A13" s="31"/>
      <c r="B13" s="13" t="s">
        <v>423</v>
      </c>
      <c r="C13" s="14">
        <v>0.06</v>
      </c>
      <c r="D13" s="14">
        <v>0.04</v>
      </c>
      <c r="E13" s="14">
        <v>0.06</v>
      </c>
      <c r="F13" s="14">
        <v>0.03</v>
      </c>
      <c r="G13" s="14">
        <v>0.04</v>
      </c>
      <c r="H13" s="14">
        <v>0.02</v>
      </c>
      <c r="I13" s="14">
        <v>0.02</v>
      </c>
      <c r="J13" s="14">
        <v>0.03</v>
      </c>
      <c r="K13" s="14">
        <v>0.06</v>
      </c>
      <c r="L13" s="14">
        <v>0.1</v>
      </c>
      <c r="M13" s="14">
        <v>0.1</v>
      </c>
      <c r="N13" s="14">
        <v>0.14000000000000001</v>
      </c>
      <c r="O13" s="14">
        <v>0.05</v>
      </c>
      <c r="P13" s="14">
        <v>0.06</v>
      </c>
      <c r="Q13" s="14">
        <v>0.04</v>
      </c>
      <c r="R13" s="14">
        <v>0.09</v>
      </c>
      <c r="S13" s="14">
        <v>0.1</v>
      </c>
      <c r="T13" s="14">
        <v>0.09</v>
      </c>
      <c r="U13" s="14">
        <v>0.04</v>
      </c>
      <c r="V13" s="14">
        <v>0.08</v>
      </c>
      <c r="W13" s="14">
        <v>0.1</v>
      </c>
      <c r="X13" s="14">
        <v>0.02</v>
      </c>
      <c r="Y13" s="14">
        <v>0.04</v>
      </c>
      <c r="Z13" s="14">
        <v>7.0000000000000007E-2</v>
      </c>
      <c r="AA13" s="14">
        <v>0.18</v>
      </c>
      <c r="AB13" s="14">
        <v>0.06</v>
      </c>
      <c r="AC13" s="14">
        <v>0.11</v>
      </c>
      <c r="AD13" s="14">
        <v>0.06</v>
      </c>
      <c r="AE13" s="14">
        <v>0.02</v>
      </c>
      <c r="AF13" s="14">
        <v>0.02</v>
      </c>
    </row>
    <row r="14" spans="1:32" ht="21.5" x14ac:dyDescent="0.35">
      <c r="A14" s="31"/>
      <c r="B14" s="11" t="s">
        <v>424</v>
      </c>
      <c r="C14" s="12">
        <v>1634</v>
      </c>
      <c r="D14" s="12">
        <v>79</v>
      </c>
      <c r="E14" s="12">
        <v>19</v>
      </c>
      <c r="F14" s="12">
        <v>25</v>
      </c>
      <c r="G14" s="12">
        <v>166</v>
      </c>
      <c r="H14" s="12">
        <v>81</v>
      </c>
      <c r="I14" s="12">
        <v>96</v>
      </c>
      <c r="J14" s="12">
        <v>15</v>
      </c>
      <c r="K14" s="12">
        <v>23</v>
      </c>
      <c r="L14" s="12">
        <v>86</v>
      </c>
      <c r="M14" s="12">
        <v>32</v>
      </c>
      <c r="N14" s="12">
        <v>34</v>
      </c>
      <c r="O14" s="12">
        <v>88</v>
      </c>
      <c r="P14" s="12">
        <v>29</v>
      </c>
      <c r="Q14" s="12">
        <v>57</v>
      </c>
      <c r="R14" s="12">
        <v>4</v>
      </c>
      <c r="S14" s="12">
        <v>10</v>
      </c>
      <c r="T14" s="12">
        <v>21</v>
      </c>
      <c r="U14" s="12">
        <v>28</v>
      </c>
      <c r="V14" s="12">
        <v>46</v>
      </c>
      <c r="W14" s="12">
        <v>52</v>
      </c>
      <c r="X14" s="12">
        <v>136</v>
      </c>
      <c r="Y14" s="12">
        <v>83</v>
      </c>
      <c r="Z14" s="12">
        <v>28</v>
      </c>
      <c r="AA14" s="12">
        <v>28</v>
      </c>
      <c r="AB14" s="12">
        <v>25</v>
      </c>
      <c r="AC14" s="12">
        <v>35</v>
      </c>
      <c r="AD14" s="12">
        <v>31</v>
      </c>
      <c r="AE14" s="12">
        <v>98</v>
      </c>
      <c r="AF14" s="12">
        <v>217</v>
      </c>
    </row>
    <row r="15" spans="1:32" ht="21.5" x14ac:dyDescent="0.35">
      <c r="A15" s="31"/>
      <c r="B15" s="13" t="s">
        <v>425</v>
      </c>
      <c r="C15" s="14">
        <v>0.06</v>
      </c>
      <c r="D15" s="14">
        <v>0.08</v>
      </c>
      <c r="E15" s="14">
        <v>0.02</v>
      </c>
      <c r="F15" s="14">
        <v>0.02</v>
      </c>
      <c r="G15" s="14">
        <v>0.16</v>
      </c>
      <c r="H15" s="14">
        <v>0.06</v>
      </c>
      <c r="I15" s="14">
        <v>0.06</v>
      </c>
      <c r="J15" s="14">
        <v>0.05</v>
      </c>
      <c r="K15" s="14">
        <v>0.02</v>
      </c>
      <c r="L15" s="14">
        <v>0.09</v>
      </c>
      <c r="M15" s="14">
        <v>0.03</v>
      </c>
      <c r="N15" s="14">
        <v>0.03</v>
      </c>
      <c r="O15" s="14">
        <v>0.09</v>
      </c>
      <c r="P15" s="14">
        <v>0.03</v>
      </c>
      <c r="Q15" s="14">
        <v>0.05</v>
      </c>
      <c r="R15" s="14">
        <v>0.01</v>
      </c>
      <c r="S15" s="14">
        <v>0.01</v>
      </c>
      <c r="T15" s="14">
        <v>0.02</v>
      </c>
      <c r="U15" s="14">
        <v>0.05</v>
      </c>
      <c r="V15" s="14">
        <v>0.04</v>
      </c>
      <c r="W15" s="14">
        <v>0.1</v>
      </c>
      <c r="X15" s="14">
        <v>0.13</v>
      </c>
      <c r="Y15" s="14">
        <v>0.08</v>
      </c>
      <c r="Z15" s="14">
        <v>0.03</v>
      </c>
      <c r="AA15" s="14">
        <v>0.03</v>
      </c>
      <c r="AB15" s="14">
        <v>0.02</v>
      </c>
      <c r="AC15" s="14">
        <v>0.03</v>
      </c>
      <c r="AD15" s="14">
        <v>0.03</v>
      </c>
      <c r="AE15" s="14">
        <v>0.1</v>
      </c>
      <c r="AF15" s="14">
        <v>0.21</v>
      </c>
    </row>
    <row r="16" spans="1:32" ht="21.5" x14ac:dyDescent="0.35">
      <c r="A16" s="31"/>
      <c r="B16" s="11" t="s">
        <v>426</v>
      </c>
      <c r="C16" s="12">
        <v>2343</v>
      </c>
      <c r="D16" s="12">
        <v>83</v>
      </c>
      <c r="E16" s="12">
        <v>137</v>
      </c>
      <c r="F16" s="12">
        <v>54</v>
      </c>
      <c r="G16" s="12">
        <v>38</v>
      </c>
      <c r="H16" s="12">
        <v>100</v>
      </c>
      <c r="I16" s="12">
        <v>117</v>
      </c>
      <c r="J16" s="12">
        <v>18</v>
      </c>
      <c r="K16" s="12">
        <v>52</v>
      </c>
      <c r="L16" s="12">
        <v>40</v>
      </c>
      <c r="M16" s="12">
        <v>126</v>
      </c>
      <c r="N16" s="12">
        <v>112</v>
      </c>
      <c r="O16" s="12">
        <v>120</v>
      </c>
      <c r="P16" s="12">
        <v>121</v>
      </c>
      <c r="Q16" s="12">
        <v>70</v>
      </c>
      <c r="R16" s="12">
        <v>60</v>
      </c>
      <c r="S16" s="12">
        <v>117</v>
      </c>
      <c r="T16" s="12">
        <v>129</v>
      </c>
      <c r="U16" s="12">
        <v>58</v>
      </c>
      <c r="V16" s="12">
        <v>87</v>
      </c>
      <c r="W16" s="12">
        <v>26</v>
      </c>
      <c r="X16" s="12">
        <v>60</v>
      </c>
      <c r="Y16" s="12">
        <v>85</v>
      </c>
      <c r="Z16" s="12">
        <v>61</v>
      </c>
      <c r="AA16" s="12">
        <v>184</v>
      </c>
      <c r="AB16" s="12">
        <v>86</v>
      </c>
      <c r="AC16" s="12">
        <v>89</v>
      </c>
      <c r="AD16" s="12">
        <v>95</v>
      </c>
      <c r="AE16" s="12">
        <v>98</v>
      </c>
      <c r="AF16" s="12">
        <v>76</v>
      </c>
    </row>
    <row r="17" spans="1:32" ht="21.5" x14ac:dyDescent="0.35">
      <c r="A17" s="31"/>
      <c r="B17" s="13" t="s">
        <v>427</v>
      </c>
      <c r="C17" s="14">
        <v>0.09</v>
      </c>
      <c r="D17" s="14">
        <v>0.08</v>
      </c>
      <c r="E17" s="14">
        <v>0.13</v>
      </c>
      <c r="F17" s="14">
        <v>0.05</v>
      </c>
      <c r="G17" s="14">
        <v>0.04</v>
      </c>
      <c r="H17" s="14">
        <v>0.08</v>
      </c>
      <c r="I17" s="14">
        <v>0.08</v>
      </c>
      <c r="J17" s="14">
        <v>0.06</v>
      </c>
      <c r="K17" s="14">
        <v>0.05</v>
      </c>
      <c r="L17" s="14">
        <v>0.04</v>
      </c>
      <c r="M17" s="14">
        <v>0.13</v>
      </c>
      <c r="N17" s="14">
        <v>0.11</v>
      </c>
      <c r="O17" s="14">
        <v>0.12</v>
      </c>
      <c r="P17" s="14">
        <v>0.12</v>
      </c>
      <c r="Q17" s="14">
        <v>7.0000000000000007E-2</v>
      </c>
      <c r="R17" s="14">
        <v>0.12</v>
      </c>
      <c r="S17" s="14">
        <v>0.11</v>
      </c>
      <c r="T17" s="14">
        <v>0.13</v>
      </c>
      <c r="U17" s="14">
        <v>0.11</v>
      </c>
      <c r="V17" s="14">
        <v>0.09</v>
      </c>
      <c r="W17" s="14">
        <v>0.05</v>
      </c>
      <c r="X17" s="14">
        <v>0.06</v>
      </c>
      <c r="Y17" s="14">
        <v>0.09</v>
      </c>
      <c r="Z17" s="14">
        <v>0.06</v>
      </c>
      <c r="AA17" s="14">
        <v>0.18</v>
      </c>
      <c r="AB17" s="14">
        <v>0.08</v>
      </c>
      <c r="AC17" s="14">
        <v>0.09</v>
      </c>
      <c r="AD17" s="14">
        <v>0.1</v>
      </c>
      <c r="AE17" s="14">
        <v>0.1</v>
      </c>
      <c r="AF17" s="14">
        <v>7.0000000000000007E-2</v>
      </c>
    </row>
    <row r="18" spans="1:32" ht="31.5" x14ac:dyDescent="0.35">
      <c r="A18" s="31"/>
      <c r="B18" s="11" t="s">
        <v>428</v>
      </c>
      <c r="C18" s="12">
        <v>2372</v>
      </c>
      <c r="D18" s="12">
        <v>56</v>
      </c>
      <c r="E18" s="12">
        <v>146</v>
      </c>
      <c r="F18" s="12">
        <v>67</v>
      </c>
      <c r="G18" s="12">
        <v>40</v>
      </c>
      <c r="H18" s="12">
        <v>82</v>
      </c>
      <c r="I18" s="12">
        <v>107</v>
      </c>
      <c r="J18" s="12">
        <v>25</v>
      </c>
      <c r="K18" s="12">
        <v>157</v>
      </c>
      <c r="L18" s="12">
        <v>78</v>
      </c>
      <c r="M18" s="12">
        <v>191</v>
      </c>
      <c r="N18" s="12">
        <v>140</v>
      </c>
      <c r="O18" s="12">
        <v>47</v>
      </c>
      <c r="P18" s="12">
        <v>140</v>
      </c>
      <c r="Q18" s="12">
        <v>109</v>
      </c>
      <c r="R18" s="12">
        <v>48</v>
      </c>
      <c r="S18" s="12">
        <v>158</v>
      </c>
      <c r="T18" s="12">
        <v>156</v>
      </c>
      <c r="U18" s="12">
        <v>37</v>
      </c>
      <c r="V18" s="12">
        <v>121</v>
      </c>
      <c r="W18" s="12">
        <v>24</v>
      </c>
      <c r="X18" s="12">
        <v>28</v>
      </c>
      <c r="Y18" s="12">
        <v>80</v>
      </c>
      <c r="Z18" s="12">
        <v>85</v>
      </c>
      <c r="AA18" s="12">
        <v>125</v>
      </c>
      <c r="AB18" s="12">
        <v>132</v>
      </c>
      <c r="AC18" s="12">
        <v>122</v>
      </c>
      <c r="AD18" s="12">
        <v>154</v>
      </c>
      <c r="AE18" s="12">
        <v>139</v>
      </c>
      <c r="AF18" s="12">
        <v>53</v>
      </c>
    </row>
    <row r="19" spans="1:32" ht="21.5" x14ac:dyDescent="0.35">
      <c r="A19" s="31"/>
      <c r="B19" s="13" t="s">
        <v>429</v>
      </c>
      <c r="C19" s="14">
        <v>0.09</v>
      </c>
      <c r="D19" s="14">
        <v>0.06</v>
      </c>
      <c r="E19" s="14">
        <v>0.14000000000000001</v>
      </c>
      <c r="F19" s="14">
        <v>7.0000000000000007E-2</v>
      </c>
      <c r="G19" s="14">
        <v>0.04</v>
      </c>
      <c r="H19" s="14">
        <v>7.0000000000000007E-2</v>
      </c>
      <c r="I19" s="14">
        <v>7.0000000000000007E-2</v>
      </c>
      <c r="J19" s="14">
        <v>0.08</v>
      </c>
      <c r="K19" s="14">
        <v>0.16</v>
      </c>
      <c r="L19" s="14">
        <v>0.08</v>
      </c>
      <c r="M19" s="14">
        <v>0.19</v>
      </c>
      <c r="N19" s="14">
        <v>0.14000000000000001</v>
      </c>
      <c r="O19" s="14">
        <v>0.05</v>
      </c>
      <c r="P19" s="14">
        <v>0.14000000000000001</v>
      </c>
      <c r="Q19" s="14">
        <v>0.1</v>
      </c>
      <c r="R19" s="14">
        <v>0.1</v>
      </c>
      <c r="S19" s="14">
        <v>0.15</v>
      </c>
      <c r="T19" s="14">
        <v>0.15</v>
      </c>
      <c r="U19" s="14">
        <v>7.0000000000000007E-2</v>
      </c>
      <c r="V19" s="14">
        <v>0.12</v>
      </c>
      <c r="W19" s="14">
        <v>0.05</v>
      </c>
      <c r="X19" s="14">
        <v>0.03</v>
      </c>
      <c r="Y19" s="14">
        <v>0.08</v>
      </c>
      <c r="Z19" s="14">
        <v>0.08</v>
      </c>
      <c r="AA19" s="14">
        <v>0.12</v>
      </c>
      <c r="AB19" s="14">
        <v>0.13</v>
      </c>
      <c r="AC19" s="14">
        <v>0.12</v>
      </c>
      <c r="AD19" s="14">
        <v>0.15</v>
      </c>
      <c r="AE19" s="14">
        <v>0.14000000000000001</v>
      </c>
      <c r="AF19" s="14">
        <v>0.05</v>
      </c>
    </row>
    <row r="20" spans="1:32" ht="21.5" x14ac:dyDescent="0.35">
      <c r="A20" s="31"/>
      <c r="B20" s="11" t="s">
        <v>430</v>
      </c>
      <c r="C20" s="12">
        <v>4087</v>
      </c>
      <c r="D20" s="12">
        <v>173</v>
      </c>
      <c r="E20" s="12">
        <v>276</v>
      </c>
      <c r="F20" s="12">
        <v>166</v>
      </c>
      <c r="G20" s="12">
        <v>69</v>
      </c>
      <c r="H20" s="12">
        <v>125</v>
      </c>
      <c r="I20" s="12">
        <v>174</v>
      </c>
      <c r="J20" s="12">
        <v>49</v>
      </c>
      <c r="K20" s="12">
        <v>195</v>
      </c>
      <c r="L20" s="12">
        <v>214</v>
      </c>
      <c r="M20" s="12">
        <v>165</v>
      </c>
      <c r="N20" s="12">
        <v>151</v>
      </c>
      <c r="O20" s="12">
        <v>218</v>
      </c>
      <c r="P20" s="12">
        <v>219</v>
      </c>
      <c r="Q20" s="12">
        <v>172</v>
      </c>
      <c r="R20" s="12">
        <v>66</v>
      </c>
      <c r="S20" s="12">
        <v>180</v>
      </c>
      <c r="T20" s="12">
        <v>127</v>
      </c>
      <c r="U20" s="12">
        <v>76</v>
      </c>
      <c r="V20" s="12">
        <v>170</v>
      </c>
      <c r="W20" s="12">
        <v>68</v>
      </c>
      <c r="X20" s="12">
        <v>106</v>
      </c>
      <c r="Y20" s="12">
        <v>155</v>
      </c>
      <c r="Z20" s="12">
        <v>152</v>
      </c>
      <c r="AA20" s="12">
        <v>171</v>
      </c>
      <c r="AB20" s="12">
        <v>164</v>
      </c>
      <c r="AC20" s="12">
        <v>121</v>
      </c>
      <c r="AD20" s="12">
        <v>200</v>
      </c>
      <c r="AE20" s="12">
        <v>60</v>
      </c>
      <c r="AF20" s="12">
        <v>42</v>
      </c>
    </row>
    <row r="21" spans="1:32" ht="21.5" x14ac:dyDescent="0.35">
      <c r="A21" s="31"/>
      <c r="B21" s="13" t="s">
        <v>431</v>
      </c>
      <c r="C21" s="14">
        <v>0.16</v>
      </c>
      <c r="D21" s="14">
        <v>0.17</v>
      </c>
      <c r="E21" s="14">
        <v>0.26</v>
      </c>
      <c r="F21" s="14">
        <v>0.16</v>
      </c>
      <c r="G21" s="14">
        <v>7.0000000000000007E-2</v>
      </c>
      <c r="H21" s="14">
        <v>0.1</v>
      </c>
      <c r="I21" s="14">
        <v>0.11</v>
      </c>
      <c r="J21" s="14">
        <v>0.17</v>
      </c>
      <c r="K21" s="14">
        <v>0.19</v>
      </c>
      <c r="L21" s="14">
        <v>0.21</v>
      </c>
      <c r="M21" s="14">
        <v>0.17</v>
      </c>
      <c r="N21" s="14">
        <v>0.15</v>
      </c>
      <c r="O21" s="14">
        <v>0.22</v>
      </c>
      <c r="P21" s="14">
        <v>0.22</v>
      </c>
      <c r="Q21" s="14">
        <v>0.17</v>
      </c>
      <c r="R21" s="14">
        <v>0.13</v>
      </c>
      <c r="S21" s="14">
        <v>0.18</v>
      </c>
      <c r="T21" s="14">
        <v>0.13</v>
      </c>
      <c r="U21" s="14">
        <v>0.15</v>
      </c>
      <c r="V21" s="14">
        <v>0.17</v>
      </c>
      <c r="W21" s="14">
        <v>0.14000000000000001</v>
      </c>
      <c r="X21" s="14">
        <v>0.1</v>
      </c>
      <c r="Y21" s="14">
        <v>0.15</v>
      </c>
      <c r="Z21" s="14">
        <v>0.15</v>
      </c>
      <c r="AA21" s="14">
        <v>0.17</v>
      </c>
      <c r="AB21" s="14">
        <v>0.16</v>
      </c>
      <c r="AC21" s="14">
        <v>0.12</v>
      </c>
      <c r="AD21" s="14">
        <v>0.2</v>
      </c>
      <c r="AE21" s="14">
        <v>0.06</v>
      </c>
      <c r="AF21" s="14">
        <v>0.04</v>
      </c>
    </row>
    <row r="22" spans="1:32" ht="31.5" x14ac:dyDescent="0.35">
      <c r="A22" s="31"/>
      <c r="B22" s="11" t="s">
        <v>432</v>
      </c>
      <c r="C22" s="12">
        <v>596</v>
      </c>
      <c r="D22" s="12">
        <v>16</v>
      </c>
      <c r="E22" s="12">
        <v>27</v>
      </c>
      <c r="F22" s="12">
        <v>26</v>
      </c>
      <c r="G22" s="12">
        <v>12</v>
      </c>
      <c r="H22" s="12">
        <v>33</v>
      </c>
      <c r="I22" s="12">
        <v>42</v>
      </c>
      <c r="J22" s="12">
        <v>9</v>
      </c>
      <c r="K22" s="12">
        <v>32</v>
      </c>
      <c r="L22" s="12">
        <v>20</v>
      </c>
      <c r="M22" s="12">
        <v>12</v>
      </c>
      <c r="N22" s="12">
        <v>14</v>
      </c>
      <c r="O22" s="12">
        <v>9</v>
      </c>
      <c r="P22" s="12">
        <v>24</v>
      </c>
      <c r="Q22" s="12">
        <v>31</v>
      </c>
      <c r="R22" s="12">
        <v>7</v>
      </c>
      <c r="S22" s="12">
        <v>20</v>
      </c>
      <c r="T22" s="12">
        <v>18</v>
      </c>
      <c r="U22" s="12">
        <v>8</v>
      </c>
      <c r="V22" s="12">
        <v>42</v>
      </c>
      <c r="W22" s="12">
        <v>30</v>
      </c>
      <c r="X22" s="12">
        <v>16</v>
      </c>
      <c r="Y22" s="12">
        <v>40</v>
      </c>
      <c r="Z22" s="12">
        <v>31</v>
      </c>
      <c r="AA22" s="12">
        <v>14</v>
      </c>
      <c r="AB22" s="12">
        <v>45</v>
      </c>
      <c r="AC22" s="12">
        <v>23</v>
      </c>
      <c r="AD22" s="12">
        <v>33</v>
      </c>
      <c r="AE22" s="12">
        <v>13</v>
      </c>
      <c r="AF22" s="12">
        <v>11</v>
      </c>
    </row>
    <row r="23" spans="1:32" ht="31.5" x14ac:dyDescent="0.35">
      <c r="A23" s="31"/>
      <c r="B23" s="13" t="s">
        <v>433</v>
      </c>
      <c r="C23" s="14">
        <v>0.02</v>
      </c>
      <c r="D23" s="14">
        <v>0.02</v>
      </c>
      <c r="E23" s="14">
        <v>0.03</v>
      </c>
      <c r="F23" s="14">
        <v>0.03</v>
      </c>
      <c r="G23" s="14">
        <v>0.01</v>
      </c>
      <c r="H23" s="14">
        <v>0.03</v>
      </c>
      <c r="I23" s="14">
        <v>0.03</v>
      </c>
      <c r="J23" s="14">
        <v>0.03</v>
      </c>
      <c r="K23" s="14">
        <v>0.03</v>
      </c>
      <c r="L23" s="14">
        <v>0.02</v>
      </c>
      <c r="M23" s="14">
        <v>0.01</v>
      </c>
      <c r="N23" s="14">
        <v>0.01</v>
      </c>
      <c r="O23" s="14">
        <v>0.01</v>
      </c>
      <c r="P23" s="14">
        <v>0.02</v>
      </c>
      <c r="Q23" s="14">
        <v>0.03</v>
      </c>
      <c r="R23" s="14">
        <v>0.01</v>
      </c>
      <c r="S23" s="14">
        <v>0.02</v>
      </c>
      <c r="T23" s="14">
        <v>0.02</v>
      </c>
      <c r="U23" s="14">
        <v>0.02</v>
      </c>
      <c r="V23" s="14">
        <v>0.04</v>
      </c>
      <c r="W23" s="14">
        <v>0.06</v>
      </c>
      <c r="X23" s="14">
        <v>0.02</v>
      </c>
      <c r="Y23" s="14">
        <v>0.04</v>
      </c>
      <c r="Z23" s="14">
        <v>0.03</v>
      </c>
      <c r="AA23" s="14">
        <v>0.01</v>
      </c>
      <c r="AB23" s="14">
        <v>0.04</v>
      </c>
      <c r="AC23" s="14">
        <v>0.02</v>
      </c>
      <c r="AD23" s="14">
        <v>0.03</v>
      </c>
      <c r="AE23" s="14">
        <v>0.01</v>
      </c>
      <c r="AF23" s="14">
        <v>0.01</v>
      </c>
    </row>
    <row r="24" spans="1:32" ht="21.5" x14ac:dyDescent="0.35">
      <c r="A24" s="31"/>
      <c r="B24" s="11" t="s">
        <v>434</v>
      </c>
      <c r="C24" s="12">
        <v>758</v>
      </c>
      <c r="D24" s="12">
        <v>33</v>
      </c>
      <c r="E24" s="12">
        <v>29</v>
      </c>
      <c r="F24" s="12">
        <v>17</v>
      </c>
      <c r="G24" s="12">
        <v>9</v>
      </c>
      <c r="H24" s="12">
        <v>28</v>
      </c>
      <c r="I24" s="12">
        <v>32</v>
      </c>
      <c r="J24" s="12">
        <v>4</v>
      </c>
      <c r="K24" s="12">
        <v>21</v>
      </c>
      <c r="L24" s="12">
        <v>40</v>
      </c>
      <c r="M24" s="12">
        <v>43</v>
      </c>
      <c r="N24" s="12">
        <v>55</v>
      </c>
      <c r="O24" s="12">
        <v>24</v>
      </c>
      <c r="P24" s="12">
        <v>26</v>
      </c>
      <c r="Q24" s="12">
        <v>31</v>
      </c>
      <c r="R24" s="12">
        <v>28</v>
      </c>
      <c r="S24" s="12">
        <v>18</v>
      </c>
      <c r="T24" s="12">
        <v>13</v>
      </c>
      <c r="U24" s="12">
        <v>13</v>
      </c>
      <c r="V24" s="12">
        <v>26</v>
      </c>
      <c r="W24" s="12">
        <v>25</v>
      </c>
      <c r="X24" s="12">
        <v>25</v>
      </c>
      <c r="Y24" s="12">
        <v>21</v>
      </c>
      <c r="Z24" s="12">
        <v>26</v>
      </c>
      <c r="AA24" s="12">
        <v>20</v>
      </c>
      <c r="AB24" s="12">
        <v>47</v>
      </c>
      <c r="AC24" s="12">
        <v>22</v>
      </c>
      <c r="AD24" s="12">
        <v>30</v>
      </c>
      <c r="AE24" s="12">
        <v>22</v>
      </c>
      <c r="AF24" s="12">
        <v>10</v>
      </c>
    </row>
    <row r="25" spans="1:32" ht="21.5" x14ac:dyDescent="0.35">
      <c r="A25" s="31"/>
      <c r="B25" s="13" t="s">
        <v>435</v>
      </c>
      <c r="C25" s="14">
        <v>0.03</v>
      </c>
      <c r="D25" s="14">
        <v>0.03</v>
      </c>
      <c r="E25" s="14">
        <v>0.03</v>
      </c>
      <c r="F25" s="14">
        <v>0.02</v>
      </c>
      <c r="G25" s="14">
        <v>0.01</v>
      </c>
      <c r="H25" s="14">
        <v>0.02</v>
      </c>
      <c r="I25" s="14">
        <v>0.02</v>
      </c>
      <c r="J25" s="14">
        <v>0.02</v>
      </c>
      <c r="K25" s="14">
        <v>0.02</v>
      </c>
      <c r="L25" s="14">
        <v>0.04</v>
      </c>
      <c r="M25" s="14">
        <v>0.04</v>
      </c>
      <c r="N25" s="14">
        <v>0.06</v>
      </c>
      <c r="O25" s="14">
        <v>0.02</v>
      </c>
      <c r="P25" s="14">
        <v>0.03</v>
      </c>
      <c r="Q25" s="14">
        <v>0.03</v>
      </c>
      <c r="R25" s="14">
        <v>0.06</v>
      </c>
      <c r="S25" s="14">
        <v>0.02</v>
      </c>
      <c r="T25" s="14">
        <v>0.01</v>
      </c>
      <c r="U25" s="14">
        <v>0.02</v>
      </c>
      <c r="V25" s="14">
        <v>0.03</v>
      </c>
      <c r="W25" s="14">
        <v>0.05</v>
      </c>
      <c r="X25" s="14">
        <v>0.03</v>
      </c>
      <c r="Y25" s="14">
        <v>0.02</v>
      </c>
      <c r="Z25" s="14">
        <v>0.03</v>
      </c>
      <c r="AA25" s="14">
        <v>0.02</v>
      </c>
      <c r="AB25" s="14">
        <v>0.05</v>
      </c>
      <c r="AC25" s="14">
        <v>0.02</v>
      </c>
      <c r="AD25" s="14">
        <v>0.03</v>
      </c>
      <c r="AE25" s="14">
        <v>0.02</v>
      </c>
      <c r="AF25" s="14">
        <v>0.01</v>
      </c>
    </row>
    <row r="26" spans="1:32" ht="31.5" x14ac:dyDescent="0.35">
      <c r="A26" s="31"/>
      <c r="B26" s="11" t="s">
        <v>436</v>
      </c>
      <c r="C26" s="12">
        <v>1001</v>
      </c>
      <c r="D26" s="12">
        <v>58</v>
      </c>
      <c r="E26" s="12">
        <v>26</v>
      </c>
      <c r="F26" s="12">
        <v>148</v>
      </c>
      <c r="G26" s="12">
        <v>68</v>
      </c>
      <c r="H26" s="12">
        <v>23</v>
      </c>
      <c r="I26" s="12">
        <v>31</v>
      </c>
      <c r="J26" s="12">
        <v>8</v>
      </c>
      <c r="K26" s="12">
        <v>61</v>
      </c>
      <c r="L26" s="12">
        <v>26</v>
      </c>
      <c r="M26" s="12">
        <v>29</v>
      </c>
      <c r="N26" s="12">
        <v>28</v>
      </c>
      <c r="O26" s="12">
        <v>46</v>
      </c>
      <c r="P26" s="12">
        <v>37</v>
      </c>
      <c r="Q26" s="12">
        <v>47</v>
      </c>
      <c r="R26" s="12">
        <v>6</v>
      </c>
      <c r="S26" s="12">
        <v>38</v>
      </c>
      <c r="T26" s="12">
        <v>44</v>
      </c>
      <c r="U26" s="12">
        <v>26</v>
      </c>
      <c r="V26" s="12">
        <v>42</v>
      </c>
      <c r="W26" s="12">
        <v>6</v>
      </c>
      <c r="X26" s="12">
        <v>34</v>
      </c>
      <c r="Y26" s="12">
        <v>46</v>
      </c>
      <c r="Z26" s="12">
        <v>26</v>
      </c>
      <c r="AA26" s="12">
        <v>50</v>
      </c>
      <c r="AB26" s="12">
        <v>55</v>
      </c>
      <c r="AC26" s="12">
        <v>36</v>
      </c>
      <c r="AD26" s="12">
        <v>23</v>
      </c>
      <c r="AE26" s="12">
        <v>30</v>
      </c>
      <c r="AF26" s="12">
        <v>17</v>
      </c>
    </row>
    <row r="27" spans="1:32" ht="21.5" x14ac:dyDescent="0.35">
      <c r="A27" s="31"/>
      <c r="B27" s="13" t="s">
        <v>437</v>
      </c>
      <c r="C27" s="14">
        <v>0.04</v>
      </c>
      <c r="D27" s="14">
        <v>0.06</v>
      </c>
      <c r="E27" s="14">
        <v>0.02</v>
      </c>
      <c r="F27" s="14">
        <v>0.15</v>
      </c>
      <c r="G27" s="14">
        <v>7.0000000000000007E-2</v>
      </c>
      <c r="H27" s="14">
        <v>0.02</v>
      </c>
      <c r="I27" s="14">
        <v>0.02</v>
      </c>
      <c r="J27" s="14">
        <v>0.03</v>
      </c>
      <c r="K27" s="14">
        <v>0.06</v>
      </c>
      <c r="L27" s="14">
        <v>0.03</v>
      </c>
      <c r="M27" s="14">
        <v>0.03</v>
      </c>
      <c r="N27" s="14">
        <v>0.03</v>
      </c>
      <c r="O27" s="14">
        <v>0.05</v>
      </c>
      <c r="P27" s="14">
        <v>0.04</v>
      </c>
      <c r="Q27" s="14">
        <v>0.04</v>
      </c>
      <c r="R27" s="14">
        <v>0.01</v>
      </c>
      <c r="S27" s="14">
        <v>0.04</v>
      </c>
      <c r="T27" s="14">
        <v>0.04</v>
      </c>
      <c r="U27" s="14">
        <v>0.05</v>
      </c>
      <c r="V27" s="14">
        <v>0.04</v>
      </c>
      <c r="W27" s="14">
        <v>0.01</v>
      </c>
      <c r="X27" s="14">
        <v>0.03</v>
      </c>
      <c r="Y27" s="14">
        <v>0.05</v>
      </c>
      <c r="Z27" s="14">
        <v>0.03</v>
      </c>
      <c r="AA27" s="14">
        <v>0.05</v>
      </c>
      <c r="AB27" s="14">
        <v>0.05</v>
      </c>
      <c r="AC27" s="14">
        <v>0.04</v>
      </c>
      <c r="AD27" s="14">
        <v>0.02</v>
      </c>
      <c r="AE27" s="14">
        <v>0.03</v>
      </c>
      <c r="AF27" s="14">
        <v>0.02</v>
      </c>
    </row>
    <row r="28" spans="1:32" ht="21.5" x14ac:dyDescent="0.35">
      <c r="A28" s="31"/>
      <c r="B28" s="11" t="s">
        <v>438</v>
      </c>
      <c r="C28" s="12">
        <v>648</v>
      </c>
      <c r="D28" s="12">
        <v>18</v>
      </c>
      <c r="E28" s="12">
        <v>39</v>
      </c>
      <c r="F28" s="12">
        <v>24</v>
      </c>
      <c r="G28" s="12">
        <v>15</v>
      </c>
      <c r="H28" s="12">
        <v>10</v>
      </c>
      <c r="I28" s="12">
        <v>14</v>
      </c>
      <c r="J28" s="12">
        <v>4</v>
      </c>
      <c r="K28" s="12">
        <v>18</v>
      </c>
      <c r="L28" s="12">
        <v>20</v>
      </c>
      <c r="M28" s="12">
        <v>44</v>
      </c>
      <c r="N28" s="12">
        <v>21</v>
      </c>
      <c r="O28" s="12">
        <v>17</v>
      </c>
      <c r="P28" s="12">
        <v>33</v>
      </c>
      <c r="Q28" s="12">
        <v>61</v>
      </c>
      <c r="R28" s="12">
        <v>9</v>
      </c>
      <c r="S28" s="12">
        <v>21</v>
      </c>
      <c r="T28" s="12">
        <v>9</v>
      </c>
      <c r="U28" s="12">
        <v>16</v>
      </c>
      <c r="V28" s="12">
        <v>28</v>
      </c>
      <c r="W28" s="12">
        <v>24</v>
      </c>
      <c r="X28" s="12">
        <v>9</v>
      </c>
      <c r="Y28" s="12">
        <v>27</v>
      </c>
      <c r="Z28" s="12">
        <v>30</v>
      </c>
      <c r="AA28" s="12">
        <v>16</v>
      </c>
      <c r="AB28" s="12">
        <v>36</v>
      </c>
      <c r="AC28" s="12">
        <v>22</v>
      </c>
      <c r="AD28" s="12">
        <v>26</v>
      </c>
      <c r="AE28" s="12">
        <v>6</v>
      </c>
      <c r="AF28" s="12">
        <v>11</v>
      </c>
    </row>
    <row r="29" spans="1:32" x14ac:dyDescent="0.35">
      <c r="A29" s="31"/>
      <c r="B29" s="13" t="s">
        <v>439</v>
      </c>
      <c r="C29" s="14">
        <v>0.02</v>
      </c>
      <c r="D29" s="14">
        <v>0.02</v>
      </c>
      <c r="E29" s="14">
        <v>0.04</v>
      </c>
      <c r="F29" s="14">
        <v>0.02</v>
      </c>
      <c r="G29" s="14">
        <v>0.02</v>
      </c>
      <c r="H29" s="14">
        <v>0.01</v>
      </c>
      <c r="I29" s="14">
        <v>0.01</v>
      </c>
      <c r="J29" s="14">
        <v>0.01</v>
      </c>
      <c r="K29" s="14">
        <v>0.02</v>
      </c>
      <c r="L29" s="14">
        <v>0.02</v>
      </c>
      <c r="M29" s="14">
        <v>0.04</v>
      </c>
      <c r="N29" s="14">
        <v>0.02</v>
      </c>
      <c r="O29" s="14">
        <v>0.02</v>
      </c>
      <c r="P29" s="14">
        <v>0.03</v>
      </c>
      <c r="Q29" s="14">
        <v>0.06</v>
      </c>
      <c r="R29" s="14">
        <v>0.02</v>
      </c>
      <c r="S29" s="14">
        <v>0.02</v>
      </c>
      <c r="T29" s="14">
        <v>0.01</v>
      </c>
      <c r="U29" s="14">
        <v>0.03</v>
      </c>
      <c r="V29" s="14">
        <v>0.03</v>
      </c>
      <c r="W29" s="14">
        <v>0.05</v>
      </c>
      <c r="X29" s="14">
        <v>0.01</v>
      </c>
      <c r="Y29" s="14">
        <v>0.03</v>
      </c>
      <c r="Z29" s="14">
        <v>0.03</v>
      </c>
      <c r="AA29" s="14">
        <v>0.02</v>
      </c>
      <c r="AB29" s="14">
        <v>0.04</v>
      </c>
      <c r="AC29" s="14">
        <v>0.02</v>
      </c>
      <c r="AD29" s="14">
        <v>0.03</v>
      </c>
      <c r="AE29" s="14">
        <v>0.01</v>
      </c>
      <c r="AF29" s="14">
        <v>0.01</v>
      </c>
    </row>
    <row r="30" spans="1:32" x14ac:dyDescent="0.35">
      <c r="A30" s="31"/>
      <c r="B30" s="11" t="s">
        <v>440</v>
      </c>
      <c r="C30" s="12">
        <v>2127</v>
      </c>
      <c r="D30" s="12">
        <v>135</v>
      </c>
      <c r="E30" s="12">
        <v>21</v>
      </c>
      <c r="F30" s="12">
        <v>82</v>
      </c>
      <c r="G30" s="12">
        <v>60</v>
      </c>
      <c r="H30" s="12">
        <v>164</v>
      </c>
      <c r="I30" s="12">
        <v>224</v>
      </c>
      <c r="J30" s="12">
        <v>59</v>
      </c>
      <c r="K30" s="12">
        <v>42</v>
      </c>
      <c r="L30" s="12">
        <v>185</v>
      </c>
      <c r="M30" s="12">
        <v>32</v>
      </c>
      <c r="N30" s="12">
        <v>66</v>
      </c>
      <c r="O30" s="12">
        <v>77</v>
      </c>
      <c r="P30" s="12">
        <v>26</v>
      </c>
      <c r="Q30" s="12">
        <v>51</v>
      </c>
      <c r="R30" s="12">
        <v>64</v>
      </c>
      <c r="S30" s="12">
        <v>27</v>
      </c>
      <c r="T30" s="12">
        <v>38</v>
      </c>
      <c r="U30" s="12">
        <v>33</v>
      </c>
      <c r="V30" s="12">
        <v>40</v>
      </c>
      <c r="W30" s="12">
        <v>31</v>
      </c>
      <c r="X30" s="12">
        <v>108</v>
      </c>
      <c r="Y30" s="12">
        <v>156</v>
      </c>
      <c r="Z30" s="12">
        <v>63</v>
      </c>
      <c r="AA30" s="12">
        <v>27</v>
      </c>
      <c r="AB30" s="12">
        <v>27</v>
      </c>
      <c r="AC30" s="12">
        <v>86</v>
      </c>
      <c r="AD30" s="12">
        <v>40</v>
      </c>
      <c r="AE30" s="12">
        <v>35</v>
      </c>
      <c r="AF30" s="12">
        <v>46</v>
      </c>
    </row>
    <row r="31" spans="1:32" x14ac:dyDescent="0.35">
      <c r="A31" s="31"/>
      <c r="B31" s="13" t="s">
        <v>441</v>
      </c>
      <c r="C31" s="14">
        <v>0.08</v>
      </c>
      <c r="D31" s="14">
        <v>0.13</v>
      </c>
      <c r="E31" s="14">
        <v>0.02</v>
      </c>
      <c r="F31" s="14">
        <v>0.08</v>
      </c>
      <c r="G31" s="14">
        <v>0.06</v>
      </c>
      <c r="H31" s="14">
        <v>0.13</v>
      </c>
      <c r="I31" s="14">
        <v>0.15</v>
      </c>
      <c r="J31" s="14">
        <v>0.2</v>
      </c>
      <c r="K31" s="14">
        <v>0.04</v>
      </c>
      <c r="L31" s="14">
        <v>0.18</v>
      </c>
      <c r="M31" s="14">
        <v>0.03</v>
      </c>
      <c r="N31" s="14">
        <v>7.0000000000000007E-2</v>
      </c>
      <c r="O31" s="14">
        <v>0.08</v>
      </c>
      <c r="P31" s="14">
        <v>0.03</v>
      </c>
      <c r="Q31" s="14">
        <v>0.05</v>
      </c>
      <c r="R31" s="14">
        <v>0.13</v>
      </c>
      <c r="S31" s="14">
        <v>0.03</v>
      </c>
      <c r="T31" s="14">
        <v>0.04</v>
      </c>
      <c r="U31" s="14">
        <v>7.0000000000000007E-2</v>
      </c>
      <c r="V31" s="14">
        <v>0.04</v>
      </c>
      <c r="W31" s="14">
        <v>0.06</v>
      </c>
      <c r="X31" s="14">
        <v>0.11</v>
      </c>
      <c r="Y31" s="14">
        <v>0.16</v>
      </c>
      <c r="Z31" s="14">
        <v>0.06</v>
      </c>
      <c r="AA31" s="14">
        <v>0.03</v>
      </c>
      <c r="AB31" s="14">
        <v>0.03</v>
      </c>
      <c r="AC31" s="14">
        <v>0.09</v>
      </c>
      <c r="AD31" s="14">
        <v>0.04</v>
      </c>
      <c r="AE31" s="14">
        <v>0.03</v>
      </c>
      <c r="AF31" s="14">
        <v>0.05</v>
      </c>
    </row>
    <row r="32" spans="1:32" ht="21.5" x14ac:dyDescent="0.35">
      <c r="A32" s="31"/>
      <c r="B32" s="11" t="s">
        <v>442</v>
      </c>
      <c r="C32" s="12">
        <v>1302</v>
      </c>
      <c r="D32" s="12">
        <v>56</v>
      </c>
      <c r="E32" s="12">
        <v>32</v>
      </c>
      <c r="F32" s="12">
        <v>50</v>
      </c>
      <c r="G32" s="12">
        <v>49</v>
      </c>
      <c r="H32" s="12">
        <v>57</v>
      </c>
      <c r="I32" s="12">
        <v>84</v>
      </c>
      <c r="J32" s="12">
        <v>28</v>
      </c>
      <c r="K32" s="12">
        <v>21</v>
      </c>
      <c r="L32" s="12">
        <v>33</v>
      </c>
      <c r="M32" s="12">
        <v>30</v>
      </c>
      <c r="N32" s="12">
        <v>25</v>
      </c>
      <c r="O32" s="12">
        <v>71</v>
      </c>
      <c r="P32" s="12">
        <v>34</v>
      </c>
      <c r="Q32" s="12">
        <v>56</v>
      </c>
      <c r="R32" s="12">
        <v>17</v>
      </c>
      <c r="S32" s="12">
        <v>18</v>
      </c>
      <c r="T32" s="12">
        <v>21</v>
      </c>
      <c r="U32" s="12">
        <v>32</v>
      </c>
      <c r="V32" s="12">
        <v>30</v>
      </c>
      <c r="W32" s="12">
        <v>22</v>
      </c>
      <c r="X32" s="12">
        <v>50</v>
      </c>
      <c r="Y32" s="12">
        <v>31</v>
      </c>
      <c r="Z32" s="12">
        <v>53</v>
      </c>
      <c r="AA32" s="12">
        <v>36</v>
      </c>
      <c r="AB32" s="12">
        <v>45</v>
      </c>
      <c r="AC32" s="12">
        <v>49</v>
      </c>
      <c r="AD32" s="12">
        <v>29</v>
      </c>
      <c r="AE32" s="12">
        <v>33</v>
      </c>
      <c r="AF32" s="12">
        <v>86</v>
      </c>
    </row>
    <row r="33" spans="1:32" ht="21.5" x14ac:dyDescent="0.35">
      <c r="A33" s="31"/>
      <c r="B33" s="13" t="s">
        <v>443</v>
      </c>
      <c r="C33" s="14">
        <v>0.05</v>
      </c>
      <c r="D33" s="14">
        <v>0.05</v>
      </c>
      <c r="E33" s="14">
        <v>0.03</v>
      </c>
      <c r="F33" s="14">
        <v>0.05</v>
      </c>
      <c r="G33" s="14">
        <v>0.05</v>
      </c>
      <c r="H33" s="14">
        <v>0.05</v>
      </c>
      <c r="I33" s="14">
        <v>0.05</v>
      </c>
      <c r="J33" s="14">
        <v>0.09</v>
      </c>
      <c r="K33" s="14">
        <v>0.02</v>
      </c>
      <c r="L33" s="14">
        <v>0.03</v>
      </c>
      <c r="M33" s="14">
        <v>0.03</v>
      </c>
      <c r="N33" s="14">
        <v>0.02</v>
      </c>
      <c r="O33" s="14">
        <v>7.0000000000000007E-2</v>
      </c>
      <c r="P33" s="14">
        <v>0.03</v>
      </c>
      <c r="Q33" s="14">
        <v>0.05</v>
      </c>
      <c r="R33" s="14">
        <v>0.03</v>
      </c>
      <c r="S33" s="14">
        <v>0.02</v>
      </c>
      <c r="T33" s="14">
        <v>0.02</v>
      </c>
      <c r="U33" s="14">
        <v>0.06</v>
      </c>
      <c r="V33" s="14">
        <v>0.03</v>
      </c>
      <c r="W33" s="14">
        <v>0.04</v>
      </c>
      <c r="X33" s="14">
        <v>0.05</v>
      </c>
      <c r="Y33" s="14">
        <v>0.03</v>
      </c>
      <c r="Z33" s="14">
        <v>0.05</v>
      </c>
      <c r="AA33" s="14">
        <v>0.03</v>
      </c>
      <c r="AB33" s="14">
        <v>0.04</v>
      </c>
      <c r="AC33" s="14">
        <v>0.05</v>
      </c>
      <c r="AD33" s="14">
        <v>0.03</v>
      </c>
      <c r="AE33" s="14">
        <v>0.03</v>
      </c>
      <c r="AF33" s="14">
        <v>0.08</v>
      </c>
    </row>
    <row r="34" spans="1:32" ht="21.5" x14ac:dyDescent="0.35">
      <c r="A34" s="31"/>
      <c r="B34" s="11" t="s">
        <v>444</v>
      </c>
      <c r="C34" s="12">
        <v>1815</v>
      </c>
      <c r="D34" s="12">
        <v>56</v>
      </c>
      <c r="E34" s="12">
        <v>48</v>
      </c>
      <c r="F34" s="12">
        <v>47</v>
      </c>
      <c r="G34" s="12">
        <v>93</v>
      </c>
      <c r="H34" s="12">
        <v>134</v>
      </c>
      <c r="I34" s="12">
        <v>153</v>
      </c>
      <c r="J34" s="12">
        <v>19</v>
      </c>
      <c r="K34" s="12">
        <v>31</v>
      </c>
      <c r="L34" s="12">
        <v>37</v>
      </c>
      <c r="M34" s="12">
        <v>81</v>
      </c>
      <c r="N34" s="12">
        <v>67</v>
      </c>
      <c r="O34" s="12">
        <v>40</v>
      </c>
      <c r="P34" s="12">
        <v>30</v>
      </c>
      <c r="Q34" s="12">
        <v>71</v>
      </c>
      <c r="R34" s="12">
        <v>49</v>
      </c>
      <c r="S34" s="12">
        <v>37</v>
      </c>
      <c r="T34" s="12">
        <v>22</v>
      </c>
      <c r="U34" s="12">
        <v>51</v>
      </c>
      <c r="V34" s="12">
        <v>81</v>
      </c>
      <c r="W34" s="12">
        <v>48</v>
      </c>
      <c r="X34" s="12">
        <v>56</v>
      </c>
      <c r="Y34" s="12">
        <v>64</v>
      </c>
      <c r="Z34" s="12">
        <v>60</v>
      </c>
      <c r="AA34" s="12">
        <v>21</v>
      </c>
      <c r="AB34" s="12">
        <v>96</v>
      </c>
      <c r="AC34" s="12">
        <v>54</v>
      </c>
      <c r="AD34" s="12">
        <v>51</v>
      </c>
      <c r="AE34" s="12">
        <v>103</v>
      </c>
      <c r="AF34" s="12">
        <v>150</v>
      </c>
    </row>
    <row r="35" spans="1:32" ht="21.5" x14ac:dyDescent="0.35">
      <c r="A35" s="31"/>
      <c r="B35" s="13" t="s">
        <v>445</v>
      </c>
      <c r="C35" s="14">
        <v>7.0000000000000007E-2</v>
      </c>
      <c r="D35" s="14">
        <v>0.05</v>
      </c>
      <c r="E35" s="14">
        <v>0.05</v>
      </c>
      <c r="F35" s="14">
        <v>0.05</v>
      </c>
      <c r="G35" s="14">
        <v>0.09</v>
      </c>
      <c r="H35" s="14">
        <v>0.11</v>
      </c>
      <c r="I35" s="14">
        <v>0.1</v>
      </c>
      <c r="J35" s="14">
        <v>7.0000000000000007E-2</v>
      </c>
      <c r="K35" s="14">
        <v>0.03</v>
      </c>
      <c r="L35" s="14">
        <v>0.04</v>
      </c>
      <c r="M35" s="14">
        <v>0.08</v>
      </c>
      <c r="N35" s="14">
        <v>7.0000000000000007E-2</v>
      </c>
      <c r="O35" s="14">
        <v>0.04</v>
      </c>
      <c r="P35" s="14">
        <v>0.03</v>
      </c>
      <c r="Q35" s="14">
        <v>7.0000000000000007E-2</v>
      </c>
      <c r="R35" s="14">
        <v>0.1</v>
      </c>
      <c r="S35" s="14">
        <v>0.03</v>
      </c>
      <c r="T35" s="14">
        <v>0.02</v>
      </c>
      <c r="U35" s="14">
        <v>0.1</v>
      </c>
      <c r="V35" s="14">
        <v>0.08</v>
      </c>
      <c r="W35" s="14">
        <v>0.1</v>
      </c>
      <c r="X35" s="14">
        <v>0.06</v>
      </c>
      <c r="Y35" s="14">
        <v>0.06</v>
      </c>
      <c r="Z35" s="14">
        <v>0.06</v>
      </c>
      <c r="AA35" s="14">
        <v>0.02</v>
      </c>
      <c r="AB35" s="14">
        <v>0.09</v>
      </c>
      <c r="AC35" s="14">
        <v>0.05</v>
      </c>
      <c r="AD35" s="14">
        <v>0.05</v>
      </c>
      <c r="AE35" s="14">
        <v>0.1</v>
      </c>
      <c r="AF35" s="14">
        <v>0.15</v>
      </c>
    </row>
    <row r="36" spans="1:32" ht="21.5" x14ac:dyDescent="0.35">
      <c r="A36" s="31"/>
      <c r="B36" s="11" t="s">
        <v>446</v>
      </c>
      <c r="C36" s="12">
        <v>3833</v>
      </c>
      <c r="D36" s="12">
        <v>121</v>
      </c>
      <c r="E36" s="12">
        <v>69</v>
      </c>
      <c r="F36" s="12">
        <v>207</v>
      </c>
      <c r="G36" s="12">
        <v>279</v>
      </c>
      <c r="H36" s="12">
        <v>313</v>
      </c>
      <c r="I36" s="12">
        <v>346</v>
      </c>
      <c r="J36" s="12">
        <v>33</v>
      </c>
      <c r="K36" s="12">
        <v>204</v>
      </c>
      <c r="L36" s="12">
        <v>67</v>
      </c>
      <c r="M36" s="12">
        <v>59</v>
      </c>
      <c r="N36" s="12">
        <v>68</v>
      </c>
      <c r="O36" s="12">
        <v>100</v>
      </c>
      <c r="P36" s="12">
        <v>91</v>
      </c>
      <c r="Q36" s="12">
        <v>123</v>
      </c>
      <c r="R36" s="12">
        <v>68</v>
      </c>
      <c r="S36" s="12">
        <v>236</v>
      </c>
      <c r="T36" s="12">
        <v>271</v>
      </c>
      <c r="U36" s="12">
        <v>79</v>
      </c>
      <c r="V36" s="12">
        <v>107</v>
      </c>
      <c r="W36" s="12">
        <v>52</v>
      </c>
      <c r="X36" s="12">
        <v>284</v>
      </c>
      <c r="Y36" s="12">
        <v>81</v>
      </c>
      <c r="Z36" s="12">
        <v>211</v>
      </c>
      <c r="AA36" s="12">
        <v>73</v>
      </c>
      <c r="AB36" s="12">
        <v>85</v>
      </c>
      <c r="AC36" s="12">
        <v>96</v>
      </c>
      <c r="AD36" s="12">
        <v>113</v>
      </c>
      <c r="AE36" s="12">
        <v>228</v>
      </c>
      <c r="AF36" s="12">
        <v>162</v>
      </c>
    </row>
    <row r="37" spans="1:32" ht="21.5" x14ac:dyDescent="0.35">
      <c r="A37" s="31"/>
      <c r="B37" s="13" t="s">
        <v>447</v>
      </c>
      <c r="C37" s="14">
        <v>0.15</v>
      </c>
      <c r="D37" s="14">
        <v>0.12</v>
      </c>
      <c r="E37" s="14">
        <v>7.0000000000000007E-2</v>
      </c>
      <c r="F37" s="14">
        <v>0.2</v>
      </c>
      <c r="G37" s="14">
        <v>0.27</v>
      </c>
      <c r="H37" s="14">
        <v>0.25</v>
      </c>
      <c r="I37" s="14">
        <v>0.23</v>
      </c>
      <c r="J37" s="14">
        <v>0.11</v>
      </c>
      <c r="K37" s="14">
        <v>0.2</v>
      </c>
      <c r="L37" s="14">
        <v>7.0000000000000007E-2</v>
      </c>
      <c r="M37" s="14">
        <v>0.06</v>
      </c>
      <c r="N37" s="14">
        <v>7.0000000000000007E-2</v>
      </c>
      <c r="O37" s="14">
        <v>0.1</v>
      </c>
      <c r="P37" s="14">
        <v>0.09</v>
      </c>
      <c r="Q37" s="14">
        <v>0.12</v>
      </c>
      <c r="R37" s="14">
        <v>0.14000000000000001</v>
      </c>
      <c r="S37" s="14">
        <v>0.23</v>
      </c>
      <c r="T37" s="14">
        <v>0.27</v>
      </c>
      <c r="U37" s="14">
        <v>0.16</v>
      </c>
      <c r="V37" s="14">
        <v>0.11</v>
      </c>
      <c r="W37" s="14">
        <v>0.1</v>
      </c>
      <c r="X37" s="14">
        <v>0.28000000000000003</v>
      </c>
      <c r="Y37" s="14">
        <v>0.08</v>
      </c>
      <c r="Z37" s="14">
        <v>0.21</v>
      </c>
      <c r="AA37" s="14">
        <v>7.0000000000000007E-2</v>
      </c>
      <c r="AB37" s="14">
        <v>0.08</v>
      </c>
      <c r="AC37" s="14">
        <v>0.1</v>
      </c>
      <c r="AD37" s="14">
        <v>0.11</v>
      </c>
      <c r="AE37" s="14">
        <v>0.23</v>
      </c>
      <c r="AF37" s="14">
        <v>0.16</v>
      </c>
    </row>
    <row r="38" spans="1:32" ht="21.5" x14ac:dyDescent="0.35">
      <c r="A38" s="31"/>
      <c r="B38" s="11" t="s">
        <v>448</v>
      </c>
      <c r="C38" s="12">
        <v>1370</v>
      </c>
      <c r="D38" s="12">
        <v>55</v>
      </c>
      <c r="E38" s="12">
        <v>78</v>
      </c>
      <c r="F38" s="12">
        <v>45</v>
      </c>
      <c r="G38" s="12">
        <v>38</v>
      </c>
      <c r="H38" s="12">
        <v>33</v>
      </c>
      <c r="I38" s="12">
        <v>44</v>
      </c>
      <c r="J38" s="12">
        <v>11</v>
      </c>
      <c r="K38" s="12">
        <v>59</v>
      </c>
      <c r="L38" s="12">
        <v>33</v>
      </c>
      <c r="M38" s="12">
        <v>32</v>
      </c>
      <c r="N38" s="12">
        <v>46</v>
      </c>
      <c r="O38" s="12">
        <v>45</v>
      </c>
      <c r="P38" s="12">
        <v>88</v>
      </c>
      <c r="Q38" s="12">
        <v>63</v>
      </c>
      <c r="R38" s="12">
        <v>10</v>
      </c>
      <c r="S38" s="12">
        <v>21</v>
      </c>
      <c r="T38" s="12">
        <v>32</v>
      </c>
      <c r="U38" s="12">
        <v>15</v>
      </c>
      <c r="V38" s="12">
        <v>83</v>
      </c>
      <c r="W38" s="12">
        <v>26</v>
      </c>
      <c r="X38" s="12">
        <v>42</v>
      </c>
      <c r="Y38" s="12">
        <v>53</v>
      </c>
      <c r="Z38" s="12">
        <v>80</v>
      </c>
      <c r="AA38" s="12">
        <v>29</v>
      </c>
      <c r="AB38" s="12">
        <v>105</v>
      </c>
      <c r="AC38" s="12">
        <v>121</v>
      </c>
      <c r="AD38" s="12">
        <v>93</v>
      </c>
      <c r="AE38" s="12">
        <v>91</v>
      </c>
      <c r="AF38" s="12">
        <v>73</v>
      </c>
    </row>
    <row r="39" spans="1:32" x14ac:dyDescent="0.35">
      <c r="A39" s="31"/>
      <c r="B39" s="13" t="s">
        <v>449</v>
      </c>
      <c r="C39" s="14">
        <v>0.05</v>
      </c>
      <c r="D39" s="14">
        <v>0.05</v>
      </c>
      <c r="E39" s="14">
        <v>7.0000000000000007E-2</v>
      </c>
      <c r="F39" s="14">
        <v>0.04</v>
      </c>
      <c r="G39" s="14">
        <v>0.04</v>
      </c>
      <c r="H39" s="14">
        <v>0.03</v>
      </c>
      <c r="I39" s="14">
        <v>0.03</v>
      </c>
      <c r="J39" s="14">
        <v>0.04</v>
      </c>
      <c r="K39" s="14">
        <v>0.06</v>
      </c>
      <c r="L39" s="14">
        <v>0.03</v>
      </c>
      <c r="M39" s="14">
        <v>0.03</v>
      </c>
      <c r="N39" s="14">
        <v>0.05</v>
      </c>
      <c r="O39" s="14">
        <v>0.04</v>
      </c>
      <c r="P39" s="14">
        <v>0.09</v>
      </c>
      <c r="Q39" s="14">
        <v>0.06</v>
      </c>
      <c r="R39" s="14">
        <v>0.02</v>
      </c>
      <c r="S39" s="14">
        <v>0.02</v>
      </c>
      <c r="T39" s="14">
        <v>0.03</v>
      </c>
      <c r="U39" s="14">
        <v>0.03</v>
      </c>
      <c r="V39" s="14">
        <v>0.08</v>
      </c>
      <c r="W39" s="14">
        <v>0.05</v>
      </c>
      <c r="X39" s="14">
        <v>0.04</v>
      </c>
      <c r="Y39" s="14">
        <v>0.05</v>
      </c>
      <c r="Z39" s="14">
        <v>0.08</v>
      </c>
      <c r="AA39" s="14">
        <v>0.03</v>
      </c>
      <c r="AB39" s="14">
        <v>0.1</v>
      </c>
      <c r="AC39" s="14">
        <v>0.12</v>
      </c>
      <c r="AD39" s="14">
        <v>0.09</v>
      </c>
      <c r="AE39" s="14">
        <v>0.09</v>
      </c>
      <c r="AF39" s="14">
        <v>7.0000000000000007E-2</v>
      </c>
    </row>
    <row r="40" spans="1:32" ht="21.5" x14ac:dyDescent="0.35">
      <c r="A40" s="31"/>
      <c r="B40" s="11" t="s">
        <v>450</v>
      </c>
      <c r="C40" s="12">
        <v>624</v>
      </c>
      <c r="D40" s="12">
        <v>33</v>
      </c>
      <c r="E40" s="12">
        <v>11</v>
      </c>
      <c r="F40" s="12">
        <v>17</v>
      </c>
      <c r="G40" s="12">
        <v>24</v>
      </c>
      <c r="H40" s="12">
        <v>15</v>
      </c>
      <c r="I40" s="12">
        <v>19</v>
      </c>
      <c r="J40" s="12">
        <v>4</v>
      </c>
      <c r="K40" s="12">
        <v>16</v>
      </c>
      <c r="L40" s="12">
        <v>18</v>
      </c>
      <c r="M40" s="12">
        <v>14</v>
      </c>
      <c r="N40" s="12">
        <v>25</v>
      </c>
      <c r="O40" s="12">
        <v>20</v>
      </c>
      <c r="P40" s="12">
        <v>31</v>
      </c>
      <c r="Q40" s="12">
        <v>39</v>
      </c>
      <c r="R40" s="12">
        <v>6</v>
      </c>
      <c r="S40" s="12">
        <v>7</v>
      </c>
      <c r="T40" s="12">
        <v>13</v>
      </c>
      <c r="U40" s="12">
        <v>10</v>
      </c>
      <c r="V40" s="12">
        <v>26</v>
      </c>
      <c r="W40" s="12">
        <v>18</v>
      </c>
      <c r="X40" s="12">
        <v>20</v>
      </c>
      <c r="Y40" s="12">
        <v>36</v>
      </c>
      <c r="Z40" s="12">
        <v>31</v>
      </c>
      <c r="AA40" s="12">
        <v>33</v>
      </c>
      <c r="AB40" s="12">
        <v>21</v>
      </c>
      <c r="AC40" s="12">
        <v>15</v>
      </c>
      <c r="AD40" s="12">
        <v>27</v>
      </c>
      <c r="AE40" s="12">
        <v>21</v>
      </c>
      <c r="AF40" s="12">
        <v>37</v>
      </c>
    </row>
    <row r="41" spans="1:32" ht="21.5" x14ac:dyDescent="0.35">
      <c r="A41" s="31"/>
      <c r="B41" s="13" t="s">
        <v>451</v>
      </c>
      <c r="C41" s="14">
        <v>0.02</v>
      </c>
      <c r="D41" s="14">
        <v>0.03</v>
      </c>
      <c r="E41" s="14">
        <v>0.01</v>
      </c>
      <c r="F41" s="14">
        <v>0.02</v>
      </c>
      <c r="G41" s="14">
        <v>0.02</v>
      </c>
      <c r="H41" s="14">
        <v>0.01</v>
      </c>
      <c r="I41" s="14">
        <v>0.01</v>
      </c>
      <c r="J41" s="14">
        <v>0.01</v>
      </c>
      <c r="K41" s="14">
        <v>0.02</v>
      </c>
      <c r="L41" s="14">
        <v>0.02</v>
      </c>
      <c r="M41" s="14">
        <v>0.02</v>
      </c>
      <c r="N41" s="14">
        <v>0.03</v>
      </c>
      <c r="O41" s="14">
        <v>0.02</v>
      </c>
      <c r="P41" s="14">
        <v>0.03</v>
      </c>
      <c r="Q41" s="14">
        <v>0.04</v>
      </c>
      <c r="R41" s="14">
        <v>0.01</v>
      </c>
      <c r="S41" s="14">
        <v>0.01</v>
      </c>
      <c r="T41" s="14">
        <v>0.01</v>
      </c>
      <c r="U41" s="14">
        <v>0.02</v>
      </c>
      <c r="V41" s="14">
        <v>0.02</v>
      </c>
      <c r="W41" s="14">
        <v>0.04</v>
      </c>
      <c r="X41" s="14">
        <v>0.02</v>
      </c>
      <c r="Y41" s="14">
        <v>0.04</v>
      </c>
      <c r="Z41" s="14">
        <v>0.03</v>
      </c>
      <c r="AA41" s="14">
        <v>0.03</v>
      </c>
      <c r="AB41" s="14">
        <v>0.02</v>
      </c>
      <c r="AC41" s="14">
        <v>0.02</v>
      </c>
      <c r="AD41" s="14">
        <v>0.03</v>
      </c>
      <c r="AE41" s="14">
        <v>0.02</v>
      </c>
      <c r="AF41" s="14">
        <v>0.04</v>
      </c>
    </row>
    <row r="42" spans="1:32" x14ac:dyDescent="0.35">
      <c r="A42" s="31"/>
      <c r="B42" s="11" t="s">
        <v>407</v>
      </c>
      <c r="C42" s="12">
        <v>70</v>
      </c>
      <c r="D42" s="12">
        <v>2</v>
      </c>
      <c r="E42" s="12">
        <v>2</v>
      </c>
      <c r="F42" s="12">
        <v>0</v>
      </c>
      <c r="G42" s="12">
        <v>2</v>
      </c>
      <c r="H42" s="12">
        <v>1</v>
      </c>
      <c r="I42" s="12">
        <v>1</v>
      </c>
      <c r="J42" s="12">
        <v>0</v>
      </c>
      <c r="K42" s="12">
        <v>7</v>
      </c>
      <c r="L42" s="12">
        <v>2</v>
      </c>
      <c r="M42" s="12">
        <v>3</v>
      </c>
      <c r="N42" s="12">
        <v>1</v>
      </c>
      <c r="O42" s="12">
        <v>11</v>
      </c>
      <c r="P42" s="12">
        <v>1</v>
      </c>
      <c r="Q42" s="12">
        <v>0</v>
      </c>
      <c r="R42" s="12">
        <v>1</v>
      </c>
      <c r="S42" s="12">
        <v>8</v>
      </c>
      <c r="T42" s="12">
        <v>0</v>
      </c>
      <c r="U42" s="12">
        <v>4</v>
      </c>
      <c r="V42" s="12">
        <v>0</v>
      </c>
      <c r="W42" s="12">
        <v>1</v>
      </c>
      <c r="X42" s="12">
        <v>3</v>
      </c>
      <c r="Y42" s="12">
        <v>2</v>
      </c>
      <c r="Z42" s="12">
        <v>0</v>
      </c>
      <c r="AA42" s="12">
        <v>1</v>
      </c>
      <c r="AB42" s="12">
        <v>3</v>
      </c>
      <c r="AC42" s="12">
        <v>4</v>
      </c>
      <c r="AD42" s="12">
        <v>0</v>
      </c>
      <c r="AE42" s="12">
        <v>2</v>
      </c>
      <c r="AF42" s="12">
        <v>6</v>
      </c>
    </row>
    <row r="43" spans="1:32" x14ac:dyDescent="0.35">
      <c r="A43" s="31"/>
      <c r="B43" s="13" t="s">
        <v>408</v>
      </c>
      <c r="C43" s="15" t="s">
        <v>333</v>
      </c>
      <c r="D43" s="15" t="s">
        <v>333</v>
      </c>
      <c r="E43" s="15" t="s">
        <v>333</v>
      </c>
      <c r="F43" s="15" t="s">
        <v>333</v>
      </c>
      <c r="G43" s="15" t="s">
        <v>333</v>
      </c>
      <c r="H43" s="15" t="s">
        <v>333</v>
      </c>
      <c r="I43" s="15" t="s">
        <v>333</v>
      </c>
      <c r="J43" s="15" t="s">
        <v>333</v>
      </c>
      <c r="K43" s="14">
        <v>0.01</v>
      </c>
      <c r="L43" s="15" t="s">
        <v>333</v>
      </c>
      <c r="M43" s="15" t="s">
        <v>333</v>
      </c>
      <c r="N43" s="15" t="s">
        <v>333</v>
      </c>
      <c r="O43" s="14">
        <v>0.01</v>
      </c>
      <c r="P43" s="15" t="s">
        <v>333</v>
      </c>
      <c r="Q43" s="15" t="s">
        <v>333</v>
      </c>
      <c r="R43" s="15" t="s">
        <v>333</v>
      </c>
      <c r="S43" s="14">
        <v>0.01</v>
      </c>
      <c r="T43" s="15" t="s">
        <v>333</v>
      </c>
      <c r="U43" s="14">
        <v>0.01</v>
      </c>
      <c r="V43" s="15" t="s">
        <v>333</v>
      </c>
      <c r="W43" s="15" t="s">
        <v>333</v>
      </c>
      <c r="X43" s="15" t="s">
        <v>333</v>
      </c>
      <c r="Y43" s="15" t="s">
        <v>333</v>
      </c>
      <c r="Z43" s="15" t="s">
        <v>333</v>
      </c>
      <c r="AA43" s="15" t="s">
        <v>333</v>
      </c>
      <c r="AB43" s="15" t="s">
        <v>333</v>
      </c>
      <c r="AC43" s="15" t="s">
        <v>333</v>
      </c>
      <c r="AD43" s="15" t="s">
        <v>333</v>
      </c>
      <c r="AE43" s="15" t="s">
        <v>333</v>
      </c>
      <c r="AF43" s="14">
        <v>0.01</v>
      </c>
    </row>
    <row r="44" spans="1:32" x14ac:dyDescent="0.35">
      <c r="A44" s="31"/>
      <c r="B44" s="11" t="s">
        <v>452</v>
      </c>
      <c r="C44" s="12">
        <v>130</v>
      </c>
      <c r="D44" s="12">
        <v>3</v>
      </c>
      <c r="E44" s="12">
        <v>6</v>
      </c>
      <c r="F44" s="12">
        <v>2</v>
      </c>
      <c r="G44" s="12">
        <v>2</v>
      </c>
      <c r="H44" s="12">
        <v>8</v>
      </c>
      <c r="I44" s="12">
        <v>8</v>
      </c>
      <c r="J44" s="12">
        <v>0</v>
      </c>
      <c r="K44" s="12">
        <v>7</v>
      </c>
      <c r="L44" s="12">
        <v>1</v>
      </c>
      <c r="M44" s="12">
        <v>6</v>
      </c>
      <c r="N44" s="12">
        <v>4</v>
      </c>
      <c r="O44" s="12">
        <v>7</v>
      </c>
      <c r="P44" s="12">
        <v>4</v>
      </c>
      <c r="Q44" s="12">
        <v>7</v>
      </c>
      <c r="R44" s="12">
        <v>7</v>
      </c>
      <c r="S44" s="12">
        <v>2</v>
      </c>
      <c r="T44" s="12">
        <v>3</v>
      </c>
      <c r="U44" s="12">
        <v>2</v>
      </c>
      <c r="V44" s="12">
        <v>1</v>
      </c>
      <c r="W44" s="12">
        <v>0</v>
      </c>
      <c r="X44" s="12">
        <v>8</v>
      </c>
      <c r="Y44" s="12">
        <v>1</v>
      </c>
      <c r="Z44" s="12">
        <v>5</v>
      </c>
      <c r="AA44" s="12">
        <v>3</v>
      </c>
      <c r="AB44" s="12">
        <v>3</v>
      </c>
      <c r="AC44" s="12">
        <v>3</v>
      </c>
      <c r="AD44" s="12">
        <v>2</v>
      </c>
      <c r="AE44" s="12">
        <v>4</v>
      </c>
      <c r="AF44" s="12">
        <v>1</v>
      </c>
    </row>
    <row r="45" spans="1:32" x14ac:dyDescent="0.35">
      <c r="A45" s="31"/>
      <c r="B45" s="13" t="s">
        <v>453</v>
      </c>
      <c r="C45" s="14">
        <v>0.01</v>
      </c>
      <c r="D45" s="15" t="s">
        <v>333</v>
      </c>
      <c r="E45" s="14">
        <v>0.01</v>
      </c>
      <c r="F45" s="15" t="s">
        <v>333</v>
      </c>
      <c r="G45" s="15" t="s">
        <v>333</v>
      </c>
      <c r="H45" s="14">
        <v>0.01</v>
      </c>
      <c r="I45" s="14">
        <v>0.01</v>
      </c>
      <c r="J45" s="15" t="s">
        <v>333</v>
      </c>
      <c r="K45" s="14">
        <v>0.01</v>
      </c>
      <c r="L45" s="15" t="s">
        <v>333</v>
      </c>
      <c r="M45" s="14">
        <v>0.01</v>
      </c>
      <c r="N45" s="15" t="s">
        <v>333</v>
      </c>
      <c r="O45" s="14">
        <v>0.01</v>
      </c>
      <c r="P45" s="15" t="s">
        <v>333</v>
      </c>
      <c r="Q45" s="14">
        <v>0.01</v>
      </c>
      <c r="R45" s="14">
        <v>0.01</v>
      </c>
      <c r="S45" s="15" t="s">
        <v>333</v>
      </c>
      <c r="T45" s="15" t="s">
        <v>333</v>
      </c>
      <c r="U45" s="15" t="s">
        <v>333</v>
      </c>
      <c r="V45" s="15" t="s">
        <v>333</v>
      </c>
      <c r="W45" s="15" t="s">
        <v>333</v>
      </c>
      <c r="X45" s="14">
        <v>0.01</v>
      </c>
      <c r="Y45" s="15" t="s">
        <v>333</v>
      </c>
      <c r="Z45" s="15" t="s">
        <v>333</v>
      </c>
      <c r="AA45" s="15" t="s">
        <v>333</v>
      </c>
      <c r="AB45" s="15" t="s">
        <v>333</v>
      </c>
      <c r="AC45" s="15" t="s">
        <v>333</v>
      </c>
      <c r="AD45" s="15" t="s">
        <v>333</v>
      </c>
      <c r="AE45" s="15" t="s">
        <v>333</v>
      </c>
      <c r="AF45" s="15" t="s">
        <v>333</v>
      </c>
    </row>
    <row r="46" spans="1:32" x14ac:dyDescent="0.35">
      <c r="A46" s="31"/>
      <c r="B46" s="11" t="s">
        <v>344</v>
      </c>
      <c r="C46" s="12">
        <v>121</v>
      </c>
      <c r="D46" s="12">
        <v>5</v>
      </c>
      <c r="E46" s="12">
        <v>9</v>
      </c>
      <c r="F46" s="12">
        <v>8</v>
      </c>
      <c r="G46" s="12">
        <v>8</v>
      </c>
      <c r="H46" s="12">
        <v>4</v>
      </c>
      <c r="I46" s="12">
        <v>5</v>
      </c>
      <c r="J46" s="12">
        <v>1</v>
      </c>
      <c r="K46" s="12">
        <v>5</v>
      </c>
      <c r="L46" s="12">
        <v>3</v>
      </c>
      <c r="M46" s="12">
        <v>2</v>
      </c>
      <c r="N46" s="12">
        <v>4</v>
      </c>
      <c r="O46" s="12">
        <v>4</v>
      </c>
      <c r="P46" s="12">
        <v>6</v>
      </c>
      <c r="Q46" s="12">
        <v>7</v>
      </c>
      <c r="R46" s="12">
        <v>5</v>
      </c>
      <c r="S46" s="12">
        <v>2</v>
      </c>
      <c r="T46" s="12">
        <v>8</v>
      </c>
      <c r="U46" s="12">
        <v>4</v>
      </c>
      <c r="V46" s="12">
        <v>3</v>
      </c>
      <c r="W46" s="12">
        <v>0</v>
      </c>
      <c r="X46" s="12">
        <v>2</v>
      </c>
      <c r="Y46" s="12">
        <v>4</v>
      </c>
      <c r="Z46" s="12">
        <v>4</v>
      </c>
      <c r="AA46" s="12">
        <v>9</v>
      </c>
      <c r="AB46" s="12">
        <v>13</v>
      </c>
      <c r="AC46" s="12">
        <v>2</v>
      </c>
      <c r="AD46" s="12">
        <v>1</v>
      </c>
      <c r="AE46" s="12">
        <v>6</v>
      </c>
      <c r="AF46" s="12">
        <v>1</v>
      </c>
    </row>
    <row r="47" spans="1:32" x14ac:dyDescent="0.35">
      <c r="A47" s="31"/>
      <c r="B47" s="13" t="s">
        <v>357</v>
      </c>
      <c r="C47" s="15" t="s">
        <v>333</v>
      </c>
      <c r="D47" s="14">
        <v>0.01</v>
      </c>
      <c r="E47" s="14">
        <v>0.01</v>
      </c>
      <c r="F47" s="14">
        <v>0.01</v>
      </c>
      <c r="G47" s="14">
        <v>0.01</v>
      </c>
      <c r="H47" s="15" t="s">
        <v>333</v>
      </c>
      <c r="I47" s="15" t="s">
        <v>333</v>
      </c>
      <c r="J47" s="15" t="s">
        <v>333</v>
      </c>
      <c r="K47" s="15" t="s">
        <v>333</v>
      </c>
      <c r="L47" s="15" t="s">
        <v>333</v>
      </c>
      <c r="M47" s="15" t="s">
        <v>333</v>
      </c>
      <c r="N47" s="15" t="s">
        <v>333</v>
      </c>
      <c r="O47" s="15" t="s">
        <v>333</v>
      </c>
      <c r="P47" s="14">
        <v>0.01</v>
      </c>
      <c r="Q47" s="14">
        <v>0.01</v>
      </c>
      <c r="R47" s="14">
        <v>0.01</v>
      </c>
      <c r="S47" s="15" t="s">
        <v>333</v>
      </c>
      <c r="T47" s="14">
        <v>0.01</v>
      </c>
      <c r="U47" s="14">
        <v>0.01</v>
      </c>
      <c r="V47" s="15" t="s">
        <v>333</v>
      </c>
      <c r="W47" s="15" t="s">
        <v>333</v>
      </c>
      <c r="X47" s="15" t="s">
        <v>333</v>
      </c>
      <c r="Y47" s="15" t="s">
        <v>333</v>
      </c>
      <c r="Z47" s="15" t="s">
        <v>333</v>
      </c>
      <c r="AA47" s="14">
        <v>0.01</v>
      </c>
      <c r="AB47" s="14">
        <v>0.01</v>
      </c>
      <c r="AC47" s="15" t="s">
        <v>333</v>
      </c>
      <c r="AD47" s="15" t="s">
        <v>333</v>
      </c>
      <c r="AE47" s="14">
        <v>0.01</v>
      </c>
      <c r="AF47" s="15" t="s">
        <v>333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33</v>
      </c>
      <c r="C3" s="30"/>
      <c r="D3" s="30"/>
      <c r="E3" s="30"/>
      <c r="F3" s="30"/>
      <c r="H3" s="30" t="s">
        <v>34</v>
      </c>
      <c r="I3" s="30"/>
      <c r="J3" s="30"/>
      <c r="K3" s="30"/>
      <c r="L3" s="30"/>
    </row>
    <row r="4" spans="1:32" ht="27" customHeight="1" x14ac:dyDescent="0.35">
      <c r="B4" s="30"/>
      <c r="C4" s="30"/>
      <c r="D4" s="30"/>
      <c r="E4" s="30"/>
      <c r="F4" s="30"/>
      <c r="H4" s="30"/>
      <c r="I4" s="30"/>
      <c r="J4" s="30"/>
      <c r="K4" s="30"/>
      <c r="L4" s="30"/>
    </row>
    <row r="5" spans="1:32" ht="12" customHeight="1" x14ac:dyDescent="0.35">
      <c r="B5" s="30" t="s">
        <v>454</v>
      </c>
      <c r="C5" s="30"/>
      <c r="D5" s="30"/>
      <c r="E5" s="30"/>
      <c r="F5" s="30"/>
      <c r="H5" s="30" t="s">
        <v>455</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26159</v>
      </c>
      <c r="D10" s="10">
        <v>1017</v>
      </c>
      <c r="E10" s="10">
        <v>1024</v>
      </c>
      <c r="F10" s="10">
        <v>1008</v>
      </c>
      <c r="G10" s="10">
        <v>1007</v>
      </c>
      <c r="H10" s="10">
        <v>1220</v>
      </c>
      <c r="I10" s="10">
        <v>1518</v>
      </c>
      <c r="J10" s="10">
        <v>297</v>
      </c>
      <c r="K10" s="10">
        <v>997</v>
      </c>
      <c r="L10" s="10">
        <v>1000</v>
      </c>
      <c r="M10" s="10">
        <v>996</v>
      </c>
      <c r="N10" s="10">
        <v>992</v>
      </c>
      <c r="O10" s="10">
        <v>989</v>
      </c>
      <c r="P10" s="10">
        <v>994</v>
      </c>
      <c r="Q10" s="10">
        <v>1021</v>
      </c>
      <c r="R10" s="10">
        <v>490</v>
      </c>
      <c r="S10" s="10">
        <v>1017</v>
      </c>
      <c r="T10" s="10">
        <v>1006</v>
      </c>
      <c r="U10" s="10">
        <v>503</v>
      </c>
      <c r="V10" s="10">
        <v>1010</v>
      </c>
      <c r="W10" s="10">
        <v>501</v>
      </c>
      <c r="X10" s="10">
        <v>1001</v>
      </c>
      <c r="Y10" s="10">
        <v>998</v>
      </c>
      <c r="Z10" s="10">
        <v>1010</v>
      </c>
      <c r="AA10" s="10">
        <v>1017</v>
      </c>
      <c r="AB10" s="10">
        <v>1040</v>
      </c>
      <c r="AC10" s="10">
        <v>1008</v>
      </c>
      <c r="AD10" s="10">
        <v>1001</v>
      </c>
      <c r="AE10" s="10">
        <v>997</v>
      </c>
      <c r="AF10" s="10">
        <v>1018</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422</v>
      </c>
      <c r="C12" s="12">
        <v>4835</v>
      </c>
      <c r="D12" s="12">
        <v>132</v>
      </c>
      <c r="E12" s="12">
        <v>299</v>
      </c>
      <c r="F12" s="12">
        <v>151</v>
      </c>
      <c r="G12" s="12">
        <v>129</v>
      </c>
      <c r="H12" s="12">
        <v>85</v>
      </c>
      <c r="I12" s="12">
        <v>120</v>
      </c>
      <c r="J12" s="12">
        <v>35</v>
      </c>
      <c r="K12" s="12">
        <v>188</v>
      </c>
      <c r="L12" s="12">
        <v>303</v>
      </c>
      <c r="M12" s="12">
        <v>333</v>
      </c>
      <c r="N12" s="12">
        <v>290</v>
      </c>
      <c r="O12" s="12">
        <v>219</v>
      </c>
      <c r="P12" s="12">
        <v>179</v>
      </c>
      <c r="Q12" s="12">
        <v>178</v>
      </c>
      <c r="R12" s="12">
        <v>133</v>
      </c>
      <c r="S12" s="12">
        <v>254</v>
      </c>
      <c r="T12" s="12">
        <v>264</v>
      </c>
      <c r="U12" s="12">
        <v>78</v>
      </c>
      <c r="V12" s="12">
        <v>257</v>
      </c>
      <c r="W12" s="12">
        <v>98</v>
      </c>
      <c r="X12" s="12">
        <v>120</v>
      </c>
      <c r="Y12" s="12">
        <v>160</v>
      </c>
      <c r="Z12" s="12">
        <v>178</v>
      </c>
      <c r="AA12" s="12">
        <v>324</v>
      </c>
      <c r="AB12" s="12">
        <v>223</v>
      </c>
      <c r="AC12" s="12">
        <v>262</v>
      </c>
      <c r="AD12" s="12">
        <v>203</v>
      </c>
      <c r="AE12" s="12">
        <v>81</v>
      </c>
      <c r="AF12" s="12">
        <v>113</v>
      </c>
    </row>
    <row r="13" spans="1:32" ht="21.5" x14ac:dyDescent="0.35">
      <c r="A13" s="31"/>
      <c r="B13" s="13" t="s">
        <v>423</v>
      </c>
      <c r="C13" s="14">
        <v>0.2</v>
      </c>
      <c r="D13" s="14">
        <v>0.14000000000000001</v>
      </c>
      <c r="E13" s="14">
        <v>0.31</v>
      </c>
      <c r="F13" s="14">
        <v>0.15</v>
      </c>
      <c r="G13" s="14">
        <v>0.13</v>
      </c>
      <c r="H13" s="14">
        <v>7.0000000000000007E-2</v>
      </c>
      <c r="I13" s="14">
        <v>0.08</v>
      </c>
      <c r="J13" s="14">
        <v>0.12</v>
      </c>
      <c r="K13" s="14">
        <v>0.2</v>
      </c>
      <c r="L13" s="14">
        <v>0.34</v>
      </c>
      <c r="M13" s="14">
        <v>0.37</v>
      </c>
      <c r="N13" s="14">
        <v>0.34</v>
      </c>
      <c r="O13" s="14">
        <v>0.23</v>
      </c>
      <c r="P13" s="14">
        <v>0.19</v>
      </c>
      <c r="Q13" s="14">
        <v>0.18</v>
      </c>
      <c r="R13" s="14">
        <v>0.3</v>
      </c>
      <c r="S13" s="14">
        <v>0.28000000000000003</v>
      </c>
      <c r="T13" s="14">
        <v>0.28999999999999998</v>
      </c>
      <c r="U13" s="14">
        <v>0.16</v>
      </c>
      <c r="V13" s="14">
        <v>0.28000000000000003</v>
      </c>
      <c r="W13" s="14">
        <v>0.22</v>
      </c>
      <c r="X13" s="14">
        <v>0.12</v>
      </c>
      <c r="Y13" s="14">
        <v>0.17</v>
      </c>
      <c r="Z13" s="14">
        <v>0.19</v>
      </c>
      <c r="AA13" s="14">
        <v>0.39</v>
      </c>
      <c r="AB13" s="14">
        <v>0.23</v>
      </c>
      <c r="AC13" s="14">
        <v>0.28999999999999998</v>
      </c>
      <c r="AD13" s="14">
        <v>0.21</v>
      </c>
      <c r="AE13" s="14">
        <v>0.08</v>
      </c>
      <c r="AF13" s="14">
        <v>0.11</v>
      </c>
    </row>
    <row r="14" spans="1:32" ht="21.5" x14ac:dyDescent="0.35">
      <c r="A14" s="31"/>
      <c r="B14" s="11" t="s">
        <v>424</v>
      </c>
      <c r="C14" s="12">
        <v>3981</v>
      </c>
      <c r="D14" s="12">
        <v>155</v>
      </c>
      <c r="E14" s="12">
        <v>85</v>
      </c>
      <c r="F14" s="12">
        <v>79</v>
      </c>
      <c r="G14" s="12">
        <v>317</v>
      </c>
      <c r="H14" s="12">
        <v>207</v>
      </c>
      <c r="I14" s="12">
        <v>246</v>
      </c>
      <c r="J14" s="12">
        <v>39</v>
      </c>
      <c r="K14" s="12">
        <v>50</v>
      </c>
      <c r="L14" s="12">
        <v>167</v>
      </c>
      <c r="M14" s="12">
        <v>111</v>
      </c>
      <c r="N14" s="12">
        <v>117</v>
      </c>
      <c r="O14" s="12">
        <v>180</v>
      </c>
      <c r="P14" s="12">
        <v>123</v>
      </c>
      <c r="Q14" s="12">
        <v>175</v>
      </c>
      <c r="R14" s="12">
        <v>27</v>
      </c>
      <c r="S14" s="12">
        <v>48</v>
      </c>
      <c r="T14" s="12">
        <v>73</v>
      </c>
      <c r="U14" s="12">
        <v>83</v>
      </c>
      <c r="V14" s="12">
        <v>134</v>
      </c>
      <c r="W14" s="12">
        <v>80</v>
      </c>
      <c r="X14" s="12">
        <v>236</v>
      </c>
      <c r="Y14" s="12">
        <v>174</v>
      </c>
      <c r="Z14" s="12">
        <v>96</v>
      </c>
      <c r="AA14" s="12">
        <v>118</v>
      </c>
      <c r="AB14" s="12">
        <v>90</v>
      </c>
      <c r="AC14" s="12">
        <v>93</v>
      </c>
      <c r="AD14" s="12">
        <v>114</v>
      </c>
      <c r="AE14" s="12">
        <v>204</v>
      </c>
      <c r="AF14" s="12">
        <v>288</v>
      </c>
    </row>
    <row r="15" spans="1:32" ht="21.5" x14ac:dyDescent="0.35">
      <c r="A15" s="31"/>
      <c r="B15" s="13" t="s">
        <v>425</v>
      </c>
      <c r="C15" s="14">
        <v>0.16</v>
      </c>
      <c r="D15" s="14">
        <v>0.17</v>
      </c>
      <c r="E15" s="14">
        <v>0.08</v>
      </c>
      <c r="F15" s="14">
        <v>0.08</v>
      </c>
      <c r="G15" s="14">
        <v>0.38</v>
      </c>
      <c r="H15" s="14">
        <v>0.18</v>
      </c>
      <c r="I15" s="14">
        <v>0.17</v>
      </c>
      <c r="J15" s="14">
        <v>0.14000000000000001</v>
      </c>
      <c r="K15" s="14">
        <v>0.05</v>
      </c>
      <c r="L15" s="14">
        <v>0.18</v>
      </c>
      <c r="M15" s="14">
        <v>0.12</v>
      </c>
      <c r="N15" s="14">
        <v>0.12</v>
      </c>
      <c r="O15" s="14">
        <v>0.2</v>
      </c>
      <c r="P15" s="14">
        <v>0.13</v>
      </c>
      <c r="Q15" s="14">
        <v>0.18</v>
      </c>
      <c r="R15" s="14">
        <v>0.06</v>
      </c>
      <c r="S15" s="14">
        <v>0.05</v>
      </c>
      <c r="T15" s="14">
        <v>7.0000000000000007E-2</v>
      </c>
      <c r="U15" s="14">
        <v>0.18</v>
      </c>
      <c r="V15" s="14">
        <v>0.14000000000000001</v>
      </c>
      <c r="W15" s="14">
        <v>0.18</v>
      </c>
      <c r="X15" s="14">
        <v>0.27</v>
      </c>
      <c r="Y15" s="14">
        <v>0.19</v>
      </c>
      <c r="Z15" s="14">
        <v>0.1</v>
      </c>
      <c r="AA15" s="14">
        <v>0.12</v>
      </c>
      <c r="AB15" s="14">
        <v>0.09</v>
      </c>
      <c r="AC15" s="14">
        <v>0.1</v>
      </c>
      <c r="AD15" s="14">
        <v>0.12</v>
      </c>
      <c r="AE15" s="14">
        <v>0.23</v>
      </c>
      <c r="AF15" s="14">
        <v>0.36</v>
      </c>
    </row>
    <row r="16" spans="1:32" ht="21.5" x14ac:dyDescent="0.35">
      <c r="A16" s="31"/>
      <c r="B16" s="11" t="s">
        <v>426</v>
      </c>
      <c r="C16" s="12">
        <v>5760</v>
      </c>
      <c r="D16" s="12">
        <v>236</v>
      </c>
      <c r="E16" s="12">
        <v>305</v>
      </c>
      <c r="F16" s="12">
        <v>151</v>
      </c>
      <c r="G16" s="12">
        <v>197</v>
      </c>
      <c r="H16" s="12">
        <v>276</v>
      </c>
      <c r="I16" s="12">
        <v>340</v>
      </c>
      <c r="J16" s="12">
        <v>65</v>
      </c>
      <c r="K16" s="12">
        <v>175</v>
      </c>
      <c r="L16" s="12">
        <v>161</v>
      </c>
      <c r="M16" s="12">
        <v>301</v>
      </c>
      <c r="N16" s="12">
        <v>235</v>
      </c>
      <c r="O16" s="12">
        <v>241</v>
      </c>
      <c r="P16" s="12">
        <v>263</v>
      </c>
      <c r="Q16" s="12">
        <v>188</v>
      </c>
      <c r="R16" s="12">
        <v>150</v>
      </c>
      <c r="S16" s="12">
        <v>249</v>
      </c>
      <c r="T16" s="12">
        <v>320</v>
      </c>
      <c r="U16" s="12">
        <v>141</v>
      </c>
      <c r="V16" s="12">
        <v>206</v>
      </c>
      <c r="W16" s="12">
        <v>83</v>
      </c>
      <c r="X16" s="12">
        <v>213</v>
      </c>
      <c r="Y16" s="12">
        <v>228</v>
      </c>
      <c r="Z16" s="12">
        <v>146</v>
      </c>
      <c r="AA16" s="12">
        <v>370</v>
      </c>
      <c r="AB16" s="12">
        <v>213</v>
      </c>
      <c r="AC16" s="12">
        <v>227</v>
      </c>
      <c r="AD16" s="12">
        <v>252</v>
      </c>
      <c r="AE16" s="12">
        <v>231</v>
      </c>
      <c r="AF16" s="12">
        <v>232</v>
      </c>
    </row>
    <row r="17" spans="1:32" ht="21.5" x14ac:dyDescent="0.35">
      <c r="A17" s="31"/>
      <c r="B17" s="13" t="s">
        <v>427</v>
      </c>
      <c r="C17" s="14">
        <v>0.24</v>
      </c>
      <c r="D17" s="14">
        <v>0.25</v>
      </c>
      <c r="E17" s="14">
        <v>0.34</v>
      </c>
      <c r="F17" s="14">
        <v>0.16</v>
      </c>
      <c r="G17" s="14">
        <v>0.2</v>
      </c>
      <c r="H17" s="14">
        <v>0.25</v>
      </c>
      <c r="I17" s="14">
        <v>0.24</v>
      </c>
      <c r="J17" s="14">
        <v>0.23</v>
      </c>
      <c r="K17" s="14">
        <v>0.19</v>
      </c>
      <c r="L17" s="14">
        <v>0.17</v>
      </c>
      <c r="M17" s="14">
        <v>0.35</v>
      </c>
      <c r="N17" s="14">
        <v>0.27</v>
      </c>
      <c r="O17" s="14">
        <v>0.28000000000000003</v>
      </c>
      <c r="P17" s="14">
        <v>0.3</v>
      </c>
      <c r="Q17" s="14">
        <v>0.2</v>
      </c>
      <c r="R17" s="14">
        <v>0.35</v>
      </c>
      <c r="S17" s="14">
        <v>0.28000000000000003</v>
      </c>
      <c r="T17" s="14">
        <v>0.36</v>
      </c>
      <c r="U17" s="14">
        <v>0.32</v>
      </c>
      <c r="V17" s="14">
        <v>0.22</v>
      </c>
      <c r="W17" s="14">
        <v>0.18</v>
      </c>
      <c r="X17" s="14">
        <v>0.23</v>
      </c>
      <c r="Y17" s="14">
        <v>0.25</v>
      </c>
      <c r="Z17" s="14">
        <v>0.15</v>
      </c>
      <c r="AA17" s="14">
        <v>0.44</v>
      </c>
      <c r="AB17" s="14">
        <v>0.22</v>
      </c>
      <c r="AC17" s="14">
        <v>0.25</v>
      </c>
      <c r="AD17" s="14">
        <v>0.28000000000000003</v>
      </c>
      <c r="AE17" s="14">
        <v>0.26</v>
      </c>
      <c r="AF17" s="14">
        <v>0.25</v>
      </c>
    </row>
    <row r="18" spans="1:32" ht="31.5" x14ac:dyDescent="0.35">
      <c r="A18" s="31"/>
      <c r="B18" s="11" t="s">
        <v>428</v>
      </c>
      <c r="C18" s="12">
        <v>5488</v>
      </c>
      <c r="D18" s="12">
        <v>156</v>
      </c>
      <c r="E18" s="12">
        <v>306</v>
      </c>
      <c r="F18" s="12">
        <v>215</v>
      </c>
      <c r="G18" s="12">
        <v>150</v>
      </c>
      <c r="H18" s="12">
        <v>208</v>
      </c>
      <c r="I18" s="12">
        <v>267</v>
      </c>
      <c r="J18" s="12">
        <v>59</v>
      </c>
      <c r="K18" s="12">
        <v>321</v>
      </c>
      <c r="L18" s="12">
        <v>197</v>
      </c>
      <c r="M18" s="12">
        <v>303</v>
      </c>
      <c r="N18" s="12">
        <v>243</v>
      </c>
      <c r="O18" s="12">
        <v>175</v>
      </c>
      <c r="P18" s="12">
        <v>271</v>
      </c>
      <c r="Q18" s="12">
        <v>258</v>
      </c>
      <c r="R18" s="12">
        <v>135</v>
      </c>
      <c r="S18" s="12">
        <v>293</v>
      </c>
      <c r="T18" s="12">
        <v>329</v>
      </c>
      <c r="U18" s="12">
        <v>66</v>
      </c>
      <c r="V18" s="12">
        <v>254</v>
      </c>
      <c r="W18" s="12">
        <v>76</v>
      </c>
      <c r="X18" s="12">
        <v>108</v>
      </c>
      <c r="Y18" s="12">
        <v>244</v>
      </c>
      <c r="Z18" s="12">
        <v>165</v>
      </c>
      <c r="AA18" s="12">
        <v>291</v>
      </c>
      <c r="AB18" s="12">
        <v>261</v>
      </c>
      <c r="AC18" s="12">
        <v>246</v>
      </c>
      <c r="AD18" s="12">
        <v>272</v>
      </c>
      <c r="AE18" s="12">
        <v>255</v>
      </c>
      <c r="AF18" s="12">
        <v>193</v>
      </c>
    </row>
    <row r="19" spans="1:32" ht="21.5" x14ac:dyDescent="0.35">
      <c r="A19" s="31"/>
      <c r="B19" s="13" t="s">
        <v>429</v>
      </c>
      <c r="C19" s="14">
        <v>0.23</v>
      </c>
      <c r="D19" s="14">
        <v>0.16</v>
      </c>
      <c r="E19" s="14">
        <v>0.35</v>
      </c>
      <c r="F19" s="14">
        <v>0.23</v>
      </c>
      <c r="G19" s="14">
        <v>0.16</v>
      </c>
      <c r="H19" s="14">
        <v>0.18</v>
      </c>
      <c r="I19" s="14">
        <v>0.19</v>
      </c>
      <c r="J19" s="14">
        <v>0.22</v>
      </c>
      <c r="K19" s="14">
        <v>0.38</v>
      </c>
      <c r="L19" s="14">
        <v>0.21</v>
      </c>
      <c r="M19" s="14">
        <v>0.38</v>
      </c>
      <c r="N19" s="14">
        <v>0.28999999999999998</v>
      </c>
      <c r="O19" s="14">
        <v>0.19</v>
      </c>
      <c r="P19" s="14">
        <v>0.32</v>
      </c>
      <c r="Q19" s="14">
        <v>0.28000000000000003</v>
      </c>
      <c r="R19" s="14">
        <v>0.3</v>
      </c>
      <c r="S19" s="14">
        <v>0.34</v>
      </c>
      <c r="T19" s="14">
        <v>0.39</v>
      </c>
      <c r="U19" s="14">
        <v>0.14000000000000001</v>
      </c>
      <c r="V19" s="14">
        <v>0.28999999999999998</v>
      </c>
      <c r="W19" s="14">
        <v>0.16</v>
      </c>
      <c r="X19" s="14">
        <v>0.11</v>
      </c>
      <c r="Y19" s="14">
        <v>0.27</v>
      </c>
      <c r="Z19" s="14">
        <v>0.18</v>
      </c>
      <c r="AA19" s="14">
        <v>0.33</v>
      </c>
      <c r="AB19" s="14">
        <v>0.28999999999999998</v>
      </c>
      <c r="AC19" s="14">
        <v>0.28000000000000003</v>
      </c>
      <c r="AD19" s="14">
        <v>0.32</v>
      </c>
      <c r="AE19" s="14">
        <v>0.3</v>
      </c>
      <c r="AF19" s="14">
        <v>0.2</v>
      </c>
    </row>
    <row r="20" spans="1:32" ht="21.5" x14ac:dyDescent="0.35">
      <c r="A20" s="31"/>
      <c r="B20" s="11" t="s">
        <v>430</v>
      </c>
      <c r="C20" s="12">
        <v>6846</v>
      </c>
      <c r="D20" s="12">
        <v>255</v>
      </c>
      <c r="E20" s="12">
        <v>309</v>
      </c>
      <c r="F20" s="12">
        <v>287</v>
      </c>
      <c r="G20" s="12">
        <v>194</v>
      </c>
      <c r="H20" s="12">
        <v>263</v>
      </c>
      <c r="I20" s="12">
        <v>347</v>
      </c>
      <c r="J20" s="12">
        <v>84</v>
      </c>
      <c r="K20" s="12">
        <v>329</v>
      </c>
      <c r="L20" s="12">
        <v>325</v>
      </c>
      <c r="M20" s="12">
        <v>327</v>
      </c>
      <c r="N20" s="12">
        <v>272</v>
      </c>
      <c r="O20" s="12">
        <v>266</v>
      </c>
      <c r="P20" s="12">
        <v>338</v>
      </c>
      <c r="Q20" s="12">
        <v>300</v>
      </c>
      <c r="R20" s="12">
        <v>127</v>
      </c>
      <c r="S20" s="12">
        <v>238</v>
      </c>
      <c r="T20" s="12">
        <v>281</v>
      </c>
      <c r="U20" s="12">
        <v>107</v>
      </c>
      <c r="V20" s="12">
        <v>295</v>
      </c>
      <c r="W20" s="12">
        <v>122</v>
      </c>
      <c r="X20" s="12">
        <v>201</v>
      </c>
      <c r="Y20" s="12">
        <v>269</v>
      </c>
      <c r="Z20" s="12">
        <v>245</v>
      </c>
      <c r="AA20" s="12">
        <v>370</v>
      </c>
      <c r="AB20" s="12">
        <v>279</v>
      </c>
      <c r="AC20" s="12">
        <v>254</v>
      </c>
      <c r="AD20" s="12">
        <v>332</v>
      </c>
      <c r="AE20" s="12">
        <v>160</v>
      </c>
      <c r="AF20" s="12">
        <v>148</v>
      </c>
    </row>
    <row r="21" spans="1:32" ht="21.5" x14ac:dyDescent="0.35">
      <c r="A21" s="31"/>
      <c r="B21" s="13" t="s">
        <v>431</v>
      </c>
      <c r="C21" s="14">
        <v>0.31</v>
      </c>
      <c r="D21" s="14">
        <v>0.3</v>
      </c>
      <c r="E21" s="14">
        <v>0.41</v>
      </c>
      <c r="F21" s="14">
        <v>0.34</v>
      </c>
      <c r="G21" s="14">
        <v>0.21</v>
      </c>
      <c r="H21" s="14">
        <v>0.24</v>
      </c>
      <c r="I21" s="14">
        <v>0.26</v>
      </c>
      <c r="J21" s="14">
        <v>0.34</v>
      </c>
      <c r="K21" s="14">
        <v>0.41</v>
      </c>
      <c r="L21" s="14">
        <v>0.41</v>
      </c>
      <c r="M21" s="14">
        <v>0.39</v>
      </c>
      <c r="N21" s="14">
        <v>0.32</v>
      </c>
      <c r="O21" s="14">
        <v>0.34</v>
      </c>
      <c r="P21" s="14">
        <v>0.44</v>
      </c>
      <c r="Q21" s="14">
        <v>0.35</v>
      </c>
      <c r="R21" s="14">
        <v>0.3</v>
      </c>
      <c r="S21" s="14">
        <v>0.28000000000000003</v>
      </c>
      <c r="T21" s="14">
        <v>0.32</v>
      </c>
      <c r="U21" s="14">
        <v>0.25</v>
      </c>
      <c r="V21" s="14">
        <v>0.35</v>
      </c>
      <c r="W21" s="14">
        <v>0.28000000000000003</v>
      </c>
      <c r="X21" s="14">
        <v>0.22</v>
      </c>
      <c r="Y21" s="14">
        <v>0.32</v>
      </c>
      <c r="Z21" s="14">
        <v>0.28999999999999998</v>
      </c>
      <c r="AA21" s="14">
        <v>0.44</v>
      </c>
      <c r="AB21" s="14">
        <v>0.32</v>
      </c>
      <c r="AC21" s="14">
        <v>0.28999999999999998</v>
      </c>
      <c r="AD21" s="14">
        <v>0.41</v>
      </c>
      <c r="AE21" s="14">
        <v>0.17</v>
      </c>
      <c r="AF21" s="14">
        <v>0.15</v>
      </c>
    </row>
    <row r="22" spans="1:32" ht="31.5" x14ac:dyDescent="0.35">
      <c r="A22" s="31"/>
      <c r="B22" s="11" t="s">
        <v>432</v>
      </c>
      <c r="C22" s="12">
        <v>1937</v>
      </c>
      <c r="D22" s="12">
        <v>68</v>
      </c>
      <c r="E22" s="12">
        <v>82</v>
      </c>
      <c r="F22" s="12">
        <v>74</v>
      </c>
      <c r="G22" s="12">
        <v>75</v>
      </c>
      <c r="H22" s="12">
        <v>112</v>
      </c>
      <c r="I22" s="12">
        <v>146</v>
      </c>
      <c r="J22" s="12">
        <v>34</v>
      </c>
      <c r="K22" s="12">
        <v>80</v>
      </c>
      <c r="L22" s="12">
        <v>50</v>
      </c>
      <c r="M22" s="12">
        <v>73</v>
      </c>
      <c r="N22" s="12">
        <v>40</v>
      </c>
      <c r="O22" s="12">
        <v>35</v>
      </c>
      <c r="P22" s="12">
        <v>102</v>
      </c>
      <c r="Q22" s="12">
        <v>109</v>
      </c>
      <c r="R22" s="12">
        <v>32</v>
      </c>
      <c r="S22" s="12">
        <v>76</v>
      </c>
      <c r="T22" s="12">
        <v>60</v>
      </c>
      <c r="U22" s="12">
        <v>29</v>
      </c>
      <c r="V22" s="12">
        <v>102</v>
      </c>
      <c r="W22" s="12">
        <v>57</v>
      </c>
      <c r="X22" s="12">
        <v>80</v>
      </c>
      <c r="Y22" s="12">
        <v>135</v>
      </c>
      <c r="Z22" s="12">
        <v>72</v>
      </c>
      <c r="AA22" s="12">
        <v>72</v>
      </c>
      <c r="AB22" s="12">
        <v>73</v>
      </c>
      <c r="AC22" s="12">
        <v>62</v>
      </c>
      <c r="AD22" s="12">
        <v>89</v>
      </c>
      <c r="AE22" s="12">
        <v>60</v>
      </c>
      <c r="AF22" s="12">
        <v>57</v>
      </c>
    </row>
    <row r="23" spans="1:32" ht="31.5" x14ac:dyDescent="0.35">
      <c r="A23" s="31"/>
      <c r="B23" s="13" t="s">
        <v>433</v>
      </c>
      <c r="C23" s="14">
        <v>0.08</v>
      </c>
      <c r="D23" s="14">
        <v>7.0000000000000007E-2</v>
      </c>
      <c r="E23" s="14">
        <v>0.08</v>
      </c>
      <c r="F23" s="14">
        <v>0.08</v>
      </c>
      <c r="G23" s="14">
        <v>0.08</v>
      </c>
      <c r="H23" s="14">
        <v>0.09</v>
      </c>
      <c r="I23" s="14">
        <v>0.1</v>
      </c>
      <c r="J23" s="14">
        <v>0.12</v>
      </c>
      <c r="K23" s="14">
        <v>0.08</v>
      </c>
      <c r="L23" s="14">
        <v>0.05</v>
      </c>
      <c r="M23" s="14">
        <v>7.0000000000000007E-2</v>
      </c>
      <c r="N23" s="14">
        <v>0.04</v>
      </c>
      <c r="O23" s="14">
        <v>0.04</v>
      </c>
      <c r="P23" s="14">
        <v>0.1</v>
      </c>
      <c r="Q23" s="14">
        <v>0.11</v>
      </c>
      <c r="R23" s="14">
        <v>7.0000000000000007E-2</v>
      </c>
      <c r="S23" s="14">
        <v>0.08</v>
      </c>
      <c r="T23" s="14">
        <v>0.06</v>
      </c>
      <c r="U23" s="14">
        <v>0.06</v>
      </c>
      <c r="V23" s="14">
        <v>0.11</v>
      </c>
      <c r="W23" s="14">
        <v>0.12</v>
      </c>
      <c r="X23" s="14">
        <v>0.08</v>
      </c>
      <c r="Y23" s="14">
        <v>0.14000000000000001</v>
      </c>
      <c r="Z23" s="14">
        <v>7.0000000000000007E-2</v>
      </c>
      <c r="AA23" s="14">
        <v>7.0000000000000007E-2</v>
      </c>
      <c r="AB23" s="14">
        <v>7.0000000000000007E-2</v>
      </c>
      <c r="AC23" s="14">
        <v>0.06</v>
      </c>
      <c r="AD23" s="14">
        <v>0.09</v>
      </c>
      <c r="AE23" s="14">
        <v>0.06</v>
      </c>
      <c r="AF23" s="14">
        <v>0.06</v>
      </c>
    </row>
    <row r="24" spans="1:32" ht="21.5" x14ac:dyDescent="0.35">
      <c r="A24" s="31"/>
      <c r="B24" s="11" t="s">
        <v>434</v>
      </c>
      <c r="C24" s="12">
        <v>2450</v>
      </c>
      <c r="D24" s="12">
        <v>103</v>
      </c>
      <c r="E24" s="12">
        <v>110</v>
      </c>
      <c r="F24" s="12">
        <v>72</v>
      </c>
      <c r="G24" s="12">
        <v>122</v>
      </c>
      <c r="H24" s="12">
        <v>67</v>
      </c>
      <c r="I24" s="12">
        <v>104</v>
      </c>
      <c r="J24" s="12">
        <v>37</v>
      </c>
      <c r="K24" s="12">
        <v>68</v>
      </c>
      <c r="L24" s="12">
        <v>93</v>
      </c>
      <c r="M24" s="12">
        <v>134</v>
      </c>
      <c r="N24" s="12">
        <v>130</v>
      </c>
      <c r="O24" s="12">
        <v>82</v>
      </c>
      <c r="P24" s="12">
        <v>92</v>
      </c>
      <c r="Q24" s="12">
        <v>121</v>
      </c>
      <c r="R24" s="12">
        <v>73</v>
      </c>
      <c r="S24" s="12">
        <v>59</v>
      </c>
      <c r="T24" s="12">
        <v>61</v>
      </c>
      <c r="U24" s="12">
        <v>44</v>
      </c>
      <c r="V24" s="12">
        <v>67</v>
      </c>
      <c r="W24" s="12">
        <v>35</v>
      </c>
      <c r="X24" s="12">
        <v>97</v>
      </c>
      <c r="Y24" s="12">
        <v>86</v>
      </c>
      <c r="Z24" s="12">
        <v>70</v>
      </c>
      <c r="AA24" s="12">
        <v>91</v>
      </c>
      <c r="AB24" s="12">
        <v>114</v>
      </c>
      <c r="AC24" s="12">
        <v>63</v>
      </c>
      <c r="AD24" s="12">
        <v>90</v>
      </c>
      <c r="AE24" s="12">
        <v>73</v>
      </c>
      <c r="AF24" s="12">
        <v>116</v>
      </c>
    </row>
    <row r="25" spans="1:32" ht="21.5" x14ac:dyDescent="0.35">
      <c r="A25" s="31"/>
      <c r="B25" s="13" t="s">
        <v>435</v>
      </c>
      <c r="C25" s="14">
        <v>0.1</v>
      </c>
      <c r="D25" s="14">
        <v>0.1</v>
      </c>
      <c r="E25" s="14">
        <v>0.11</v>
      </c>
      <c r="F25" s="14">
        <v>7.0000000000000007E-2</v>
      </c>
      <c r="G25" s="14">
        <v>0.12</v>
      </c>
      <c r="H25" s="14">
        <v>0.06</v>
      </c>
      <c r="I25" s="14">
        <v>7.0000000000000007E-2</v>
      </c>
      <c r="J25" s="14">
        <v>0.13</v>
      </c>
      <c r="K25" s="14">
        <v>7.0000000000000007E-2</v>
      </c>
      <c r="L25" s="14">
        <v>0.1</v>
      </c>
      <c r="M25" s="14">
        <v>0.14000000000000001</v>
      </c>
      <c r="N25" s="14">
        <v>0.14000000000000001</v>
      </c>
      <c r="O25" s="14">
        <v>0.08</v>
      </c>
      <c r="P25" s="14">
        <v>0.09</v>
      </c>
      <c r="Q25" s="14">
        <v>0.12</v>
      </c>
      <c r="R25" s="14">
        <v>0.16</v>
      </c>
      <c r="S25" s="14">
        <v>0.06</v>
      </c>
      <c r="T25" s="14">
        <v>0.06</v>
      </c>
      <c r="U25" s="14">
        <v>0.09</v>
      </c>
      <c r="V25" s="14">
        <v>7.0000000000000007E-2</v>
      </c>
      <c r="W25" s="14">
        <v>7.0000000000000007E-2</v>
      </c>
      <c r="X25" s="14">
        <v>0.1</v>
      </c>
      <c r="Y25" s="14">
        <v>0.09</v>
      </c>
      <c r="Z25" s="14">
        <v>7.0000000000000007E-2</v>
      </c>
      <c r="AA25" s="14">
        <v>0.09</v>
      </c>
      <c r="AB25" s="14">
        <v>0.12</v>
      </c>
      <c r="AC25" s="14">
        <v>0.06</v>
      </c>
      <c r="AD25" s="14">
        <v>0.09</v>
      </c>
      <c r="AE25" s="14">
        <v>7.0000000000000007E-2</v>
      </c>
      <c r="AF25" s="14">
        <v>0.11</v>
      </c>
    </row>
    <row r="26" spans="1:32" ht="31.5" x14ac:dyDescent="0.35">
      <c r="A26" s="31"/>
      <c r="B26" s="11" t="s">
        <v>436</v>
      </c>
      <c r="C26" s="12">
        <v>3077</v>
      </c>
      <c r="D26" s="12">
        <v>116</v>
      </c>
      <c r="E26" s="12">
        <v>121</v>
      </c>
      <c r="F26" s="12">
        <v>217</v>
      </c>
      <c r="G26" s="12">
        <v>165</v>
      </c>
      <c r="H26" s="12">
        <v>114</v>
      </c>
      <c r="I26" s="12">
        <v>143</v>
      </c>
      <c r="J26" s="12">
        <v>29</v>
      </c>
      <c r="K26" s="12">
        <v>146</v>
      </c>
      <c r="L26" s="12">
        <v>96</v>
      </c>
      <c r="M26" s="12">
        <v>144</v>
      </c>
      <c r="N26" s="12">
        <v>71</v>
      </c>
      <c r="O26" s="12">
        <v>113</v>
      </c>
      <c r="P26" s="12">
        <v>108</v>
      </c>
      <c r="Q26" s="12">
        <v>162</v>
      </c>
      <c r="R26" s="12">
        <v>20</v>
      </c>
      <c r="S26" s="12">
        <v>98</v>
      </c>
      <c r="T26" s="12">
        <v>104</v>
      </c>
      <c r="U26" s="12">
        <v>59</v>
      </c>
      <c r="V26" s="12">
        <v>139</v>
      </c>
      <c r="W26" s="12">
        <v>20</v>
      </c>
      <c r="X26" s="12">
        <v>146</v>
      </c>
      <c r="Y26" s="12">
        <v>156</v>
      </c>
      <c r="Z26" s="12">
        <v>107</v>
      </c>
      <c r="AA26" s="12">
        <v>123</v>
      </c>
      <c r="AB26" s="12">
        <v>153</v>
      </c>
      <c r="AC26" s="12">
        <v>95</v>
      </c>
      <c r="AD26" s="12">
        <v>89</v>
      </c>
      <c r="AE26" s="12">
        <v>88</v>
      </c>
      <c r="AF26" s="12">
        <v>109</v>
      </c>
    </row>
    <row r="27" spans="1:32" ht="21.5" x14ac:dyDescent="0.35">
      <c r="A27" s="31"/>
      <c r="B27" s="13" t="s">
        <v>437</v>
      </c>
      <c r="C27" s="14">
        <v>0.12</v>
      </c>
      <c r="D27" s="14">
        <v>0.12</v>
      </c>
      <c r="E27" s="14">
        <v>0.12</v>
      </c>
      <c r="F27" s="14">
        <v>0.25</v>
      </c>
      <c r="G27" s="14">
        <v>0.18</v>
      </c>
      <c r="H27" s="14">
        <v>0.1</v>
      </c>
      <c r="I27" s="14">
        <v>0.1</v>
      </c>
      <c r="J27" s="14">
        <v>0.1</v>
      </c>
      <c r="K27" s="14">
        <v>0.16</v>
      </c>
      <c r="L27" s="14">
        <v>0.1</v>
      </c>
      <c r="M27" s="14">
        <v>0.15</v>
      </c>
      <c r="N27" s="14">
        <v>7.0000000000000007E-2</v>
      </c>
      <c r="O27" s="14">
        <v>0.12</v>
      </c>
      <c r="P27" s="14">
        <v>0.11</v>
      </c>
      <c r="Q27" s="14">
        <v>0.17</v>
      </c>
      <c r="R27" s="14">
        <v>0.04</v>
      </c>
      <c r="S27" s="14">
        <v>0.1</v>
      </c>
      <c r="T27" s="14">
        <v>0.11</v>
      </c>
      <c r="U27" s="14">
        <v>0.12</v>
      </c>
      <c r="V27" s="14">
        <v>0.14000000000000001</v>
      </c>
      <c r="W27" s="14">
        <v>0.04</v>
      </c>
      <c r="X27" s="14">
        <v>0.15</v>
      </c>
      <c r="Y27" s="14">
        <v>0.16</v>
      </c>
      <c r="Z27" s="14">
        <v>0.11</v>
      </c>
      <c r="AA27" s="14">
        <v>0.13</v>
      </c>
      <c r="AB27" s="14">
        <v>0.16</v>
      </c>
      <c r="AC27" s="14">
        <v>0.1</v>
      </c>
      <c r="AD27" s="14">
        <v>0.09</v>
      </c>
      <c r="AE27" s="14">
        <v>0.09</v>
      </c>
      <c r="AF27" s="14">
        <v>0.11</v>
      </c>
    </row>
    <row r="28" spans="1:32" ht="21.5" x14ac:dyDescent="0.35">
      <c r="A28" s="31"/>
      <c r="B28" s="11" t="s">
        <v>438</v>
      </c>
      <c r="C28" s="12">
        <v>2552</v>
      </c>
      <c r="D28" s="12">
        <v>104</v>
      </c>
      <c r="E28" s="12">
        <v>164</v>
      </c>
      <c r="F28" s="12">
        <v>68</v>
      </c>
      <c r="G28" s="12">
        <v>110</v>
      </c>
      <c r="H28" s="12">
        <v>93</v>
      </c>
      <c r="I28" s="12">
        <v>121</v>
      </c>
      <c r="J28" s="12">
        <v>28</v>
      </c>
      <c r="K28" s="12">
        <v>71</v>
      </c>
      <c r="L28" s="12">
        <v>93</v>
      </c>
      <c r="M28" s="12">
        <v>146</v>
      </c>
      <c r="N28" s="12">
        <v>72</v>
      </c>
      <c r="O28" s="12">
        <v>97</v>
      </c>
      <c r="P28" s="12">
        <v>140</v>
      </c>
      <c r="Q28" s="12">
        <v>172</v>
      </c>
      <c r="R28" s="12">
        <v>57</v>
      </c>
      <c r="S28" s="12">
        <v>79</v>
      </c>
      <c r="T28" s="12">
        <v>40</v>
      </c>
      <c r="U28" s="12">
        <v>66</v>
      </c>
      <c r="V28" s="12">
        <v>104</v>
      </c>
      <c r="W28" s="12">
        <v>99</v>
      </c>
      <c r="X28" s="12">
        <v>75</v>
      </c>
      <c r="Y28" s="12">
        <v>114</v>
      </c>
      <c r="Z28" s="12">
        <v>82</v>
      </c>
      <c r="AA28" s="12">
        <v>43</v>
      </c>
      <c r="AB28" s="12">
        <v>95</v>
      </c>
      <c r="AC28" s="12">
        <v>68</v>
      </c>
      <c r="AD28" s="12">
        <v>104</v>
      </c>
      <c r="AE28" s="12">
        <v>58</v>
      </c>
      <c r="AF28" s="12">
        <v>51</v>
      </c>
    </row>
    <row r="29" spans="1:32" x14ac:dyDescent="0.35">
      <c r="A29" s="31"/>
      <c r="B29" s="13" t="s">
        <v>439</v>
      </c>
      <c r="C29" s="14">
        <v>0.1</v>
      </c>
      <c r="D29" s="14">
        <v>0.1</v>
      </c>
      <c r="E29" s="14">
        <v>0.17</v>
      </c>
      <c r="F29" s="14">
        <v>7.0000000000000007E-2</v>
      </c>
      <c r="G29" s="14">
        <v>0.11</v>
      </c>
      <c r="H29" s="14">
        <v>0.08</v>
      </c>
      <c r="I29" s="14">
        <v>0.08</v>
      </c>
      <c r="J29" s="14">
        <v>0.09</v>
      </c>
      <c r="K29" s="14">
        <v>7.0000000000000007E-2</v>
      </c>
      <c r="L29" s="14">
        <v>0.1</v>
      </c>
      <c r="M29" s="14">
        <v>0.15</v>
      </c>
      <c r="N29" s="14">
        <v>7.0000000000000007E-2</v>
      </c>
      <c r="O29" s="14">
        <v>0.1</v>
      </c>
      <c r="P29" s="14">
        <v>0.15</v>
      </c>
      <c r="Q29" s="14">
        <v>0.18</v>
      </c>
      <c r="R29" s="14">
        <v>0.12</v>
      </c>
      <c r="S29" s="14">
        <v>0.08</v>
      </c>
      <c r="T29" s="14">
        <v>0.04</v>
      </c>
      <c r="U29" s="14">
        <v>0.13</v>
      </c>
      <c r="V29" s="14">
        <v>0.11</v>
      </c>
      <c r="W29" s="14">
        <v>0.21</v>
      </c>
      <c r="X29" s="14">
        <v>0.08</v>
      </c>
      <c r="Y29" s="14">
        <v>0.12</v>
      </c>
      <c r="Z29" s="14">
        <v>0.08</v>
      </c>
      <c r="AA29" s="14">
        <v>0.04</v>
      </c>
      <c r="AB29" s="14">
        <v>0.09</v>
      </c>
      <c r="AC29" s="14">
        <v>7.0000000000000007E-2</v>
      </c>
      <c r="AD29" s="14">
        <v>0.11</v>
      </c>
      <c r="AE29" s="14">
        <v>0.06</v>
      </c>
      <c r="AF29" s="14">
        <v>0.05</v>
      </c>
    </row>
    <row r="30" spans="1:32" x14ac:dyDescent="0.35">
      <c r="A30" s="31"/>
      <c r="B30" s="11" t="s">
        <v>440</v>
      </c>
      <c r="C30" s="12">
        <v>3843</v>
      </c>
      <c r="D30" s="12">
        <v>155</v>
      </c>
      <c r="E30" s="12">
        <v>53</v>
      </c>
      <c r="F30" s="12">
        <v>215</v>
      </c>
      <c r="G30" s="12">
        <v>169</v>
      </c>
      <c r="H30" s="12">
        <v>305</v>
      </c>
      <c r="I30" s="12">
        <v>368</v>
      </c>
      <c r="J30" s="12">
        <v>63</v>
      </c>
      <c r="K30" s="12">
        <v>80</v>
      </c>
      <c r="L30" s="12">
        <v>196</v>
      </c>
      <c r="M30" s="12">
        <v>134</v>
      </c>
      <c r="N30" s="12">
        <v>111</v>
      </c>
      <c r="O30" s="12">
        <v>130</v>
      </c>
      <c r="P30" s="12">
        <v>76</v>
      </c>
      <c r="Q30" s="12">
        <v>113</v>
      </c>
      <c r="R30" s="12">
        <v>89</v>
      </c>
      <c r="S30" s="12">
        <v>64</v>
      </c>
      <c r="T30" s="12">
        <v>111</v>
      </c>
      <c r="U30" s="12">
        <v>61</v>
      </c>
      <c r="V30" s="12">
        <v>119</v>
      </c>
      <c r="W30" s="12">
        <v>78</v>
      </c>
      <c r="X30" s="12">
        <v>237</v>
      </c>
      <c r="Y30" s="12">
        <v>181</v>
      </c>
      <c r="Z30" s="12">
        <v>114</v>
      </c>
      <c r="AA30" s="12">
        <v>67</v>
      </c>
      <c r="AB30" s="12">
        <v>59</v>
      </c>
      <c r="AC30" s="12">
        <v>120</v>
      </c>
      <c r="AD30" s="12">
        <v>84</v>
      </c>
      <c r="AE30" s="12">
        <v>98</v>
      </c>
      <c r="AF30" s="12">
        <v>148</v>
      </c>
    </row>
    <row r="31" spans="1:32" x14ac:dyDescent="0.35">
      <c r="A31" s="31"/>
      <c r="B31" s="13" t="s">
        <v>441</v>
      </c>
      <c r="C31" s="14">
        <v>0.16</v>
      </c>
      <c r="D31" s="14">
        <v>0.18</v>
      </c>
      <c r="E31" s="14">
        <v>0.05</v>
      </c>
      <c r="F31" s="14">
        <v>0.23</v>
      </c>
      <c r="G31" s="14">
        <v>0.18</v>
      </c>
      <c r="H31" s="14">
        <v>0.28999999999999998</v>
      </c>
      <c r="I31" s="14">
        <v>0.28000000000000003</v>
      </c>
      <c r="J31" s="14">
        <v>0.26</v>
      </c>
      <c r="K31" s="14">
        <v>0.08</v>
      </c>
      <c r="L31" s="14">
        <v>0.24</v>
      </c>
      <c r="M31" s="14">
        <v>0.14000000000000001</v>
      </c>
      <c r="N31" s="14">
        <v>0.12</v>
      </c>
      <c r="O31" s="14">
        <v>0.14000000000000001</v>
      </c>
      <c r="P31" s="14">
        <v>0.08</v>
      </c>
      <c r="Q31" s="14">
        <v>0.12</v>
      </c>
      <c r="R31" s="14">
        <v>0.21</v>
      </c>
      <c r="S31" s="14">
        <v>0.06</v>
      </c>
      <c r="T31" s="14">
        <v>0.11</v>
      </c>
      <c r="U31" s="14">
        <v>0.13</v>
      </c>
      <c r="V31" s="14">
        <v>0.12</v>
      </c>
      <c r="W31" s="14">
        <v>0.17</v>
      </c>
      <c r="X31" s="14">
        <v>0.27</v>
      </c>
      <c r="Y31" s="14">
        <v>0.22</v>
      </c>
      <c r="Z31" s="14">
        <v>0.12</v>
      </c>
      <c r="AA31" s="14">
        <v>7.0000000000000007E-2</v>
      </c>
      <c r="AB31" s="14">
        <v>0.06</v>
      </c>
      <c r="AC31" s="14">
        <v>0.13</v>
      </c>
      <c r="AD31" s="14">
        <v>0.09</v>
      </c>
      <c r="AE31" s="14">
        <v>0.1</v>
      </c>
      <c r="AF31" s="14">
        <v>0.15</v>
      </c>
    </row>
    <row r="32" spans="1:32" ht="21.5" x14ac:dyDescent="0.35">
      <c r="A32" s="31"/>
      <c r="B32" s="11" t="s">
        <v>442</v>
      </c>
      <c r="C32" s="12">
        <v>3712</v>
      </c>
      <c r="D32" s="12">
        <v>171</v>
      </c>
      <c r="E32" s="12">
        <v>124</v>
      </c>
      <c r="F32" s="12">
        <v>139</v>
      </c>
      <c r="G32" s="12">
        <v>201</v>
      </c>
      <c r="H32" s="12">
        <v>206</v>
      </c>
      <c r="I32" s="12">
        <v>265</v>
      </c>
      <c r="J32" s="12">
        <v>59</v>
      </c>
      <c r="K32" s="12">
        <v>69</v>
      </c>
      <c r="L32" s="12">
        <v>114</v>
      </c>
      <c r="M32" s="12">
        <v>147</v>
      </c>
      <c r="N32" s="12">
        <v>75</v>
      </c>
      <c r="O32" s="12">
        <v>170</v>
      </c>
      <c r="P32" s="12">
        <v>131</v>
      </c>
      <c r="Q32" s="12">
        <v>141</v>
      </c>
      <c r="R32" s="12">
        <v>54</v>
      </c>
      <c r="S32" s="12">
        <v>71</v>
      </c>
      <c r="T32" s="12">
        <v>72</v>
      </c>
      <c r="U32" s="12">
        <v>61</v>
      </c>
      <c r="V32" s="12">
        <v>112</v>
      </c>
      <c r="W32" s="12">
        <v>63</v>
      </c>
      <c r="X32" s="12">
        <v>183</v>
      </c>
      <c r="Y32" s="12">
        <v>152</v>
      </c>
      <c r="Z32" s="12">
        <v>96</v>
      </c>
      <c r="AA32" s="12">
        <v>116</v>
      </c>
      <c r="AB32" s="12">
        <v>90</v>
      </c>
      <c r="AC32" s="12">
        <v>109</v>
      </c>
      <c r="AD32" s="12">
        <v>95</v>
      </c>
      <c r="AE32" s="12">
        <v>176</v>
      </c>
      <c r="AF32" s="12">
        <v>300</v>
      </c>
    </row>
    <row r="33" spans="1:32" ht="21.5" x14ac:dyDescent="0.35">
      <c r="A33" s="31"/>
      <c r="B33" s="13" t="s">
        <v>443</v>
      </c>
      <c r="C33" s="14">
        <v>0.15</v>
      </c>
      <c r="D33" s="14">
        <v>0.18</v>
      </c>
      <c r="E33" s="14">
        <v>0.13</v>
      </c>
      <c r="F33" s="14">
        <v>0.15</v>
      </c>
      <c r="G33" s="14">
        <v>0.21</v>
      </c>
      <c r="H33" s="14">
        <v>0.18</v>
      </c>
      <c r="I33" s="14">
        <v>0.18</v>
      </c>
      <c r="J33" s="14">
        <v>0.22</v>
      </c>
      <c r="K33" s="14">
        <v>7.0000000000000007E-2</v>
      </c>
      <c r="L33" s="14">
        <v>0.12</v>
      </c>
      <c r="M33" s="14">
        <v>0.15</v>
      </c>
      <c r="N33" s="14">
        <v>0.08</v>
      </c>
      <c r="O33" s="14">
        <v>0.19</v>
      </c>
      <c r="P33" s="14">
        <v>0.14000000000000001</v>
      </c>
      <c r="Q33" s="14">
        <v>0.15</v>
      </c>
      <c r="R33" s="14">
        <v>0.11</v>
      </c>
      <c r="S33" s="14">
        <v>7.0000000000000007E-2</v>
      </c>
      <c r="T33" s="14">
        <v>7.0000000000000007E-2</v>
      </c>
      <c r="U33" s="14">
        <v>0.13</v>
      </c>
      <c r="V33" s="14">
        <v>0.11</v>
      </c>
      <c r="W33" s="14">
        <v>0.13</v>
      </c>
      <c r="X33" s="14">
        <v>0.19</v>
      </c>
      <c r="Y33" s="14">
        <v>0.16</v>
      </c>
      <c r="Z33" s="14">
        <v>0.1</v>
      </c>
      <c r="AA33" s="14">
        <v>0.12</v>
      </c>
      <c r="AB33" s="14">
        <v>0.09</v>
      </c>
      <c r="AC33" s="14">
        <v>0.11</v>
      </c>
      <c r="AD33" s="14">
        <v>0.1</v>
      </c>
      <c r="AE33" s="14">
        <v>0.18</v>
      </c>
      <c r="AF33" s="14">
        <v>0.32</v>
      </c>
    </row>
    <row r="34" spans="1:32" ht="21.5" x14ac:dyDescent="0.35">
      <c r="A34" s="31"/>
      <c r="B34" s="11" t="s">
        <v>444</v>
      </c>
      <c r="C34" s="12">
        <v>3942</v>
      </c>
      <c r="D34" s="12">
        <v>152</v>
      </c>
      <c r="E34" s="12">
        <v>134</v>
      </c>
      <c r="F34" s="12">
        <v>127</v>
      </c>
      <c r="G34" s="12">
        <v>211</v>
      </c>
      <c r="H34" s="12">
        <v>290</v>
      </c>
      <c r="I34" s="12">
        <v>342</v>
      </c>
      <c r="J34" s="12">
        <v>51</v>
      </c>
      <c r="K34" s="12">
        <v>106</v>
      </c>
      <c r="L34" s="12">
        <v>101</v>
      </c>
      <c r="M34" s="12">
        <v>196</v>
      </c>
      <c r="N34" s="12">
        <v>138</v>
      </c>
      <c r="O34" s="12">
        <v>98</v>
      </c>
      <c r="P34" s="12">
        <v>151</v>
      </c>
      <c r="Q34" s="12">
        <v>121</v>
      </c>
      <c r="R34" s="12">
        <v>89</v>
      </c>
      <c r="S34" s="12">
        <v>126</v>
      </c>
      <c r="T34" s="12">
        <v>87</v>
      </c>
      <c r="U34" s="12">
        <v>75</v>
      </c>
      <c r="V34" s="12">
        <v>128</v>
      </c>
      <c r="W34" s="12">
        <v>92</v>
      </c>
      <c r="X34" s="12">
        <v>191</v>
      </c>
      <c r="Y34" s="12">
        <v>172</v>
      </c>
      <c r="Z34" s="12">
        <v>117</v>
      </c>
      <c r="AA34" s="12">
        <v>79</v>
      </c>
      <c r="AB34" s="12">
        <v>135</v>
      </c>
      <c r="AC34" s="12">
        <v>113</v>
      </c>
      <c r="AD34" s="12">
        <v>160</v>
      </c>
      <c r="AE34" s="12">
        <v>259</v>
      </c>
      <c r="AF34" s="12">
        <v>247</v>
      </c>
    </row>
    <row r="35" spans="1:32" ht="21.5" x14ac:dyDescent="0.35">
      <c r="A35" s="31"/>
      <c r="B35" s="13" t="s">
        <v>445</v>
      </c>
      <c r="C35" s="14">
        <v>0.16</v>
      </c>
      <c r="D35" s="14">
        <v>0.16</v>
      </c>
      <c r="E35" s="14">
        <v>0.14000000000000001</v>
      </c>
      <c r="F35" s="14">
        <v>0.13</v>
      </c>
      <c r="G35" s="14">
        <v>0.23</v>
      </c>
      <c r="H35" s="14">
        <v>0.27</v>
      </c>
      <c r="I35" s="14">
        <v>0.25</v>
      </c>
      <c r="J35" s="14">
        <v>0.18</v>
      </c>
      <c r="K35" s="14">
        <v>0.11</v>
      </c>
      <c r="L35" s="14">
        <v>0.1</v>
      </c>
      <c r="M35" s="14">
        <v>0.21</v>
      </c>
      <c r="N35" s="14">
        <v>0.15</v>
      </c>
      <c r="O35" s="14">
        <v>0.1</v>
      </c>
      <c r="P35" s="14">
        <v>0.16</v>
      </c>
      <c r="Q35" s="14">
        <v>0.13</v>
      </c>
      <c r="R35" s="14">
        <v>0.2</v>
      </c>
      <c r="S35" s="14">
        <v>0.13</v>
      </c>
      <c r="T35" s="14">
        <v>0.09</v>
      </c>
      <c r="U35" s="14">
        <v>0.17</v>
      </c>
      <c r="V35" s="14">
        <v>0.14000000000000001</v>
      </c>
      <c r="W35" s="14">
        <v>0.2</v>
      </c>
      <c r="X35" s="14">
        <v>0.2</v>
      </c>
      <c r="Y35" s="14">
        <v>0.18</v>
      </c>
      <c r="Z35" s="14">
        <v>0.12</v>
      </c>
      <c r="AA35" s="14">
        <v>0.08</v>
      </c>
      <c r="AB35" s="14">
        <v>0.14000000000000001</v>
      </c>
      <c r="AC35" s="14">
        <v>0.12</v>
      </c>
      <c r="AD35" s="14">
        <v>0.17</v>
      </c>
      <c r="AE35" s="14">
        <v>0.28999999999999998</v>
      </c>
      <c r="AF35" s="14">
        <v>0.28000000000000003</v>
      </c>
    </row>
    <row r="36" spans="1:32" ht="21.5" x14ac:dyDescent="0.35">
      <c r="A36" s="31"/>
      <c r="B36" s="11" t="s">
        <v>446</v>
      </c>
      <c r="C36" s="12">
        <v>5206</v>
      </c>
      <c r="D36" s="12">
        <v>207</v>
      </c>
      <c r="E36" s="12">
        <v>153</v>
      </c>
      <c r="F36" s="12">
        <v>251</v>
      </c>
      <c r="G36" s="12">
        <v>309</v>
      </c>
      <c r="H36" s="12">
        <v>297</v>
      </c>
      <c r="I36" s="12">
        <v>369</v>
      </c>
      <c r="J36" s="12">
        <v>72</v>
      </c>
      <c r="K36" s="12">
        <v>223</v>
      </c>
      <c r="L36" s="12">
        <v>141</v>
      </c>
      <c r="M36" s="12">
        <v>199</v>
      </c>
      <c r="N36" s="12">
        <v>154</v>
      </c>
      <c r="O36" s="12">
        <v>175</v>
      </c>
      <c r="P36" s="12">
        <v>167</v>
      </c>
      <c r="Q36" s="12">
        <v>167</v>
      </c>
      <c r="R36" s="12">
        <v>96</v>
      </c>
      <c r="S36" s="12">
        <v>183</v>
      </c>
      <c r="T36" s="12">
        <v>241</v>
      </c>
      <c r="U36" s="12">
        <v>128</v>
      </c>
      <c r="V36" s="12">
        <v>172</v>
      </c>
      <c r="W36" s="12">
        <v>68</v>
      </c>
      <c r="X36" s="12">
        <v>284</v>
      </c>
      <c r="Y36" s="12">
        <v>201</v>
      </c>
      <c r="Z36" s="12">
        <v>216</v>
      </c>
      <c r="AA36" s="12">
        <v>146</v>
      </c>
      <c r="AB36" s="12">
        <v>162</v>
      </c>
      <c r="AC36" s="12">
        <v>144</v>
      </c>
      <c r="AD36" s="12">
        <v>180</v>
      </c>
      <c r="AE36" s="12">
        <v>283</v>
      </c>
      <c r="AF36" s="12">
        <v>277</v>
      </c>
    </row>
    <row r="37" spans="1:32" ht="21.5" x14ac:dyDescent="0.35">
      <c r="A37" s="31"/>
      <c r="B37" s="13" t="s">
        <v>447</v>
      </c>
      <c r="C37" s="14">
        <v>0.23</v>
      </c>
      <c r="D37" s="14">
        <v>0.23</v>
      </c>
      <c r="E37" s="14">
        <v>0.16</v>
      </c>
      <c r="F37" s="14">
        <v>0.31</v>
      </c>
      <c r="G37" s="14">
        <v>0.42</v>
      </c>
      <c r="H37" s="14">
        <v>0.33</v>
      </c>
      <c r="I37" s="14">
        <v>0.31</v>
      </c>
      <c r="J37" s="14">
        <v>0.27</v>
      </c>
      <c r="K37" s="14">
        <v>0.28000000000000003</v>
      </c>
      <c r="L37" s="14">
        <v>0.15</v>
      </c>
      <c r="M37" s="14">
        <v>0.21</v>
      </c>
      <c r="N37" s="14">
        <v>0.17</v>
      </c>
      <c r="O37" s="14">
        <v>0.2</v>
      </c>
      <c r="P37" s="14">
        <v>0.18</v>
      </c>
      <c r="Q37" s="14">
        <v>0.19</v>
      </c>
      <c r="R37" s="14">
        <v>0.23</v>
      </c>
      <c r="S37" s="14">
        <v>0.23</v>
      </c>
      <c r="T37" s="14">
        <v>0.33</v>
      </c>
      <c r="U37" s="14">
        <v>0.3</v>
      </c>
      <c r="V37" s="14">
        <v>0.19</v>
      </c>
      <c r="W37" s="14">
        <v>0.15</v>
      </c>
      <c r="X37" s="14">
        <v>0.4</v>
      </c>
      <c r="Y37" s="14">
        <v>0.22</v>
      </c>
      <c r="Z37" s="14">
        <v>0.27</v>
      </c>
      <c r="AA37" s="14">
        <v>0.15</v>
      </c>
      <c r="AB37" s="14">
        <v>0.17</v>
      </c>
      <c r="AC37" s="14">
        <v>0.16</v>
      </c>
      <c r="AD37" s="14">
        <v>0.2</v>
      </c>
      <c r="AE37" s="14">
        <v>0.37</v>
      </c>
      <c r="AF37" s="14">
        <v>0.32</v>
      </c>
    </row>
    <row r="38" spans="1:32" ht="21.5" x14ac:dyDescent="0.35">
      <c r="A38" s="31"/>
      <c r="B38" s="11" t="s">
        <v>448</v>
      </c>
      <c r="C38" s="12">
        <v>3927</v>
      </c>
      <c r="D38" s="12">
        <v>168</v>
      </c>
      <c r="E38" s="12">
        <v>167</v>
      </c>
      <c r="F38" s="12">
        <v>169</v>
      </c>
      <c r="G38" s="12">
        <v>122</v>
      </c>
      <c r="H38" s="12">
        <v>144</v>
      </c>
      <c r="I38" s="12">
        <v>188</v>
      </c>
      <c r="J38" s="12">
        <v>45</v>
      </c>
      <c r="K38" s="12">
        <v>198</v>
      </c>
      <c r="L38" s="12">
        <v>116</v>
      </c>
      <c r="M38" s="12">
        <v>117</v>
      </c>
      <c r="N38" s="12">
        <v>99</v>
      </c>
      <c r="O38" s="12">
        <v>177</v>
      </c>
      <c r="P38" s="12">
        <v>226</v>
      </c>
      <c r="Q38" s="12">
        <v>170</v>
      </c>
      <c r="R38" s="12">
        <v>44</v>
      </c>
      <c r="S38" s="12">
        <v>110</v>
      </c>
      <c r="T38" s="12">
        <v>136</v>
      </c>
      <c r="U38" s="12">
        <v>55</v>
      </c>
      <c r="V38" s="12">
        <v>212</v>
      </c>
      <c r="W38" s="12">
        <v>83</v>
      </c>
      <c r="X38" s="12">
        <v>172</v>
      </c>
      <c r="Y38" s="12">
        <v>152</v>
      </c>
      <c r="Z38" s="12">
        <v>138</v>
      </c>
      <c r="AA38" s="12">
        <v>96</v>
      </c>
      <c r="AB38" s="12">
        <v>204</v>
      </c>
      <c r="AC38" s="12">
        <v>263</v>
      </c>
      <c r="AD38" s="12">
        <v>225</v>
      </c>
      <c r="AE38" s="12">
        <v>168</v>
      </c>
      <c r="AF38" s="12">
        <v>192</v>
      </c>
    </row>
    <row r="39" spans="1:32" x14ac:dyDescent="0.35">
      <c r="A39" s="31"/>
      <c r="B39" s="13" t="s">
        <v>449</v>
      </c>
      <c r="C39" s="14">
        <v>0.16</v>
      </c>
      <c r="D39" s="14">
        <v>0.17</v>
      </c>
      <c r="E39" s="14">
        <v>0.18</v>
      </c>
      <c r="F39" s="14">
        <v>0.18</v>
      </c>
      <c r="G39" s="14">
        <v>0.13</v>
      </c>
      <c r="H39" s="14">
        <v>0.12</v>
      </c>
      <c r="I39" s="14">
        <v>0.13</v>
      </c>
      <c r="J39" s="14">
        <v>0.16</v>
      </c>
      <c r="K39" s="14">
        <v>0.21</v>
      </c>
      <c r="L39" s="14">
        <v>0.12</v>
      </c>
      <c r="M39" s="14">
        <v>0.12</v>
      </c>
      <c r="N39" s="14">
        <v>0.1</v>
      </c>
      <c r="O39" s="14">
        <v>0.19</v>
      </c>
      <c r="P39" s="14">
        <v>0.25</v>
      </c>
      <c r="Q39" s="14">
        <v>0.18</v>
      </c>
      <c r="R39" s="14">
        <v>0.09</v>
      </c>
      <c r="S39" s="14">
        <v>0.11</v>
      </c>
      <c r="T39" s="14">
        <v>0.14000000000000001</v>
      </c>
      <c r="U39" s="14">
        <v>0.11</v>
      </c>
      <c r="V39" s="14">
        <v>0.23</v>
      </c>
      <c r="W39" s="14">
        <v>0.18</v>
      </c>
      <c r="X39" s="14">
        <v>0.18</v>
      </c>
      <c r="Y39" s="14">
        <v>0.16</v>
      </c>
      <c r="Z39" s="14">
        <v>0.15</v>
      </c>
      <c r="AA39" s="14">
        <v>0.1</v>
      </c>
      <c r="AB39" s="14">
        <v>0.22</v>
      </c>
      <c r="AC39" s="14">
        <v>0.3</v>
      </c>
      <c r="AD39" s="14">
        <v>0.25</v>
      </c>
      <c r="AE39" s="14">
        <v>0.19</v>
      </c>
      <c r="AF39" s="14">
        <v>0.2</v>
      </c>
    </row>
    <row r="40" spans="1:32" ht="21.5" x14ac:dyDescent="0.35">
      <c r="A40" s="31"/>
      <c r="B40" s="11" t="s">
        <v>456</v>
      </c>
      <c r="C40" s="12">
        <v>2205</v>
      </c>
      <c r="D40" s="12">
        <v>95</v>
      </c>
      <c r="E40" s="12">
        <v>52</v>
      </c>
      <c r="F40" s="12">
        <v>67</v>
      </c>
      <c r="G40" s="12">
        <v>89</v>
      </c>
      <c r="H40" s="12">
        <v>73</v>
      </c>
      <c r="I40" s="12">
        <v>91</v>
      </c>
      <c r="J40" s="12">
        <v>17</v>
      </c>
      <c r="K40" s="12">
        <v>46</v>
      </c>
      <c r="L40" s="12">
        <v>87</v>
      </c>
      <c r="M40" s="12">
        <v>81</v>
      </c>
      <c r="N40" s="12">
        <v>66</v>
      </c>
      <c r="O40" s="12">
        <v>84</v>
      </c>
      <c r="P40" s="12">
        <v>111</v>
      </c>
      <c r="Q40" s="12">
        <v>121</v>
      </c>
      <c r="R40" s="12">
        <v>21</v>
      </c>
      <c r="S40" s="12">
        <v>23</v>
      </c>
      <c r="T40" s="12">
        <v>35</v>
      </c>
      <c r="U40" s="12">
        <v>47</v>
      </c>
      <c r="V40" s="12">
        <v>90</v>
      </c>
      <c r="W40" s="12">
        <v>33</v>
      </c>
      <c r="X40" s="12">
        <v>89</v>
      </c>
      <c r="Y40" s="12">
        <v>138</v>
      </c>
      <c r="Z40" s="12">
        <v>75</v>
      </c>
      <c r="AA40" s="12">
        <v>88</v>
      </c>
      <c r="AB40" s="12">
        <v>69</v>
      </c>
      <c r="AC40" s="12">
        <v>41</v>
      </c>
      <c r="AD40" s="12">
        <v>66</v>
      </c>
      <c r="AE40" s="12">
        <v>125</v>
      </c>
      <c r="AF40" s="12">
        <v>226</v>
      </c>
    </row>
    <row r="41" spans="1:32" ht="21.5" x14ac:dyDescent="0.35">
      <c r="A41" s="31"/>
      <c r="B41" s="13" t="s">
        <v>451</v>
      </c>
      <c r="C41" s="14">
        <v>0.09</v>
      </c>
      <c r="D41" s="14">
        <v>0.1</v>
      </c>
      <c r="E41" s="14">
        <v>0.05</v>
      </c>
      <c r="F41" s="14">
        <v>7.0000000000000007E-2</v>
      </c>
      <c r="G41" s="14">
        <v>0.09</v>
      </c>
      <c r="H41" s="14">
        <v>0.06</v>
      </c>
      <c r="I41" s="14">
        <v>0.06</v>
      </c>
      <c r="J41" s="14">
        <v>0.06</v>
      </c>
      <c r="K41" s="14">
        <v>0.05</v>
      </c>
      <c r="L41" s="14">
        <v>0.09</v>
      </c>
      <c r="M41" s="14">
        <v>0.08</v>
      </c>
      <c r="N41" s="14">
        <v>7.0000000000000007E-2</v>
      </c>
      <c r="O41" s="14">
        <v>0.09</v>
      </c>
      <c r="P41" s="14">
        <v>0.12</v>
      </c>
      <c r="Q41" s="14">
        <v>0.12</v>
      </c>
      <c r="R41" s="14">
        <v>0.04</v>
      </c>
      <c r="S41" s="14">
        <v>0.02</v>
      </c>
      <c r="T41" s="14">
        <v>0.04</v>
      </c>
      <c r="U41" s="14">
        <v>0.1</v>
      </c>
      <c r="V41" s="14">
        <v>0.09</v>
      </c>
      <c r="W41" s="14">
        <v>7.0000000000000007E-2</v>
      </c>
      <c r="X41" s="14">
        <v>0.09</v>
      </c>
      <c r="Y41" s="14">
        <v>0.14000000000000001</v>
      </c>
      <c r="Z41" s="14">
        <v>0.08</v>
      </c>
      <c r="AA41" s="14">
        <v>0.09</v>
      </c>
      <c r="AB41" s="14">
        <v>7.0000000000000007E-2</v>
      </c>
      <c r="AC41" s="14">
        <v>0.04</v>
      </c>
      <c r="AD41" s="14">
        <v>7.0000000000000007E-2</v>
      </c>
      <c r="AE41" s="14">
        <v>0.13</v>
      </c>
      <c r="AF41" s="14">
        <v>0.23</v>
      </c>
    </row>
    <row r="42" spans="1:32" x14ac:dyDescent="0.35">
      <c r="A42" s="31"/>
      <c r="B42" s="11" t="s">
        <v>407</v>
      </c>
      <c r="C42" s="12">
        <v>90</v>
      </c>
      <c r="D42" s="12">
        <v>1</v>
      </c>
      <c r="E42" s="12">
        <v>4</v>
      </c>
      <c r="F42" s="12">
        <v>1</v>
      </c>
      <c r="G42" s="12">
        <v>2</v>
      </c>
      <c r="H42" s="12">
        <v>5</v>
      </c>
      <c r="I42" s="12">
        <v>5</v>
      </c>
      <c r="J42" s="12">
        <v>0</v>
      </c>
      <c r="K42" s="12">
        <v>10</v>
      </c>
      <c r="L42" s="12">
        <v>3</v>
      </c>
      <c r="M42" s="12">
        <v>3</v>
      </c>
      <c r="N42" s="12">
        <v>5</v>
      </c>
      <c r="O42" s="12">
        <v>9</v>
      </c>
      <c r="P42" s="12">
        <v>3</v>
      </c>
      <c r="Q42" s="12">
        <v>0</v>
      </c>
      <c r="R42" s="12">
        <v>2</v>
      </c>
      <c r="S42" s="12">
        <v>3</v>
      </c>
      <c r="T42" s="12">
        <v>1</v>
      </c>
      <c r="U42" s="12">
        <v>3</v>
      </c>
      <c r="V42" s="12">
        <v>0</v>
      </c>
      <c r="W42" s="12">
        <v>0</v>
      </c>
      <c r="X42" s="12">
        <v>7</v>
      </c>
      <c r="Y42" s="12">
        <v>2</v>
      </c>
      <c r="Z42" s="12">
        <v>1</v>
      </c>
      <c r="AA42" s="12">
        <v>0</v>
      </c>
      <c r="AB42" s="12">
        <v>4</v>
      </c>
      <c r="AC42" s="12">
        <v>4</v>
      </c>
      <c r="AD42" s="12">
        <v>0</v>
      </c>
      <c r="AE42" s="12">
        <v>2</v>
      </c>
      <c r="AF42" s="12">
        <v>0</v>
      </c>
    </row>
    <row r="43" spans="1:32" x14ac:dyDescent="0.35">
      <c r="A43" s="31"/>
      <c r="B43" s="13" t="s">
        <v>408</v>
      </c>
      <c r="C43" s="15" t="s">
        <v>333</v>
      </c>
      <c r="D43" s="15" t="s">
        <v>333</v>
      </c>
      <c r="E43" s="15" t="s">
        <v>333</v>
      </c>
      <c r="F43" s="15" t="s">
        <v>333</v>
      </c>
      <c r="G43" s="15" t="s">
        <v>333</v>
      </c>
      <c r="H43" s="15" t="s">
        <v>333</v>
      </c>
      <c r="I43" s="15" t="s">
        <v>333</v>
      </c>
      <c r="J43" s="15" t="s">
        <v>333</v>
      </c>
      <c r="K43" s="14">
        <v>0.01</v>
      </c>
      <c r="L43" s="15" t="s">
        <v>333</v>
      </c>
      <c r="M43" s="15" t="s">
        <v>333</v>
      </c>
      <c r="N43" s="15" t="s">
        <v>333</v>
      </c>
      <c r="O43" s="14">
        <v>0.01</v>
      </c>
      <c r="P43" s="15" t="s">
        <v>333</v>
      </c>
      <c r="Q43" s="15" t="s">
        <v>333</v>
      </c>
      <c r="R43" s="15" t="s">
        <v>333</v>
      </c>
      <c r="S43" s="15" t="s">
        <v>333</v>
      </c>
      <c r="T43" s="15" t="s">
        <v>333</v>
      </c>
      <c r="U43" s="14">
        <v>0.01</v>
      </c>
      <c r="V43" s="15" t="s">
        <v>333</v>
      </c>
      <c r="W43" s="15" t="s">
        <v>333</v>
      </c>
      <c r="X43" s="14">
        <v>0.01</v>
      </c>
      <c r="Y43" s="15" t="s">
        <v>333</v>
      </c>
      <c r="Z43" s="15" t="s">
        <v>333</v>
      </c>
      <c r="AA43" s="15" t="s">
        <v>333</v>
      </c>
      <c r="AB43" s="15" t="s">
        <v>333</v>
      </c>
      <c r="AC43" s="15" t="s">
        <v>333</v>
      </c>
      <c r="AD43" s="15" t="s">
        <v>333</v>
      </c>
      <c r="AE43" s="15" t="s">
        <v>333</v>
      </c>
      <c r="AF43" s="15" t="s">
        <v>333</v>
      </c>
    </row>
    <row r="44" spans="1:32" x14ac:dyDescent="0.35">
      <c r="A44" s="31"/>
      <c r="B44" s="11" t="s">
        <v>452</v>
      </c>
      <c r="C44" s="12">
        <v>108</v>
      </c>
      <c r="D44" s="12">
        <v>1</v>
      </c>
      <c r="E44" s="12">
        <v>3</v>
      </c>
      <c r="F44" s="12">
        <v>3</v>
      </c>
      <c r="G44" s="12">
        <v>5</v>
      </c>
      <c r="H44" s="12">
        <v>4</v>
      </c>
      <c r="I44" s="12">
        <v>5</v>
      </c>
      <c r="J44" s="12">
        <v>1</v>
      </c>
      <c r="K44" s="12">
        <v>6</v>
      </c>
      <c r="L44" s="12">
        <v>4</v>
      </c>
      <c r="M44" s="12">
        <v>0</v>
      </c>
      <c r="N44" s="12">
        <v>13</v>
      </c>
      <c r="O44" s="12">
        <v>6</v>
      </c>
      <c r="P44" s="12">
        <v>1</v>
      </c>
      <c r="Q44" s="12">
        <v>1</v>
      </c>
      <c r="R44" s="12">
        <v>6</v>
      </c>
      <c r="S44" s="12">
        <v>11</v>
      </c>
      <c r="T44" s="12">
        <v>3</v>
      </c>
      <c r="U44" s="12">
        <v>1</v>
      </c>
      <c r="V44" s="12">
        <v>1</v>
      </c>
      <c r="W44" s="12">
        <v>0</v>
      </c>
      <c r="X44" s="12">
        <v>3</v>
      </c>
      <c r="Y44" s="12">
        <v>2</v>
      </c>
      <c r="Z44" s="12">
        <v>2</v>
      </c>
      <c r="AA44" s="12">
        <v>0</v>
      </c>
      <c r="AB44" s="12">
        <v>1</v>
      </c>
      <c r="AC44" s="12">
        <v>9</v>
      </c>
      <c r="AD44" s="12">
        <v>0</v>
      </c>
      <c r="AE44" s="12">
        <v>6</v>
      </c>
      <c r="AF44" s="12">
        <v>5</v>
      </c>
    </row>
    <row r="45" spans="1:32" x14ac:dyDescent="0.35">
      <c r="A45" s="31"/>
      <c r="B45" s="13" t="s">
        <v>453</v>
      </c>
      <c r="C45" s="15" t="s">
        <v>333</v>
      </c>
      <c r="D45" s="15" t="s">
        <v>333</v>
      </c>
      <c r="E45" s="15" t="s">
        <v>333</v>
      </c>
      <c r="F45" s="15" t="s">
        <v>333</v>
      </c>
      <c r="G45" s="15" t="s">
        <v>333</v>
      </c>
      <c r="H45" s="15" t="s">
        <v>333</v>
      </c>
      <c r="I45" s="15" t="s">
        <v>333</v>
      </c>
      <c r="J45" s="15" t="s">
        <v>333</v>
      </c>
      <c r="K45" s="14">
        <v>0.01</v>
      </c>
      <c r="L45" s="15" t="s">
        <v>333</v>
      </c>
      <c r="M45" s="15" t="s">
        <v>333</v>
      </c>
      <c r="N45" s="14">
        <v>0.01</v>
      </c>
      <c r="O45" s="14">
        <v>0.01</v>
      </c>
      <c r="P45" s="15" t="s">
        <v>333</v>
      </c>
      <c r="Q45" s="15" t="s">
        <v>333</v>
      </c>
      <c r="R45" s="14">
        <v>0.01</v>
      </c>
      <c r="S45" s="14">
        <v>0.01</v>
      </c>
      <c r="T45" s="15" t="s">
        <v>333</v>
      </c>
      <c r="U45" s="15" t="s">
        <v>333</v>
      </c>
      <c r="V45" s="15" t="s">
        <v>333</v>
      </c>
      <c r="W45" s="15" t="s">
        <v>333</v>
      </c>
      <c r="X45" s="15" t="s">
        <v>333</v>
      </c>
      <c r="Y45" s="15" t="s">
        <v>333</v>
      </c>
      <c r="Z45" s="15" t="s">
        <v>333</v>
      </c>
      <c r="AA45" s="15" t="s">
        <v>333</v>
      </c>
      <c r="AB45" s="15" t="s">
        <v>333</v>
      </c>
      <c r="AC45" s="14">
        <v>0.01</v>
      </c>
      <c r="AD45" s="15" t="s">
        <v>333</v>
      </c>
      <c r="AE45" s="14">
        <v>0.01</v>
      </c>
      <c r="AF45" s="15" t="s">
        <v>333</v>
      </c>
    </row>
    <row r="46" spans="1:32" x14ac:dyDescent="0.35">
      <c r="A46" s="31"/>
      <c r="B46" s="11" t="s">
        <v>344</v>
      </c>
      <c r="C46" s="12">
        <v>121</v>
      </c>
      <c r="D46" s="12">
        <v>1</v>
      </c>
      <c r="E46" s="12">
        <v>4</v>
      </c>
      <c r="F46" s="12">
        <v>3</v>
      </c>
      <c r="G46" s="12">
        <v>2</v>
      </c>
      <c r="H46" s="12">
        <v>6</v>
      </c>
      <c r="I46" s="12">
        <v>6</v>
      </c>
      <c r="J46" s="12">
        <v>0</v>
      </c>
      <c r="K46" s="12">
        <v>9</v>
      </c>
      <c r="L46" s="12">
        <v>1</v>
      </c>
      <c r="M46" s="12">
        <v>0</v>
      </c>
      <c r="N46" s="12">
        <v>15</v>
      </c>
      <c r="O46" s="12">
        <v>7</v>
      </c>
      <c r="P46" s="12">
        <v>1</v>
      </c>
      <c r="Q46" s="12">
        <v>0</v>
      </c>
      <c r="R46" s="12">
        <v>3</v>
      </c>
      <c r="S46" s="12">
        <v>26</v>
      </c>
      <c r="T46" s="12">
        <v>2</v>
      </c>
      <c r="U46" s="12">
        <v>1</v>
      </c>
      <c r="V46" s="12">
        <v>0</v>
      </c>
      <c r="W46" s="12">
        <v>1</v>
      </c>
      <c r="X46" s="12">
        <v>2</v>
      </c>
      <c r="Y46" s="12">
        <v>4</v>
      </c>
      <c r="Z46" s="12">
        <v>1</v>
      </c>
      <c r="AA46" s="12">
        <v>7</v>
      </c>
      <c r="AB46" s="12">
        <v>3</v>
      </c>
      <c r="AC46" s="12">
        <v>1</v>
      </c>
      <c r="AD46" s="12">
        <v>4</v>
      </c>
      <c r="AE46" s="12">
        <v>12</v>
      </c>
      <c r="AF46" s="12">
        <v>1</v>
      </c>
    </row>
    <row r="47" spans="1:32" x14ac:dyDescent="0.35">
      <c r="A47" s="31"/>
      <c r="B47" s="13" t="s">
        <v>357</v>
      </c>
      <c r="C47" s="15" t="s">
        <v>333</v>
      </c>
      <c r="D47" s="15" t="s">
        <v>333</v>
      </c>
      <c r="E47" s="15" t="s">
        <v>333</v>
      </c>
      <c r="F47" s="15" t="s">
        <v>333</v>
      </c>
      <c r="G47" s="15" t="s">
        <v>333</v>
      </c>
      <c r="H47" s="15" t="s">
        <v>333</v>
      </c>
      <c r="I47" s="15" t="s">
        <v>333</v>
      </c>
      <c r="J47" s="15" t="s">
        <v>333</v>
      </c>
      <c r="K47" s="14">
        <v>0.01</v>
      </c>
      <c r="L47" s="15" t="s">
        <v>333</v>
      </c>
      <c r="M47" s="15" t="s">
        <v>333</v>
      </c>
      <c r="N47" s="14">
        <v>0.02</v>
      </c>
      <c r="O47" s="14">
        <v>0.01</v>
      </c>
      <c r="P47" s="15" t="s">
        <v>333</v>
      </c>
      <c r="Q47" s="15" t="s">
        <v>333</v>
      </c>
      <c r="R47" s="14">
        <v>0.01</v>
      </c>
      <c r="S47" s="14">
        <v>0.03</v>
      </c>
      <c r="T47" s="15" t="s">
        <v>333</v>
      </c>
      <c r="U47" s="15" t="s">
        <v>333</v>
      </c>
      <c r="V47" s="15" t="s">
        <v>333</v>
      </c>
      <c r="W47" s="15" t="s">
        <v>333</v>
      </c>
      <c r="X47" s="15" t="s">
        <v>333</v>
      </c>
      <c r="Y47" s="15" t="s">
        <v>333</v>
      </c>
      <c r="Z47" s="15" t="s">
        <v>333</v>
      </c>
      <c r="AA47" s="14">
        <v>0.01</v>
      </c>
      <c r="AB47" s="15" t="s">
        <v>333</v>
      </c>
      <c r="AC47" s="15" t="s">
        <v>333</v>
      </c>
      <c r="AD47" s="15" t="s">
        <v>333</v>
      </c>
      <c r="AE47" s="14">
        <v>0.01</v>
      </c>
      <c r="AF47" s="15" t="s">
        <v>333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35</v>
      </c>
      <c r="C3" s="30"/>
      <c r="D3" s="30"/>
      <c r="E3" s="30"/>
      <c r="F3" s="30"/>
      <c r="H3" s="30" t="s">
        <v>36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422</v>
      </c>
      <c r="C12" s="12">
        <v>6413</v>
      </c>
      <c r="D12" s="12">
        <v>175</v>
      </c>
      <c r="E12" s="12">
        <v>362</v>
      </c>
      <c r="F12" s="12">
        <v>182</v>
      </c>
      <c r="G12" s="12">
        <v>173</v>
      </c>
      <c r="H12" s="12">
        <v>107</v>
      </c>
      <c r="I12" s="12">
        <v>153</v>
      </c>
      <c r="J12" s="12">
        <v>46</v>
      </c>
      <c r="K12" s="12">
        <v>247</v>
      </c>
      <c r="L12" s="12">
        <v>406</v>
      </c>
      <c r="M12" s="12">
        <v>437</v>
      </c>
      <c r="N12" s="12">
        <v>428</v>
      </c>
      <c r="O12" s="12">
        <v>274</v>
      </c>
      <c r="P12" s="12">
        <v>242</v>
      </c>
      <c r="Q12" s="12">
        <v>217</v>
      </c>
      <c r="R12" s="12">
        <v>178</v>
      </c>
      <c r="S12" s="12">
        <v>353</v>
      </c>
      <c r="T12" s="12">
        <v>357</v>
      </c>
      <c r="U12" s="12">
        <v>96</v>
      </c>
      <c r="V12" s="12">
        <v>339</v>
      </c>
      <c r="W12" s="12">
        <v>145</v>
      </c>
      <c r="X12" s="12">
        <v>143</v>
      </c>
      <c r="Y12" s="12">
        <v>199</v>
      </c>
      <c r="Z12" s="12">
        <v>251</v>
      </c>
      <c r="AA12" s="12">
        <v>512</v>
      </c>
      <c r="AB12" s="12">
        <v>291</v>
      </c>
      <c r="AC12" s="12">
        <v>375</v>
      </c>
      <c r="AD12" s="12">
        <v>258</v>
      </c>
      <c r="AE12" s="12">
        <v>102</v>
      </c>
      <c r="AF12" s="12">
        <v>136</v>
      </c>
    </row>
    <row r="13" spans="1:32" ht="21.5" x14ac:dyDescent="0.35">
      <c r="A13" s="31"/>
      <c r="B13" s="13" t="s">
        <v>423</v>
      </c>
      <c r="C13" s="14">
        <v>0.24</v>
      </c>
      <c r="D13" s="14">
        <v>0.17</v>
      </c>
      <c r="E13" s="14">
        <v>0.35</v>
      </c>
      <c r="F13" s="14">
        <v>0.18</v>
      </c>
      <c r="G13" s="14">
        <v>0.17</v>
      </c>
      <c r="H13" s="14">
        <v>0.09</v>
      </c>
      <c r="I13" s="14">
        <v>0.1</v>
      </c>
      <c r="J13" s="14">
        <v>0.15</v>
      </c>
      <c r="K13" s="14">
        <v>0.24</v>
      </c>
      <c r="L13" s="14">
        <v>0.4</v>
      </c>
      <c r="M13" s="14">
        <v>0.44</v>
      </c>
      <c r="N13" s="14">
        <v>0.43</v>
      </c>
      <c r="O13" s="14">
        <v>0.27</v>
      </c>
      <c r="P13" s="14">
        <v>0.24</v>
      </c>
      <c r="Q13" s="14">
        <v>0.21</v>
      </c>
      <c r="R13" s="14">
        <v>0.36</v>
      </c>
      <c r="S13" s="14">
        <v>0.35</v>
      </c>
      <c r="T13" s="14">
        <v>0.35</v>
      </c>
      <c r="U13" s="14">
        <v>0.19</v>
      </c>
      <c r="V13" s="14">
        <v>0.33</v>
      </c>
      <c r="W13" s="14">
        <v>0.28999999999999998</v>
      </c>
      <c r="X13" s="14">
        <v>0.14000000000000001</v>
      </c>
      <c r="Y13" s="14">
        <v>0.2</v>
      </c>
      <c r="Z13" s="14">
        <v>0.25</v>
      </c>
      <c r="AA13" s="14">
        <v>0.5</v>
      </c>
      <c r="AB13" s="14">
        <v>0.28000000000000003</v>
      </c>
      <c r="AC13" s="14">
        <v>0.37</v>
      </c>
      <c r="AD13" s="14">
        <v>0.26</v>
      </c>
      <c r="AE13" s="14">
        <v>0.1</v>
      </c>
      <c r="AF13" s="14">
        <v>0.13</v>
      </c>
    </row>
    <row r="14" spans="1:32" ht="21.5" x14ac:dyDescent="0.35">
      <c r="A14" s="31"/>
      <c r="B14" s="11" t="s">
        <v>424</v>
      </c>
      <c r="C14" s="12">
        <v>5615</v>
      </c>
      <c r="D14" s="12">
        <v>234</v>
      </c>
      <c r="E14" s="12">
        <v>104</v>
      </c>
      <c r="F14" s="12">
        <v>104</v>
      </c>
      <c r="G14" s="12">
        <v>483</v>
      </c>
      <c r="H14" s="12">
        <v>288</v>
      </c>
      <c r="I14" s="12">
        <v>342</v>
      </c>
      <c r="J14" s="12">
        <v>55</v>
      </c>
      <c r="K14" s="12">
        <v>74</v>
      </c>
      <c r="L14" s="12">
        <v>252</v>
      </c>
      <c r="M14" s="12">
        <v>143</v>
      </c>
      <c r="N14" s="12">
        <v>151</v>
      </c>
      <c r="O14" s="12">
        <v>268</v>
      </c>
      <c r="P14" s="12">
        <v>152</v>
      </c>
      <c r="Q14" s="12">
        <v>232</v>
      </c>
      <c r="R14" s="12">
        <v>31</v>
      </c>
      <c r="S14" s="12">
        <v>57</v>
      </c>
      <c r="T14" s="12">
        <v>94</v>
      </c>
      <c r="U14" s="12">
        <v>111</v>
      </c>
      <c r="V14" s="12">
        <v>180</v>
      </c>
      <c r="W14" s="12">
        <v>132</v>
      </c>
      <c r="X14" s="12">
        <v>373</v>
      </c>
      <c r="Y14" s="12">
        <v>256</v>
      </c>
      <c r="Z14" s="12">
        <v>123</v>
      </c>
      <c r="AA14" s="12">
        <v>146</v>
      </c>
      <c r="AB14" s="12">
        <v>115</v>
      </c>
      <c r="AC14" s="12">
        <v>128</v>
      </c>
      <c r="AD14" s="12">
        <v>145</v>
      </c>
      <c r="AE14" s="12">
        <v>302</v>
      </c>
      <c r="AF14" s="12">
        <v>505</v>
      </c>
    </row>
    <row r="15" spans="1:32" ht="21.5" x14ac:dyDescent="0.35">
      <c r="A15" s="31"/>
      <c r="B15" s="13" t="s">
        <v>425</v>
      </c>
      <c r="C15" s="14">
        <v>0.21</v>
      </c>
      <c r="D15" s="14">
        <v>0.23</v>
      </c>
      <c r="E15" s="14">
        <v>0.1</v>
      </c>
      <c r="F15" s="14">
        <v>0.1</v>
      </c>
      <c r="G15" s="14">
        <v>0.47</v>
      </c>
      <c r="H15" s="14">
        <v>0.23</v>
      </c>
      <c r="I15" s="14">
        <v>0.22</v>
      </c>
      <c r="J15" s="14">
        <v>0.18</v>
      </c>
      <c r="K15" s="14">
        <v>7.0000000000000007E-2</v>
      </c>
      <c r="L15" s="14">
        <v>0.25</v>
      </c>
      <c r="M15" s="14">
        <v>0.14000000000000001</v>
      </c>
      <c r="N15" s="14">
        <v>0.15</v>
      </c>
      <c r="O15" s="14">
        <v>0.27</v>
      </c>
      <c r="P15" s="14">
        <v>0.15</v>
      </c>
      <c r="Q15" s="14">
        <v>0.22</v>
      </c>
      <c r="R15" s="14">
        <v>0.06</v>
      </c>
      <c r="S15" s="14">
        <v>0.06</v>
      </c>
      <c r="T15" s="14">
        <v>0.09</v>
      </c>
      <c r="U15" s="14">
        <v>0.22</v>
      </c>
      <c r="V15" s="14">
        <v>0.18</v>
      </c>
      <c r="W15" s="14">
        <v>0.26</v>
      </c>
      <c r="X15" s="14">
        <v>0.37</v>
      </c>
      <c r="Y15" s="14">
        <v>0.26</v>
      </c>
      <c r="Z15" s="14">
        <v>0.12</v>
      </c>
      <c r="AA15" s="14">
        <v>0.14000000000000001</v>
      </c>
      <c r="AB15" s="14">
        <v>0.11</v>
      </c>
      <c r="AC15" s="14">
        <v>0.13</v>
      </c>
      <c r="AD15" s="14">
        <v>0.14000000000000001</v>
      </c>
      <c r="AE15" s="14">
        <v>0.3</v>
      </c>
      <c r="AF15" s="14">
        <v>0.5</v>
      </c>
    </row>
    <row r="16" spans="1:32" ht="21.5" x14ac:dyDescent="0.35">
      <c r="A16" s="31"/>
      <c r="B16" s="11" t="s">
        <v>426</v>
      </c>
      <c r="C16" s="12">
        <v>8103</v>
      </c>
      <c r="D16" s="12">
        <v>319</v>
      </c>
      <c r="E16" s="12">
        <v>441</v>
      </c>
      <c r="F16" s="12">
        <v>205</v>
      </c>
      <c r="G16" s="12">
        <v>235</v>
      </c>
      <c r="H16" s="12">
        <v>375</v>
      </c>
      <c r="I16" s="12">
        <v>458</v>
      </c>
      <c r="J16" s="12">
        <v>82</v>
      </c>
      <c r="K16" s="12">
        <v>228</v>
      </c>
      <c r="L16" s="12">
        <v>201</v>
      </c>
      <c r="M16" s="12">
        <v>427</v>
      </c>
      <c r="N16" s="12">
        <v>347</v>
      </c>
      <c r="O16" s="12">
        <v>361</v>
      </c>
      <c r="P16" s="12">
        <v>384</v>
      </c>
      <c r="Q16" s="12">
        <v>258</v>
      </c>
      <c r="R16" s="12">
        <v>210</v>
      </c>
      <c r="S16" s="12">
        <v>366</v>
      </c>
      <c r="T16" s="12">
        <v>448</v>
      </c>
      <c r="U16" s="12">
        <v>199</v>
      </c>
      <c r="V16" s="12">
        <v>292</v>
      </c>
      <c r="W16" s="12">
        <v>109</v>
      </c>
      <c r="X16" s="12">
        <v>273</v>
      </c>
      <c r="Y16" s="12">
        <v>313</v>
      </c>
      <c r="Z16" s="12">
        <v>207</v>
      </c>
      <c r="AA16" s="12">
        <v>554</v>
      </c>
      <c r="AB16" s="12">
        <v>299</v>
      </c>
      <c r="AC16" s="12">
        <v>316</v>
      </c>
      <c r="AD16" s="12">
        <v>348</v>
      </c>
      <c r="AE16" s="12">
        <v>328</v>
      </c>
      <c r="AF16" s="12">
        <v>308</v>
      </c>
    </row>
    <row r="17" spans="1:32" ht="21.5" x14ac:dyDescent="0.35">
      <c r="A17" s="31"/>
      <c r="B17" s="13" t="s">
        <v>427</v>
      </c>
      <c r="C17" s="14">
        <v>0.31</v>
      </c>
      <c r="D17" s="14">
        <v>0.31</v>
      </c>
      <c r="E17" s="14">
        <v>0.42</v>
      </c>
      <c r="F17" s="14">
        <v>0.2</v>
      </c>
      <c r="G17" s="14">
        <v>0.23</v>
      </c>
      <c r="H17" s="14">
        <v>0.3</v>
      </c>
      <c r="I17" s="14">
        <v>0.3</v>
      </c>
      <c r="J17" s="14">
        <v>0.28000000000000003</v>
      </c>
      <c r="K17" s="14">
        <v>0.23</v>
      </c>
      <c r="L17" s="14">
        <v>0.2</v>
      </c>
      <c r="M17" s="14">
        <v>0.42</v>
      </c>
      <c r="N17" s="14">
        <v>0.35</v>
      </c>
      <c r="O17" s="14">
        <v>0.36</v>
      </c>
      <c r="P17" s="14">
        <v>0.38</v>
      </c>
      <c r="Q17" s="14">
        <v>0.25</v>
      </c>
      <c r="R17" s="14">
        <v>0.42</v>
      </c>
      <c r="S17" s="14">
        <v>0.36</v>
      </c>
      <c r="T17" s="14">
        <v>0.44</v>
      </c>
      <c r="U17" s="14">
        <v>0.39</v>
      </c>
      <c r="V17" s="14">
        <v>0.28999999999999998</v>
      </c>
      <c r="W17" s="14">
        <v>0.22</v>
      </c>
      <c r="X17" s="14">
        <v>0.27</v>
      </c>
      <c r="Y17" s="14">
        <v>0.31</v>
      </c>
      <c r="Z17" s="14">
        <v>0.2</v>
      </c>
      <c r="AA17" s="14">
        <v>0.54</v>
      </c>
      <c r="AB17" s="14">
        <v>0.28000000000000003</v>
      </c>
      <c r="AC17" s="14">
        <v>0.31</v>
      </c>
      <c r="AD17" s="14">
        <v>0.35</v>
      </c>
      <c r="AE17" s="14">
        <v>0.33</v>
      </c>
      <c r="AF17" s="14">
        <v>0.3</v>
      </c>
    </row>
    <row r="18" spans="1:32" ht="31.5" x14ac:dyDescent="0.35">
      <c r="A18" s="31"/>
      <c r="B18" s="11" t="s">
        <v>428</v>
      </c>
      <c r="C18" s="12">
        <v>7860</v>
      </c>
      <c r="D18" s="12">
        <v>212</v>
      </c>
      <c r="E18" s="12">
        <v>452</v>
      </c>
      <c r="F18" s="12">
        <v>282</v>
      </c>
      <c r="G18" s="12">
        <v>191</v>
      </c>
      <c r="H18" s="12">
        <v>290</v>
      </c>
      <c r="I18" s="12">
        <v>374</v>
      </c>
      <c r="J18" s="12">
        <v>83</v>
      </c>
      <c r="K18" s="12">
        <v>477</v>
      </c>
      <c r="L18" s="12">
        <v>274</v>
      </c>
      <c r="M18" s="12">
        <v>494</v>
      </c>
      <c r="N18" s="12">
        <v>383</v>
      </c>
      <c r="O18" s="12">
        <v>223</v>
      </c>
      <c r="P18" s="12">
        <v>411</v>
      </c>
      <c r="Q18" s="12">
        <v>367</v>
      </c>
      <c r="R18" s="12">
        <v>183</v>
      </c>
      <c r="S18" s="12">
        <v>451</v>
      </c>
      <c r="T18" s="12">
        <v>485</v>
      </c>
      <c r="U18" s="12">
        <v>103</v>
      </c>
      <c r="V18" s="12">
        <v>376</v>
      </c>
      <c r="W18" s="12">
        <v>100</v>
      </c>
      <c r="X18" s="12">
        <v>136</v>
      </c>
      <c r="Y18" s="12">
        <v>324</v>
      </c>
      <c r="Z18" s="12">
        <v>251</v>
      </c>
      <c r="AA18" s="12">
        <v>416</v>
      </c>
      <c r="AB18" s="12">
        <v>393</v>
      </c>
      <c r="AC18" s="12">
        <v>368</v>
      </c>
      <c r="AD18" s="12">
        <v>426</v>
      </c>
      <c r="AE18" s="12">
        <v>394</v>
      </c>
      <c r="AF18" s="12">
        <v>245</v>
      </c>
    </row>
    <row r="19" spans="1:32" ht="21.5" x14ac:dyDescent="0.35">
      <c r="A19" s="31"/>
      <c r="B19" s="13" t="s">
        <v>429</v>
      </c>
      <c r="C19" s="14">
        <v>0.3</v>
      </c>
      <c r="D19" s="14">
        <v>0.21</v>
      </c>
      <c r="E19" s="14">
        <v>0.44</v>
      </c>
      <c r="F19" s="14">
        <v>0.28000000000000003</v>
      </c>
      <c r="G19" s="14">
        <v>0.19</v>
      </c>
      <c r="H19" s="14">
        <v>0.24</v>
      </c>
      <c r="I19" s="14">
        <v>0.24</v>
      </c>
      <c r="J19" s="14">
        <v>0.28000000000000003</v>
      </c>
      <c r="K19" s="14">
        <v>0.47</v>
      </c>
      <c r="L19" s="14">
        <v>0.27</v>
      </c>
      <c r="M19" s="14">
        <v>0.49</v>
      </c>
      <c r="N19" s="14">
        <v>0.38</v>
      </c>
      <c r="O19" s="14">
        <v>0.22</v>
      </c>
      <c r="P19" s="14">
        <v>0.41</v>
      </c>
      <c r="Q19" s="14">
        <v>0.35</v>
      </c>
      <c r="R19" s="14">
        <v>0.36</v>
      </c>
      <c r="S19" s="14">
        <v>0.44</v>
      </c>
      <c r="T19" s="14">
        <v>0.48</v>
      </c>
      <c r="U19" s="14">
        <v>0.2</v>
      </c>
      <c r="V19" s="14">
        <v>0.37</v>
      </c>
      <c r="W19" s="14">
        <v>0.2</v>
      </c>
      <c r="X19" s="14">
        <v>0.14000000000000001</v>
      </c>
      <c r="Y19" s="14">
        <v>0.32</v>
      </c>
      <c r="Z19" s="14">
        <v>0.25</v>
      </c>
      <c r="AA19" s="14">
        <v>0.4</v>
      </c>
      <c r="AB19" s="14">
        <v>0.37</v>
      </c>
      <c r="AC19" s="14">
        <v>0.36</v>
      </c>
      <c r="AD19" s="14">
        <v>0.42</v>
      </c>
      <c r="AE19" s="14">
        <v>0.39</v>
      </c>
      <c r="AF19" s="14">
        <v>0.24</v>
      </c>
    </row>
    <row r="20" spans="1:32" ht="21.5" x14ac:dyDescent="0.35">
      <c r="A20" s="31"/>
      <c r="B20" s="11" t="s">
        <v>430</v>
      </c>
      <c r="C20" s="12">
        <v>10933</v>
      </c>
      <c r="D20" s="12">
        <v>428</v>
      </c>
      <c r="E20" s="12">
        <v>585</v>
      </c>
      <c r="F20" s="12">
        <v>454</v>
      </c>
      <c r="G20" s="12">
        <v>263</v>
      </c>
      <c r="H20" s="12">
        <v>388</v>
      </c>
      <c r="I20" s="12">
        <v>521</v>
      </c>
      <c r="J20" s="12">
        <v>133</v>
      </c>
      <c r="K20" s="12">
        <v>524</v>
      </c>
      <c r="L20" s="12">
        <v>539</v>
      </c>
      <c r="M20" s="12">
        <v>492</v>
      </c>
      <c r="N20" s="12">
        <v>423</v>
      </c>
      <c r="O20" s="12">
        <v>484</v>
      </c>
      <c r="P20" s="12">
        <v>557</v>
      </c>
      <c r="Q20" s="12">
        <v>472</v>
      </c>
      <c r="R20" s="12">
        <v>193</v>
      </c>
      <c r="S20" s="12">
        <v>418</v>
      </c>
      <c r="T20" s="12">
        <v>408</v>
      </c>
      <c r="U20" s="12">
        <v>184</v>
      </c>
      <c r="V20" s="12">
        <v>465</v>
      </c>
      <c r="W20" s="12">
        <v>190</v>
      </c>
      <c r="X20" s="12">
        <v>307</v>
      </c>
      <c r="Y20" s="12">
        <v>424</v>
      </c>
      <c r="Z20" s="12">
        <v>397</v>
      </c>
      <c r="AA20" s="12">
        <v>541</v>
      </c>
      <c r="AB20" s="12">
        <v>443</v>
      </c>
      <c r="AC20" s="12">
        <v>376</v>
      </c>
      <c r="AD20" s="12">
        <v>532</v>
      </c>
      <c r="AE20" s="12">
        <v>220</v>
      </c>
      <c r="AF20" s="12">
        <v>190</v>
      </c>
    </row>
    <row r="21" spans="1:32" ht="21.5" x14ac:dyDescent="0.35">
      <c r="A21" s="31"/>
      <c r="B21" s="13" t="s">
        <v>431</v>
      </c>
      <c r="C21" s="14">
        <v>0.41</v>
      </c>
      <c r="D21" s="14">
        <v>0.42</v>
      </c>
      <c r="E21" s="14">
        <v>0.56000000000000005</v>
      </c>
      <c r="F21" s="14">
        <v>0.45</v>
      </c>
      <c r="G21" s="14">
        <v>0.26</v>
      </c>
      <c r="H21" s="14">
        <v>0.31</v>
      </c>
      <c r="I21" s="14">
        <v>0.34</v>
      </c>
      <c r="J21" s="14">
        <v>0.45</v>
      </c>
      <c r="K21" s="14">
        <v>0.52</v>
      </c>
      <c r="L21" s="14">
        <v>0.54</v>
      </c>
      <c r="M21" s="14">
        <v>0.49</v>
      </c>
      <c r="N21" s="14">
        <v>0.42</v>
      </c>
      <c r="O21" s="14">
        <v>0.48</v>
      </c>
      <c r="P21" s="14">
        <v>0.55000000000000004</v>
      </c>
      <c r="Q21" s="14">
        <v>0.46</v>
      </c>
      <c r="R21" s="14">
        <v>0.39</v>
      </c>
      <c r="S21" s="14">
        <v>0.41</v>
      </c>
      <c r="T21" s="14">
        <v>0.4</v>
      </c>
      <c r="U21" s="14">
        <v>0.36</v>
      </c>
      <c r="V21" s="14">
        <v>0.46</v>
      </c>
      <c r="W21" s="14">
        <v>0.38</v>
      </c>
      <c r="X21" s="14">
        <v>0.3</v>
      </c>
      <c r="Y21" s="14">
        <v>0.42</v>
      </c>
      <c r="Z21" s="14">
        <v>0.39</v>
      </c>
      <c r="AA21" s="14">
        <v>0.53</v>
      </c>
      <c r="AB21" s="14">
        <v>0.42</v>
      </c>
      <c r="AC21" s="14">
        <v>0.37</v>
      </c>
      <c r="AD21" s="14">
        <v>0.53</v>
      </c>
      <c r="AE21" s="14">
        <v>0.22</v>
      </c>
      <c r="AF21" s="14">
        <v>0.19</v>
      </c>
    </row>
    <row r="22" spans="1:32" ht="31.5" x14ac:dyDescent="0.35">
      <c r="A22" s="31"/>
      <c r="B22" s="11" t="s">
        <v>432</v>
      </c>
      <c r="C22" s="12">
        <v>2532</v>
      </c>
      <c r="D22" s="12">
        <v>84</v>
      </c>
      <c r="E22" s="12">
        <v>109</v>
      </c>
      <c r="F22" s="12">
        <v>100</v>
      </c>
      <c r="G22" s="12">
        <v>87</v>
      </c>
      <c r="H22" s="12">
        <v>145</v>
      </c>
      <c r="I22" s="12">
        <v>188</v>
      </c>
      <c r="J22" s="12">
        <v>43</v>
      </c>
      <c r="K22" s="12">
        <v>112</v>
      </c>
      <c r="L22" s="12">
        <v>70</v>
      </c>
      <c r="M22" s="12">
        <v>85</v>
      </c>
      <c r="N22" s="12">
        <v>53</v>
      </c>
      <c r="O22" s="12">
        <v>44</v>
      </c>
      <c r="P22" s="12">
        <v>125</v>
      </c>
      <c r="Q22" s="12">
        <v>141</v>
      </c>
      <c r="R22" s="12">
        <v>39</v>
      </c>
      <c r="S22" s="12">
        <v>97</v>
      </c>
      <c r="T22" s="12">
        <v>77</v>
      </c>
      <c r="U22" s="12">
        <v>37</v>
      </c>
      <c r="V22" s="12">
        <v>143</v>
      </c>
      <c r="W22" s="12">
        <v>87</v>
      </c>
      <c r="X22" s="12">
        <v>96</v>
      </c>
      <c r="Y22" s="12">
        <v>175</v>
      </c>
      <c r="Z22" s="12">
        <v>103</v>
      </c>
      <c r="AA22" s="12">
        <v>86</v>
      </c>
      <c r="AB22" s="12">
        <v>118</v>
      </c>
      <c r="AC22" s="12">
        <v>85</v>
      </c>
      <c r="AD22" s="12">
        <v>121</v>
      </c>
      <c r="AE22" s="12">
        <v>72</v>
      </c>
      <c r="AF22" s="12">
        <v>68</v>
      </c>
    </row>
    <row r="23" spans="1:32" ht="31.5" x14ac:dyDescent="0.35">
      <c r="A23" s="31"/>
      <c r="B23" s="13" t="s">
        <v>433</v>
      </c>
      <c r="C23" s="14">
        <v>0.1</v>
      </c>
      <c r="D23" s="14">
        <v>0.08</v>
      </c>
      <c r="E23" s="14">
        <v>0.1</v>
      </c>
      <c r="F23" s="14">
        <v>0.1</v>
      </c>
      <c r="G23" s="14">
        <v>0.09</v>
      </c>
      <c r="H23" s="14">
        <v>0.12</v>
      </c>
      <c r="I23" s="14">
        <v>0.12</v>
      </c>
      <c r="J23" s="14">
        <v>0.14000000000000001</v>
      </c>
      <c r="K23" s="14">
        <v>0.11</v>
      </c>
      <c r="L23" s="14">
        <v>7.0000000000000007E-2</v>
      </c>
      <c r="M23" s="14">
        <v>0.08</v>
      </c>
      <c r="N23" s="14">
        <v>0.05</v>
      </c>
      <c r="O23" s="14">
        <v>0.04</v>
      </c>
      <c r="P23" s="14">
        <v>0.12</v>
      </c>
      <c r="Q23" s="14">
        <v>0.14000000000000001</v>
      </c>
      <c r="R23" s="14">
        <v>0.08</v>
      </c>
      <c r="S23" s="14">
        <v>0.09</v>
      </c>
      <c r="T23" s="14">
        <v>0.08</v>
      </c>
      <c r="U23" s="14">
        <v>7.0000000000000007E-2</v>
      </c>
      <c r="V23" s="14">
        <v>0.14000000000000001</v>
      </c>
      <c r="W23" s="14">
        <v>0.17</v>
      </c>
      <c r="X23" s="14">
        <v>0.09</v>
      </c>
      <c r="Y23" s="14">
        <v>0.17</v>
      </c>
      <c r="Z23" s="14">
        <v>0.1</v>
      </c>
      <c r="AA23" s="14">
        <v>0.08</v>
      </c>
      <c r="AB23" s="14">
        <v>0.11</v>
      </c>
      <c r="AC23" s="14">
        <v>0.08</v>
      </c>
      <c r="AD23" s="14">
        <v>0.12</v>
      </c>
      <c r="AE23" s="14">
        <v>7.0000000000000007E-2</v>
      </c>
      <c r="AF23" s="14">
        <v>7.0000000000000007E-2</v>
      </c>
    </row>
    <row r="24" spans="1:32" ht="21.5" x14ac:dyDescent="0.35">
      <c r="A24" s="31"/>
      <c r="B24" s="11" t="s">
        <v>434</v>
      </c>
      <c r="C24" s="12">
        <v>3208</v>
      </c>
      <c r="D24" s="12">
        <v>136</v>
      </c>
      <c r="E24" s="12">
        <v>139</v>
      </c>
      <c r="F24" s="12">
        <v>90</v>
      </c>
      <c r="G24" s="12">
        <v>131</v>
      </c>
      <c r="H24" s="12">
        <v>95</v>
      </c>
      <c r="I24" s="12">
        <v>137</v>
      </c>
      <c r="J24" s="12">
        <v>41</v>
      </c>
      <c r="K24" s="12">
        <v>88</v>
      </c>
      <c r="L24" s="12">
        <v>133</v>
      </c>
      <c r="M24" s="12">
        <v>177</v>
      </c>
      <c r="N24" s="12">
        <v>185</v>
      </c>
      <c r="O24" s="12">
        <v>105</v>
      </c>
      <c r="P24" s="12">
        <v>118</v>
      </c>
      <c r="Q24" s="12">
        <v>152</v>
      </c>
      <c r="R24" s="12">
        <v>101</v>
      </c>
      <c r="S24" s="12">
        <v>77</v>
      </c>
      <c r="T24" s="12">
        <v>74</v>
      </c>
      <c r="U24" s="12">
        <v>57</v>
      </c>
      <c r="V24" s="12">
        <v>93</v>
      </c>
      <c r="W24" s="12">
        <v>60</v>
      </c>
      <c r="X24" s="12">
        <v>123</v>
      </c>
      <c r="Y24" s="12">
        <v>107</v>
      </c>
      <c r="Z24" s="12">
        <v>96</v>
      </c>
      <c r="AA24" s="12">
        <v>111</v>
      </c>
      <c r="AB24" s="12">
        <v>161</v>
      </c>
      <c r="AC24" s="12">
        <v>85</v>
      </c>
      <c r="AD24" s="12">
        <v>120</v>
      </c>
      <c r="AE24" s="12">
        <v>94</v>
      </c>
      <c r="AF24" s="12">
        <v>125</v>
      </c>
    </row>
    <row r="25" spans="1:32" ht="21.5" x14ac:dyDescent="0.35">
      <c r="A25" s="31"/>
      <c r="B25" s="13" t="s">
        <v>435</v>
      </c>
      <c r="C25" s="14">
        <v>0.12</v>
      </c>
      <c r="D25" s="14">
        <v>0.13</v>
      </c>
      <c r="E25" s="14">
        <v>0.13</v>
      </c>
      <c r="F25" s="14">
        <v>0.09</v>
      </c>
      <c r="G25" s="14">
        <v>0.13</v>
      </c>
      <c r="H25" s="14">
        <v>0.08</v>
      </c>
      <c r="I25" s="14">
        <v>0.09</v>
      </c>
      <c r="J25" s="14">
        <v>0.14000000000000001</v>
      </c>
      <c r="K25" s="14">
        <v>0.09</v>
      </c>
      <c r="L25" s="14">
        <v>0.13</v>
      </c>
      <c r="M25" s="14">
        <v>0.18</v>
      </c>
      <c r="N25" s="14">
        <v>0.18</v>
      </c>
      <c r="O25" s="14">
        <v>0.11</v>
      </c>
      <c r="P25" s="14">
        <v>0.12</v>
      </c>
      <c r="Q25" s="14">
        <v>0.15</v>
      </c>
      <c r="R25" s="14">
        <v>0.2</v>
      </c>
      <c r="S25" s="14">
        <v>0.08</v>
      </c>
      <c r="T25" s="14">
        <v>7.0000000000000007E-2</v>
      </c>
      <c r="U25" s="14">
        <v>0.11</v>
      </c>
      <c r="V25" s="14">
        <v>0.09</v>
      </c>
      <c r="W25" s="14">
        <v>0.12</v>
      </c>
      <c r="X25" s="14">
        <v>0.12</v>
      </c>
      <c r="Y25" s="14">
        <v>0.11</v>
      </c>
      <c r="Z25" s="14">
        <v>0.09</v>
      </c>
      <c r="AA25" s="14">
        <v>0.11</v>
      </c>
      <c r="AB25" s="14">
        <v>0.15</v>
      </c>
      <c r="AC25" s="14">
        <v>0.08</v>
      </c>
      <c r="AD25" s="14">
        <v>0.12</v>
      </c>
      <c r="AE25" s="14">
        <v>0.09</v>
      </c>
      <c r="AF25" s="14">
        <v>0.12</v>
      </c>
    </row>
    <row r="26" spans="1:32" ht="31.5" x14ac:dyDescent="0.35">
      <c r="A26" s="31"/>
      <c r="B26" s="11" t="s">
        <v>436</v>
      </c>
      <c r="C26" s="12">
        <v>4078</v>
      </c>
      <c r="D26" s="12">
        <v>173</v>
      </c>
      <c r="E26" s="12">
        <v>147</v>
      </c>
      <c r="F26" s="12">
        <v>365</v>
      </c>
      <c r="G26" s="12">
        <v>233</v>
      </c>
      <c r="H26" s="12">
        <v>137</v>
      </c>
      <c r="I26" s="12">
        <v>174</v>
      </c>
      <c r="J26" s="12">
        <v>37</v>
      </c>
      <c r="K26" s="12">
        <v>206</v>
      </c>
      <c r="L26" s="12">
        <v>122</v>
      </c>
      <c r="M26" s="12">
        <v>173</v>
      </c>
      <c r="N26" s="12">
        <v>99</v>
      </c>
      <c r="O26" s="12">
        <v>159</v>
      </c>
      <c r="P26" s="12">
        <v>145</v>
      </c>
      <c r="Q26" s="12">
        <v>209</v>
      </c>
      <c r="R26" s="12">
        <v>26</v>
      </c>
      <c r="S26" s="12">
        <v>136</v>
      </c>
      <c r="T26" s="12">
        <v>147</v>
      </c>
      <c r="U26" s="12">
        <v>85</v>
      </c>
      <c r="V26" s="12">
        <v>181</v>
      </c>
      <c r="W26" s="12">
        <v>26</v>
      </c>
      <c r="X26" s="12">
        <v>181</v>
      </c>
      <c r="Y26" s="12">
        <v>202</v>
      </c>
      <c r="Z26" s="12">
        <v>133</v>
      </c>
      <c r="AA26" s="12">
        <v>174</v>
      </c>
      <c r="AB26" s="12">
        <v>208</v>
      </c>
      <c r="AC26" s="12">
        <v>130</v>
      </c>
      <c r="AD26" s="12">
        <v>112</v>
      </c>
      <c r="AE26" s="12">
        <v>119</v>
      </c>
      <c r="AF26" s="12">
        <v>126</v>
      </c>
    </row>
    <row r="27" spans="1:32" ht="21.5" x14ac:dyDescent="0.35">
      <c r="A27" s="31"/>
      <c r="B27" s="13" t="s">
        <v>437</v>
      </c>
      <c r="C27" s="14">
        <v>0.15</v>
      </c>
      <c r="D27" s="14">
        <v>0.17</v>
      </c>
      <c r="E27" s="14">
        <v>0.14000000000000001</v>
      </c>
      <c r="F27" s="14">
        <v>0.36</v>
      </c>
      <c r="G27" s="14">
        <v>0.23</v>
      </c>
      <c r="H27" s="14">
        <v>0.11</v>
      </c>
      <c r="I27" s="14">
        <v>0.11</v>
      </c>
      <c r="J27" s="14">
        <v>0.13</v>
      </c>
      <c r="K27" s="14">
        <v>0.2</v>
      </c>
      <c r="L27" s="14">
        <v>0.12</v>
      </c>
      <c r="M27" s="14">
        <v>0.17</v>
      </c>
      <c r="N27" s="14">
        <v>0.1</v>
      </c>
      <c r="O27" s="14">
        <v>0.16</v>
      </c>
      <c r="P27" s="14">
        <v>0.14000000000000001</v>
      </c>
      <c r="Q27" s="14">
        <v>0.2</v>
      </c>
      <c r="R27" s="14">
        <v>0.05</v>
      </c>
      <c r="S27" s="14">
        <v>0.13</v>
      </c>
      <c r="T27" s="14">
        <v>0.15</v>
      </c>
      <c r="U27" s="14">
        <v>0.17</v>
      </c>
      <c r="V27" s="14">
        <v>0.18</v>
      </c>
      <c r="W27" s="14">
        <v>0.05</v>
      </c>
      <c r="X27" s="14">
        <v>0.18</v>
      </c>
      <c r="Y27" s="14">
        <v>0.2</v>
      </c>
      <c r="Z27" s="14">
        <v>0.13</v>
      </c>
      <c r="AA27" s="14">
        <v>0.17</v>
      </c>
      <c r="AB27" s="14">
        <v>0.2</v>
      </c>
      <c r="AC27" s="14">
        <v>0.13</v>
      </c>
      <c r="AD27" s="14">
        <v>0.11</v>
      </c>
      <c r="AE27" s="14">
        <v>0.12</v>
      </c>
      <c r="AF27" s="14">
        <v>0.12</v>
      </c>
    </row>
    <row r="28" spans="1:32" ht="21.5" x14ac:dyDescent="0.35">
      <c r="A28" s="31"/>
      <c r="B28" s="11" t="s">
        <v>438</v>
      </c>
      <c r="C28" s="12">
        <v>3201</v>
      </c>
      <c r="D28" s="12">
        <v>122</v>
      </c>
      <c r="E28" s="12">
        <v>203</v>
      </c>
      <c r="F28" s="12">
        <v>92</v>
      </c>
      <c r="G28" s="12">
        <v>125</v>
      </c>
      <c r="H28" s="12">
        <v>103</v>
      </c>
      <c r="I28" s="12">
        <v>135</v>
      </c>
      <c r="J28" s="12">
        <v>32</v>
      </c>
      <c r="K28" s="12">
        <v>89</v>
      </c>
      <c r="L28" s="12">
        <v>113</v>
      </c>
      <c r="M28" s="12">
        <v>190</v>
      </c>
      <c r="N28" s="12">
        <v>94</v>
      </c>
      <c r="O28" s="12">
        <v>114</v>
      </c>
      <c r="P28" s="12">
        <v>173</v>
      </c>
      <c r="Q28" s="12">
        <v>232</v>
      </c>
      <c r="R28" s="12">
        <v>67</v>
      </c>
      <c r="S28" s="12">
        <v>100</v>
      </c>
      <c r="T28" s="12">
        <v>49</v>
      </c>
      <c r="U28" s="12">
        <v>82</v>
      </c>
      <c r="V28" s="12">
        <v>132</v>
      </c>
      <c r="W28" s="12">
        <v>123</v>
      </c>
      <c r="X28" s="12">
        <v>84</v>
      </c>
      <c r="Y28" s="12">
        <v>141</v>
      </c>
      <c r="Z28" s="12">
        <v>112</v>
      </c>
      <c r="AA28" s="12">
        <v>60</v>
      </c>
      <c r="AB28" s="12">
        <v>131</v>
      </c>
      <c r="AC28" s="12">
        <v>90</v>
      </c>
      <c r="AD28" s="12">
        <v>131</v>
      </c>
      <c r="AE28" s="12">
        <v>64</v>
      </c>
      <c r="AF28" s="12">
        <v>62</v>
      </c>
    </row>
    <row r="29" spans="1:32" x14ac:dyDescent="0.35">
      <c r="A29" s="31"/>
      <c r="B29" s="13" t="s">
        <v>439</v>
      </c>
      <c r="C29" s="14">
        <v>0.12</v>
      </c>
      <c r="D29" s="14">
        <v>0.12</v>
      </c>
      <c r="E29" s="14">
        <v>0.19</v>
      </c>
      <c r="F29" s="14">
        <v>0.09</v>
      </c>
      <c r="G29" s="14">
        <v>0.12</v>
      </c>
      <c r="H29" s="14">
        <v>0.08</v>
      </c>
      <c r="I29" s="14">
        <v>0.09</v>
      </c>
      <c r="J29" s="14">
        <v>0.11</v>
      </c>
      <c r="K29" s="14">
        <v>0.09</v>
      </c>
      <c r="L29" s="14">
        <v>0.11</v>
      </c>
      <c r="M29" s="14">
        <v>0.19</v>
      </c>
      <c r="N29" s="14">
        <v>0.09</v>
      </c>
      <c r="O29" s="14">
        <v>0.11</v>
      </c>
      <c r="P29" s="14">
        <v>0.17</v>
      </c>
      <c r="Q29" s="14">
        <v>0.22</v>
      </c>
      <c r="R29" s="14">
        <v>0.13</v>
      </c>
      <c r="S29" s="14">
        <v>0.1</v>
      </c>
      <c r="T29" s="14">
        <v>0.05</v>
      </c>
      <c r="U29" s="14">
        <v>0.16</v>
      </c>
      <c r="V29" s="14">
        <v>0.13</v>
      </c>
      <c r="W29" s="14">
        <v>0.25</v>
      </c>
      <c r="X29" s="14">
        <v>0.08</v>
      </c>
      <c r="Y29" s="14">
        <v>0.14000000000000001</v>
      </c>
      <c r="Z29" s="14">
        <v>0.11</v>
      </c>
      <c r="AA29" s="14">
        <v>0.06</v>
      </c>
      <c r="AB29" s="14">
        <v>0.12</v>
      </c>
      <c r="AC29" s="14">
        <v>0.09</v>
      </c>
      <c r="AD29" s="14">
        <v>0.13</v>
      </c>
      <c r="AE29" s="14">
        <v>0.06</v>
      </c>
      <c r="AF29" s="14">
        <v>0.06</v>
      </c>
    </row>
    <row r="30" spans="1:32" x14ac:dyDescent="0.35">
      <c r="A30" s="31"/>
      <c r="B30" s="11" t="s">
        <v>440</v>
      </c>
      <c r="C30" s="12">
        <v>5970</v>
      </c>
      <c r="D30" s="12">
        <v>290</v>
      </c>
      <c r="E30" s="12">
        <v>75</v>
      </c>
      <c r="F30" s="12">
        <v>297</v>
      </c>
      <c r="G30" s="12">
        <v>229</v>
      </c>
      <c r="H30" s="12">
        <v>469</v>
      </c>
      <c r="I30" s="12">
        <v>591</v>
      </c>
      <c r="J30" s="12">
        <v>122</v>
      </c>
      <c r="K30" s="12">
        <v>122</v>
      </c>
      <c r="L30" s="12">
        <v>382</v>
      </c>
      <c r="M30" s="12">
        <v>166</v>
      </c>
      <c r="N30" s="12">
        <v>177</v>
      </c>
      <c r="O30" s="12">
        <v>207</v>
      </c>
      <c r="P30" s="12">
        <v>103</v>
      </c>
      <c r="Q30" s="12">
        <v>163</v>
      </c>
      <c r="R30" s="12">
        <v>153</v>
      </c>
      <c r="S30" s="12">
        <v>91</v>
      </c>
      <c r="T30" s="12">
        <v>149</v>
      </c>
      <c r="U30" s="12">
        <v>94</v>
      </c>
      <c r="V30" s="12">
        <v>159</v>
      </c>
      <c r="W30" s="12">
        <v>109</v>
      </c>
      <c r="X30" s="12">
        <v>345</v>
      </c>
      <c r="Y30" s="12">
        <v>337</v>
      </c>
      <c r="Z30" s="12">
        <v>177</v>
      </c>
      <c r="AA30" s="12">
        <v>95</v>
      </c>
      <c r="AB30" s="12">
        <v>87</v>
      </c>
      <c r="AC30" s="12">
        <v>206</v>
      </c>
      <c r="AD30" s="12">
        <v>125</v>
      </c>
      <c r="AE30" s="12">
        <v>134</v>
      </c>
      <c r="AF30" s="12">
        <v>194</v>
      </c>
    </row>
    <row r="31" spans="1:32" x14ac:dyDescent="0.35">
      <c r="A31" s="31"/>
      <c r="B31" s="13" t="s">
        <v>441</v>
      </c>
      <c r="C31" s="14">
        <v>0.23</v>
      </c>
      <c r="D31" s="14">
        <v>0.28000000000000003</v>
      </c>
      <c r="E31" s="14">
        <v>7.0000000000000007E-2</v>
      </c>
      <c r="F31" s="14">
        <v>0.28999999999999998</v>
      </c>
      <c r="G31" s="14">
        <v>0.23</v>
      </c>
      <c r="H31" s="14">
        <v>0.38</v>
      </c>
      <c r="I31" s="14">
        <v>0.39</v>
      </c>
      <c r="J31" s="14">
        <v>0.41</v>
      </c>
      <c r="K31" s="14">
        <v>0.12</v>
      </c>
      <c r="L31" s="14">
        <v>0.38</v>
      </c>
      <c r="M31" s="14">
        <v>0.17</v>
      </c>
      <c r="N31" s="14">
        <v>0.18</v>
      </c>
      <c r="O31" s="14">
        <v>0.21</v>
      </c>
      <c r="P31" s="14">
        <v>0.1</v>
      </c>
      <c r="Q31" s="14">
        <v>0.16</v>
      </c>
      <c r="R31" s="14">
        <v>0.31</v>
      </c>
      <c r="S31" s="14">
        <v>0.09</v>
      </c>
      <c r="T31" s="14">
        <v>0.15</v>
      </c>
      <c r="U31" s="14">
        <v>0.18</v>
      </c>
      <c r="V31" s="14">
        <v>0.16</v>
      </c>
      <c r="W31" s="14">
        <v>0.22</v>
      </c>
      <c r="X31" s="14">
        <v>0.34</v>
      </c>
      <c r="Y31" s="14">
        <v>0.34</v>
      </c>
      <c r="Z31" s="14">
        <v>0.17</v>
      </c>
      <c r="AA31" s="14">
        <v>0.09</v>
      </c>
      <c r="AB31" s="14">
        <v>0.08</v>
      </c>
      <c r="AC31" s="14">
        <v>0.2</v>
      </c>
      <c r="AD31" s="14">
        <v>0.12</v>
      </c>
      <c r="AE31" s="14">
        <v>0.13</v>
      </c>
      <c r="AF31" s="14">
        <v>0.19</v>
      </c>
    </row>
    <row r="32" spans="1:32" ht="21.5" x14ac:dyDescent="0.35">
      <c r="A32" s="31"/>
      <c r="B32" s="11" t="s">
        <v>442</v>
      </c>
      <c r="C32" s="12">
        <v>5014</v>
      </c>
      <c r="D32" s="12">
        <v>227</v>
      </c>
      <c r="E32" s="12">
        <v>156</v>
      </c>
      <c r="F32" s="12">
        <v>189</v>
      </c>
      <c r="G32" s="12">
        <v>250</v>
      </c>
      <c r="H32" s="12">
        <v>262</v>
      </c>
      <c r="I32" s="12">
        <v>349</v>
      </c>
      <c r="J32" s="12">
        <v>86</v>
      </c>
      <c r="K32" s="12">
        <v>90</v>
      </c>
      <c r="L32" s="12">
        <v>148</v>
      </c>
      <c r="M32" s="12">
        <v>176</v>
      </c>
      <c r="N32" s="12">
        <v>100</v>
      </c>
      <c r="O32" s="12">
        <v>241</v>
      </c>
      <c r="P32" s="12">
        <v>166</v>
      </c>
      <c r="Q32" s="12">
        <v>197</v>
      </c>
      <c r="R32" s="12">
        <v>71</v>
      </c>
      <c r="S32" s="12">
        <v>89</v>
      </c>
      <c r="T32" s="12">
        <v>94</v>
      </c>
      <c r="U32" s="12">
        <v>92</v>
      </c>
      <c r="V32" s="12">
        <v>141</v>
      </c>
      <c r="W32" s="12">
        <v>86</v>
      </c>
      <c r="X32" s="12">
        <v>233</v>
      </c>
      <c r="Y32" s="12">
        <v>183</v>
      </c>
      <c r="Z32" s="12">
        <v>149</v>
      </c>
      <c r="AA32" s="12">
        <v>152</v>
      </c>
      <c r="AB32" s="12">
        <v>135</v>
      </c>
      <c r="AC32" s="12">
        <v>158</v>
      </c>
      <c r="AD32" s="12">
        <v>124</v>
      </c>
      <c r="AE32" s="12">
        <v>209</v>
      </c>
      <c r="AF32" s="12">
        <v>386</v>
      </c>
    </row>
    <row r="33" spans="1:32" ht="21.5" x14ac:dyDescent="0.35">
      <c r="A33" s="31"/>
      <c r="B33" s="13" t="s">
        <v>443</v>
      </c>
      <c r="C33" s="14">
        <v>0.19</v>
      </c>
      <c r="D33" s="14">
        <v>0.22</v>
      </c>
      <c r="E33" s="14">
        <v>0.15</v>
      </c>
      <c r="F33" s="14">
        <v>0.19</v>
      </c>
      <c r="G33" s="14">
        <v>0.25</v>
      </c>
      <c r="H33" s="14">
        <v>0.21</v>
      </c>
      <c r="I33" s="14">
        <v>0.23</v>
      </c>
      <c r="J33" s="14">
        <v>0.28999999999999998</v>
      </c>
      <c r="K33" s="14">
        <v>0.09</v>
      </c>
      <c r="L33" s="14">
        <v>0.15</v>
      </c>
      <c r="M33" s="14">
        <v>0.18</v>
      </c>
      <c r="N33" s="14">
        <v>0.1</v>
      </c>
      <c r="O33" s="14">
        <v>0.24</v>
      </c>
      <c r="P33" s="14">
        <v>0.17</v>
      </c>
      <c r="Q33" s="14">
        <v>0.19</v>
      </c>
      <c r="R33" s="14">
        <v>0.14000000000000001</v>
      </c>
      <c r="S33" s="14">
        <v>0.09</v>
      </c>
      <c r="T33" s="14">
        <v>0.09</v>
      </c>
      <c r="U33" s="14">
        <v>0.18</v>
      </c>
      <c r="V33" s="14">
        <v>0.14000000000000001</v>
      </c>
      <c r="W33" s="14">
        <v>0.17</v>
      </c>
      <c r="X33" s="14">
        <v>0.23</v>
      </c>
      <c r="Y33" s="14">
        <v>0.18</v>
      </c>
      <c r="Z33" s="14">
        <v>0.15</v>
      </c>
      <c r="AA33" s="14">
        <v>0.15</v>
      </c>
      <c r="AB33" s="14">
        <v>0.13</v>
      </c>
      <c r="AC33" s="14">
        <v>0.16</v>
      </c>
      <c r="AD33" s="14">
        <v>0.12</v>
      </c>
      <c r="AE33" s="14">
        <v>0.21</v>
      </c>
      <c r="AF33" s="14">
        <v>0.38</v>
      </c>
    </row>
    <row r="34" spans="1:32" ht="21.5" x14ac:dyDescent="0.35">
      <c r="A34" s="31"/>
      <c r="B34" s="11" t="s">
        <v>444</v>
      </c>
      <c r="C34" s="12">
        <v>5757</v>
      </c>
      <c r="D34" s="12">
        <v>208</v>
      </c>
      <c r="E34" s="12">
        <v>182</v>
      </c>
      <c r="F34" s="12">
        <v>175</v>
      </c>
      <c r="G34" s="12">
        <v>304</v>
      </c>
      <c r="H34" s="12">
        <v>424</v>
      </c>
      <c r="I34" s="12">
        <v>494</v>
      </c>
      <c r="J34" s="12">
        <v>71</v>
      </c>
      <c r="K34" s="12">
        <v>138</v>
      </c>
      <c r="L34" s="12">
        <v>137</v>
      </c>
      <c r="M34" s="12">
        <v>276</v>
      </c>
      <c r="N34" s="12">
        <v>205</v>
      </c>
      <c r="O34" s="12">
        <v>138</v>
      </c>
      <c r="P34" s="12">
        <v>181</v>
      </c>
      <c r="Q34" s="12">
        <v>192</v>
      </c>
      <c r="R34" s="12">
        <v>138</v>
      </c>
      <c r="S34" s="12">
        <v>163</v>
      </c>
      <c r="T34" s="12">
        <v>108</v>
      </c>
      <c r="U34" s="12">
        <v>127</v>
      </c>
      <c r="V34" s="12">
        <v>209</v>
      </c>
      <c r="W34" s="12">
        <v>140</v>
      </c>
      <c r="X34" s="12">
        <v>247</v>
      </c>
      <c r="Y34" s="12">
        <v>236</v>
      </c>
      <c r="Z34" s="12">
        <v>177</v>
      </c>
      <c r="AA34" s="12">
        <v>100</v>
      </c>
      <c r="AB34" s="12">
        <v>230</v>
      </c>
      <c r="AC34" s="12">
        <v>167</v>
      </c>
      <c r="AD34" s="12">
        <v>212</v>
      </c>
      <c r="AE34" s="12">
        <v>362</v>
      </c>
      <c r="AF34" s="12">
        <v>396</v>
      </c>
    </row>
    <row r="35" spans="1:32" ht="21.5" x14ac:dyDescent="0.35">
      <c r="A35" s="31"/>
      <c r="B35" s="13" t="s">
        <v>445</v>
      </c>
      <c r="C35" s="14">
        <v>0.22</v>
      </c>
      <c r="D35" s="14">
        <v>0.2</v>
      </c>
      <c r="E35" s="14">
        <v>0.18</v>
      </c>
      <c r="F35" s="14">
        <v>0.17</v>
      </c>
      <c r="G35" s="14">
        <v>0.3</v>
      </c>
      <c r="H35" s="14">
        <v>0.34</v>
      </c>
      <c r="I35" s="14">
        <v>0.32</v>
      </c>
      <c r="J35" s="14">
        <v>0.24</v>
      </c>
      <c r="K35" s="14">
        <v>0.14000000000000001</v>
      </c>
      <c r="L35" s="14">
        <v>0.14000000000000001</v>
      </c>
      <c r="M35" s="14">
        <v>0.28000000000000003</v>
      </c>
      <c r="N35" s="14">
        <v>0.21</v>
      </c>
      <c r="O35" s="14">
        <v>0.14000000000000001</v>
      </c>
      <c r="P35" s="14">
        <v>0.18</v>
      </c>
      <c r="Q35" s="14">
        <v>0.19</v>
      </c>
      <c r="R35" s="14">
        <v>0.28000000000000003</v>
      </c>
      <c r="S35" s="14">
        <v>0.16</v>
      </c>
      <c r="T35" s="14">
        <v>0.11</v>
      </c>
      <c r="U35" s="14">
        <v>0.25</v>
      </c>
      <c r="V35" s="14">
        <v>0.21</v>
      </c>
      <c r="W35" s="14">
        <v>0.28000000000000003</v>
      </c>
      <c r="X35" s="14">
        <v>0.24</v>
      </c>
      <c r="Y35" s="14">
        <v>0.24</v>
      </c>
      <c r="Z35" s="14">
        <v>0.17</v>
      </c>
      <c r="AA35" s="14">
        <v>0.1</v>
      </c>
      <c r="AB35" s="14">
        <v>0.22</v>
      </c>
      <c r="AC35" s="14">
        <v>0.17</v>
      </c>
      <c r="AD35" s="14">
        <v>0.21</v>
      </c>
      <c r="AE35" s="14">
        <v>0.36</v>
      </c>
      <c r="AF35" s="14">
        <v>0.39</v>
      </c>
    </row>
    <row r="36" spans="1:32" ht="21.5" x14ac:dyDescent="0.35">
      <c r="A36" s="31"/>
      <c r="B36" s="11" t="s">
        <v>446</v>
      </c>
      <c r="C36" s="12">
        <v>9039</v>
      </c>
      <c r="D36" s="12">
        <v>328</v>
      </c>
      <c r="E36" s="12">
        <v>222</v>
      </c>
      <c r="F36" s="12">
        <v>457</v>
      </c>
      <c r="G36" s="12">
        <v>588</v>
      </c>
      <c r="H36" s="12">
        <v>610</v>
      </c>
      <c r="I36" s="12">
        <v>715</v>
      </c>
      <c r="J36" s="12">
        <v>105</v>
      </c>
      <c r="K36" s="12">
        <v>427</v>
      </c>
      <c r="L36" s="12">
        <v>208</v>
      </c>
      <c r="M36" s="12">
        <v>258</v>
      </c>
      <c r="N36" s="12">
        <v>222</v>
      </c>
      <c r="O36" s="12">
        <v>276</v>
      </c>
      <c r="P36" s="12">
        <v>258</v>
      </c>
      <c r="Q36" s="12">
        <v>291</v>
      </c>
      <c r="R36" s="12">
        <v>164</v>
      </c>
      <c r="S36" s="12">
        <v>419</v>
      </c>
      <c r="T36" s="12">
        <v>512</v>
      </c>
      <c r="U36" s="12">
        <v>208</v>
      </c>
      <c r="V36" s="12">
        <v>280</v>
      </c>
      <c r="W36" s="12">
        <v>120</v>
      </c>
      <c r="X36" s="12">
        <v>567</v>
      </c>
      <c r="Y36" s="12">
        <v>282</v>
      </c>
      <c r="Z36" s="12">
        <v>427</v>
      </c>
      <c r="AA36" s="12">
        <v>218</v>
      </c>
      <c r="AB36" s="12">
        <v>247</v>
      </c>
      <c r="AC36" s="12">
        <v>240</v>
      </c>
      <c r="AD36" s="12">
        <v>293</v>
      </c>
      <c r="AE36" s="12">
        <v>511</v>
      </c>
      <c r="AF36" s="12">
        <v>439</v>
      </c>
    </row>
    <row r="37" spans="1:32" ht="21.5" x14ac:dyDescent="0.35">
      <c r="A37" s="31"/>
      <c r="B37" s="13" t="s">
        <v>447</v>
      </c>
      <c r="C37" s="14">
        <v>0.34</v>
      </c>
      <c r="D37" s="14">
        <v>0.32</v>
      </c>
      <c r="E37" s="14">
        <v>0.21</v>
      </c>
      <c r="F37" s="14">
        <v>0.45</v>
      </c>
      <c r="G37" s="14">
        <v>0.57999999999999996</v>
      </c>
      <c r="H37" s="14">
        <v>0.49</v>
      </c>
      <c r="I37" s="14">
        <v>0.47</v>
      </c>
      <c r="J37" s="14">
        <v>0.35</v>
      </c>
      <c r="K37" s="14">
        <v>0.42</v>
      </c>
      <c r="L37" s="14">
        <v>0.21</v>
      </c>
      <c r="M37" s="14">
        <v>0.26</v>
      </c>
      <c r="N37" s="14">
        <v>0.22</v>
      </c>
      <c r="O37" s="14">
        <v>0.28000000000000003</v>
      </c>
      <c r="P37" s="14">
        <v>0.26</v>
      </c>
      <c r="Q37" s="14">
        <v>0.28000000000000003</v>
      </c>
      <c r="R37" s="14">
        <v>0.33</v>
      </c>
      <c r="S37" s="14">
        <v>0.41</v>
      </c>
      <c r="T37" s="14">
        <v>0.5</v>
      </c>
      <c r="U37" s="14">
        <v>0.41</v>
      </c>
      <c r="V37" s="14">
        <v>0.28000000000000003</v>
      </c>
      <c r="W37" s="14">
        <v>0.24</v>
      </c>
      <c r="X37" s="14">
        <v>0.56000000000000005</v>
      </c>
      <c r="Y37" s="14">
        <v>0.28000000000000003</v>
      </c>
      <c r="Z37" s="14">
        <v>0.42</v>
      </c>
      <c r="AA37" s="14">
        <v>0.21</v>
      </c>
      <c r="AB37" s="14">
        <v>0.23</v>
      </c>
      <c r="AC37" s="14">
        <v>0.24</v>
      </c>
      <c r="AD37" s="14">
        <v>0.28999999999999998</v>
      </c>
      <c r="AE37" s="14">
        <v>0.51</v>
      </c>
      <c r="AF37" s="14">
        <v>0.43</v>
      </c>
    </row>
    <row r="38" spans="1:32" ht="21.5" x14ac:dyDescent="0.35">
      <c r="A38" s="31"/>
      <c r="B38" s="11" t="s">
        <v>448</v>
      </c>
      <c r="C38" s="12">
        <v>5297</v>
      </c>
      <c r="D38" s="12">
        <v>222</v>
      </c>
      <c r="E38" s="12">
        <v>245</v>
      </c>
      <c r="F38" s="12">
        <v>214</v>
      </c>
      <c r="G38" s="12">
        <v>160</v>
      </c>
      <c r="H38" s="12">
        <v>177</v>
      </c>
      <c r="I38" s="12">
        <v>232</v>
      </c>
      <c r="J38" s="12">
        <v>56</v>
      </c>
      <c r="K38" s="12">
        <v>257</v>
      </c>
      <c r="L38" s="12">
        <v>149</v>
      </c>
      <c r="M38" s="12">
        <v>149</v>
      </c>
      <c r="N38" s="12">
        <v>145</v>
      </c>
      <c r="O38" s="12">
        <v>221</v>
      </c>
      <c r="P38" s="12">
        <v>315</v>
      </c>
      <c r="Q38" s="12">
        <v>233</v>
      </c>
      <c r="R38" s="12">
        <v>55</v>
      </c>
      <c r="S38" s="12">
        <v>132</v>
      </c>
      <c r="T38" s="12">
        <v>168</v>
      </c>
      <c r="U38" s="12">
        <v>70</v>
      </c>
      <c r="V38" s="12">
        <v>295</v>
      </c>
      <c r="W38" s="12">
        <v>110</v>
      </c>
      <c r="X38" s="12">
        <v>214</v>
      </c>
      <c r="Y38" s="12">
        <v>205</v>
      </c>
      <c r="Z38" s="12">
        <v>218</v>
      </c>
      <c r="AA38" s="12">
        <v>125</v>
      </c>
      <c r="AB38" s="12">
        <v>309</v>
      </c>
      <c r="AC38" s="12">
        <v>384</v>
      </c>
      <c r="AD38" s="12">
        <v>318</v>
      </c>
      <c r="AE38" s="12">
        <v>259</v>
      </c>
      <c r="AF38" s="12">
        <v>265</v>
      </c>
    </row>
    <row r="39" spans="1:32" x14ac:dyDescent="0.35">
      <c r="A39" s="31"/>
      <c r="B39" s="13" t="s">
        <v>449</v>
      </c>
      <c r="C39" s="14">
        <v>0.2</v>
      </c>
      <c r="D39" s="14">
        <v>0.22</v>
      </c>
      <c r="E39" s="14">
        <v>0.24</v>
      </c>
      <c r="F39" s="14">
        <v>0.21</v>
      </c>
      <c r="G39" s="14">
        <v>0.16</v>
      </c>
      <c r="H39" s="14">
        <v>0.14000000000000001</v>
      </c>
      <c r="I39" s="14">
        <v>0.15</v>
      </c>
      <c r="J39" s="14">
        <v>0.19</v>
      </c>
      <c r="K39" s="14">
        <v>0.25</v>
      </c>
      <c r="L39" s="14">
        <v>0.15</v>
      </c>
      <c r="M39" s="14">
        <v>0.15</v>
      </c>
      <c r="N39" s="14">
        <v>0.14000000000000001</v>
      </c>
      <c r="O39" s="14">
        <v>0.22</v>
      </c>
      <c r="P39" s="14">
        <v>0.31</v>
      </c>
      <c r="Q39" s="14">
        <v>0.22</v>
      </c>
      <c r="R39" s="14">
        <v>0.11</v>
      </c>
      <c r="S39" s="14">
        <v>0.13</v>
      </c>
      <c r="T39" s="14">
        <v>0.16</v>
      </c>
      <c r="U39" s="14">
        <v>0.14000000000000001</v>
      </c>
      <c r="V39" s="14">
        <v>0.28999999999999998</v>
      </c>
      <c r="W39" s="14">
        <v>0.22</v>
      </c>
      <c r="X39" s="14">
        <v>0.21</v>
      </c>
      <c r="Y39" s="14">
        <v>0.2</v>
      </c>
      <c r="Z39" s="14">
        <v>0.21</v>
      </c>
      <c r="AA39" s="14">
        <v>0.12</v>
      </c>
      <c r="AB39" s="14">
        <v>0.28999999999999998</v>
      </c>
      <c r="AC39" s="14">
        <v>0.38</v>
      </c>
      <c r="AD39" s="14">
        <v>0.32</v>
      </c>
      <c r="AE39" s="14">
        <v>0.26</v>
      </c>
      <c r="AF39" s="14">
        <v>0.26</v>
      </c>
    </row>
    <row r="40" spans="1:32" ht="21.5" x14ac:dyDescent="0.35">
      <c r="A40" s="31"/>
      <c r="B40" s="11" t="s">
        <v>456</v>
      </c>
      <c r="C40" s="12">
        <v>2830</v>
      </c>
      <c r="D40" s="12">
        <v>128</v>
      </c>
      <c r="E40" s="12">
        <v>63</v>
      </c>
      <c r="F40" s="12">
        <v>84</v>
      </c>
      <c r="G40" s="12">
        <v>113</v>
      </c>
      <c r="H40" s="12">
        <v>88</v>
      </c>
      <c r="I40" s="12">
        <v>110</v>
      </c>
      <c r="J40" s="12">
        <v>21</v>
      </c>
      <c r="K40" s="12">
        <v>62</v>
      </c>
      <c r="L40" s="12">
        <v>105</v>
      </c>
      <c r="M40" s="12">
        <v>95</v>
      </c>
      <c r="N40" s="12">
        <v>91</v>
      </c>
      <c r="O40" s="12">
        <v>104</v>
      </c>
      <c r="P40" s="12">
        <v>142</v>
      </c>
      <c r="Q40" s="12">
        <v>160</v>
      </c>
      <c r="R40" s="12">
        <v>27</v>
      </c>
      <c r="S40" s="12">
        <v>30</v>
      </c>
      <c r="T40" s="12">
        <v>48</v>
      </c>
      <c r="U40" s="12">
        <v>57</v>
      </c>
      <c r="V40" s="12">
        <v>116</v>
      </c>
      <c r="W40" s="12">
        <v>50</v>
      </c>
      <c r="X40" s="12">
        <v>109</v>
      </c>
      <c r="Y40" s="12">
        <v>174</v>
      </c>
      <c r="Z40" s="12">
        <v>106</v>
      </c>
      <c r="AA40" s="12">
        <v>121</v>
      </c>
      <c r="AB40" s="12">
        <v>91</v>
      </c>
      <c r="AC40" s="12">
        <v>56</v>
      </c>
      <c r="AD40" s="12">
        <v>93</v>
      </c>
      <c r="AE40" s="12">
        <v>146</v>
      </c>
      <c r="AF40" s="12">
        <v>263</v>
      </c>
    </row>
    <row r="41" spans="1:32" ht="21.5" x14ac:dyDescent="0.35">
      <c r="A41" s="31"/>
      <c r="B41" s="13" t="s">
        <v>451</v>
      </c>
      <c r="C41" s="14">
        <v>0.11</v>
      </c>
      <c r="D41" s="14">
        <v>0.12</v>
      </c>
      <c r="E41" s="14">
        <v>0.06</v>
      </c>
      <c r="F41" s="14">
        <v>0.08</v>
      </c>
      <c r="G41" s="14">
        <v>0.11</v>
      </c>
      <c r="H41" s="14">
        <v>7.0000000000000007E-2</v>
      </c>
      <c r="I41" s="14">
        <v>7.0000000000000007E-2</v>
      </c>
      <c r="J41" s="14">
        <v>7.0000000000000007E-2</v>
      </c>
      <c r="K41" s="14">
        <v>0.06</v>
      </c>
      <c r="L41" s="14">
        <v>0.1</v>
      </c>
      <c r="M41" s="14">
        <v>0.09</v>
      </c>
      <c r="N41" s="14">
        <v>0.09</v>
      </c>
      <c r="O41" s="14">
        <v>0.1</v>
      </c>
      <c r="P41" s="14">
        <v>0.14000000000000001</v>
      </c>
      <c r="Q41" s="14">
        <v>0.16</v>
      </c>
      <c r="R41" s="14">
        <v>0.05</v>
      </c>
      <c r="S41" s="14">
        <v>0.03</v>
      </c>
      <c r="T41" s="14">
        <v>0.05</v>
      </c>
      <c r="U41" s="14">
        <v>0.11</v>
      </c>
      <c r="V41" s="14">
        <v>0.11</v>
      </c>
      <c r="W41" s="14">
        <v>0.1</v>
      </c>
      <c r="X41" s="14">
        <v>0.11</v>
      </c>
      <c r="Y41" s="14">
        <v>0.17</v>
      </c>
      <c r="Z41" s="14">
        <v>0.1</v>
      </c>
      <c r="AA41" s="14">
        <v>0.12</v>
      </c>
      <c r="AB41" s="14">
        <v>0.09</v>
      </c>
      <c r="AC41" s="14">
        <v>0.06</v>
      </c>
      <c r="AD41" s="14">
        <v>0.09</v>
      </c>
      <c r="AE41" s="14">
        <v>0.15</v>
      </c>
      <c r="AF41" s="14">
        <v>0.26</v>
      </c>
    </row>
    <row r="42" spans="1:32" x14ac:dyDescent="0.35">
      <c r="A42" s="31"/>
      <c r="B42" s="11" t="s">
        <v>407</v>
      </c>
      <c r="C42" s="12">
        <v>123</v>
      </c>
      <c r="D42" s="12">
        <v>3</v>
      </c>
      <c r="E42" s="12">
        <v>6</v>
      </c>
      <c r="F42" s="12">
        <v>1</v>
      </c>
      <c r="G42" s="12">
        <v>2</v>
      </c>
      <c r="H42" s="12">
        <v>5</v>
      </c>
      <c r="I42" s="12">
        <v>5</v>
      </c>
      <c r="J42" s="12">
        <v>0</v>
      </c>
      <c r="K42" s="12">
        <v>15</v>
      </c>
      <c r="L42" s="12">
        <v>4</v>
      </c>
      <c r="M42" s="12">
        <v>4</v>
      </c>
      <c r="N42" s="12">
        <v>5</v>
      </c>
      <c r="O42" s="12">
        <v>14</v>
      </c>
      <c r="P42" s="12">
        <v>3</v>
      </c>
      <c r="Q42" s="12">
        <v>0</v>
      </c>
      <c r="R42" s="12">
        <v>3</v>
      </c>
      <c r="S42" s="12">
        <v>10</v>
      </c>
      <c r="T42" s="12">
        <v>1</v>
      </c>
      <c r="U42" s="12">
        <v>5</v>
      </c>
      <c r="V42" s="12">
        <v>0</v>
      </c>
      <c r="W42" s="12">
        <v>1</v>
      </c>
      <c r="X42" s="12">
        <v>9</v>
      </c>
      <c r="Y42" s="12">
        <v>4</v>
      </c>
      <c r="Z42" s="12">
        <v>1</v>
      </c>
      <c r="AA42" s="12">
        <v>1</v>
      </c>
      <c r="AB42" s="12">
        <v>5</v>
      </c>
      <c r="AC42" s="12">
        <v>4</v>
      </c>
      <c r="AD42" s="12">
        <v>0</v>
      </c>
      <c r="AE42" s="12">
        <v>4</v>
      </c>
      <c r="AF42" s="12">
        <v>6</v>
      </c>
    </row>
    <row r="43" spans="1:32" x14ac:dyDescent="0.35">
      <c r="A43" s="31"/>
      <c r="B43" s="13" t="s">
        <v>408</v>
      </c>
      <c r="C43" s="15" t="s">
        <v>333</v>
      </c>
      <c r="D43" s="15" t="s">
        <v>333</v>
      </c>
      <c r="E43" s="14">
        <v>0.01</v>
      </c>
      <c r="F43" s="15" t="s">
        <v>333</v>
      </c>
      <c r="G43" s="15" t="s">
        <v>333</v>
      </c>
      <c r="H43" s="15" t="s">
        <v>333</v>
      </c>
      <c r="I43" s="15" t="s">
        <v>333</v>
      </c>
      <c r="J43" s="15" t="s">
        <v>333</v>
      </c>
      <c r="K43" s="14">
        <v>0.01</v>
      </c>
      <c r="L43" s="15" t="s">
        <v>333</v>
      </c>
      <c r="M43" s="15" t="s">
        <v>333</v>
      </c>
      <c r="N43" s="15" t="s">
        <v>333</v>
      </c>
      <c r="O43" s="14">
        <v>0.01</v>
      </c>
      <c r="P43" s="15" t="s">
        <v>333</v>
      </c>
      <c r="Q43" s="15" t="s">
        <v>333</v>
      </c>
      <c r="R43" s="14">
        <v>0.01</v>
      </c>
      <c r="S43" s="14">
        <v>0.01</v>
      </c>
      <c r="T43" s="15" t="s">
        <v>333</v>
      </c>
      <c r="U43" s="14">
        <v>0.01</v>
      </c>
      <c r="V43" s="15" t="s">
        <v>333</v>
      </c>
      <c r="W43" s="15" t="s">
        <v>333</v>
      </c>
      <c r="X43" s="14">
        <v>0.01</v>
      </c>
      <c r="Y43" s="15" t="s">
        <v>333</v>
      </c>
      <c r="Z43" s="15" t="s">
        <v>333</v>
      </c>
      <c r="AA43" s="15" t="s">
        <v>333</v>
      </c>
      <c r="AB43" s="15" t="s">
        <v>333</v>
      </c>
      <c r="AC43" s="15" t="s">
        <v>333</v>
      </c>
      <c r="AD43" s="15" t="s">
        <v>333</v>
      </c>
      <c r="AE43" s="15" t="s">
        <v>333</v>
      </c>
      <c r="AF43" s="14">
        <v>0.01</v>
      </c>
    </row>
    <row r="44" spans="1:32" x14ac:dyDescent="0.35">
      <c r="A44" s="31"/>
      <c r="B44" s="11" t="s">
        <v>452</v>
      </c>
      <c r="C44" s="12">
        <v>130</v>
      </c>
      <c r="D44" s="12">
        <v>3</v>
      </c>
      <c r="E44" s="12">
        <v>6</v>
      </c>
      <c r="F44" s="12">
        <v>2</v>
      </c>
      <c r="G44" s="12">
        <v>2</v>
      </c>
      <c r="H44" s="12">
        <v>8</v>
      </c>
      <c r="I44" s="12">
        <v>8</v>
      </c>
      <c r="J44" s="12">
        <v>0</v>
      </c>
      <c r="K44" s="12">
        <v>7</v>
      </c>
      <c r="L44" s="12">
        <v>1</v>
      </c>
      <c r="M44" s="12">
        <v>6</v>
      </c>
      <c r="N44" s="12">
        <v>4</v>
      </c>
      <c r="O44" s="12">
        <v>7</v>
      </c>
      <c r="P44" s="12">
        <v>4</v>
      </c>
      <c r="Q44" s="12">
        <v>7</v>
      </c>
      <c r="R44" s="12">
        <v>7</v>
      </c>
      <c r="S44" s="12">
        <v>2</v>
      </c>
      <c r="T44" s="12">
        <v>3</v>
      </c>
      <c r="U44" s="12">
        <v>2</v>
      </c>
      <c r="V44" s="12">
        <v>1</v>
      </c>
      <c r="W44" s="12">
        <v>0</v>
      </c>
      <c r="X44" s="12">
        <v>8</v>
      </c>
      <c r="Y44" s="12">
        <v>1</v>
      </c>
      <c r="Z44" s="12">
        <v>5</v>
      </c>
      <c r="AA44" s="12">
        <v>3</v>
      </c>
      <c r="AB44" s="12">
        <v>3</v>
      </c>
      <c r="AC44" s="12">
        <v>3</v>
      </c>
      <c r="AD44" s="12">
        <v>2</v>
      </c>
      <c r="AE44" s="12">
        <v>4</v>
      </c>
      <c r="AF44" s="12">
        <v>1</v>
      </c>
    </row>
    <row r="45" spans="1:32" x14ac:dyDescent="0.35">
      <c r="A45" s="31"/>
      <c r="B45" s="13" t="s">
        <v>453</v>
      </c>
      <c r="C45" s="15" t="s">
        <v>333</v>
      </c>
      <c r="D45" s="15" t="s">
        <v>333</v>
      </c>
      <c r="E45" s="14">
        <v>0.01</v>
      </c>
      <c r="F45" s="15" t="s">
        <v>333</v>
      </c>
      <c r="G45" s="15" t="s">
        <v>333</v>
      </c>
      <c r="H45" s="14">
        <v>0.01</v>
      </c>
      <c r="I45" s="14">
        <v>0.01</v>
      </c>
      <c r="J45" s="15" t="s">
        <v>333</v>
      </c>
      <c r="K45" s="14">
        <v>0.01</v>
      </c>
      <c r="L45" s="15" t="s">
        <v>333</v>
      </c>
      <c r="M45" s="14">
        <v>0.01</v>
      </c>
      <c r="N45" s="15" t="s">
        <v>333</v>
      </c>
      <c r="O45" s="14">
        <v>0.01</v>
      </c>
      <c r="P45" s="15" t="s">
        <v>333</v>
      </c>
      <c r="Q45" s="14">
        <v>0.01</v>
      </c>
      <c r="R45" s="14">
        <v>0.01</v>
      </c>
      <c r="S45" s="15" t="s">
        <v>333</v>
      </c>
      <c r="T45" s="15" t="s">
        <v>333</v>
      </c>
      <c r="U45" s="15" t="s">
        <v>333</v>
      </c>
      <c r="V45" s="15" t="s">
        <v>333</v>
      </c>
      <c r="W45" s="15" t="s">
        <v>333</v>
      </c>
      <c r="X45" s="14">
        <v>0.01</v>
      </c>
      <c r="Y45" s="15" t="s">
        <v>333</v>
      </c>
      <c r="Z45" s="14">
        <v>0.01</v>
      </c>
      <c r="AA45" s="15" t="s">
        <v>333</v>
      </c>
      <c r="AB45" s="15" t="s">
        <v>333</v>
      </c>
      <c r="AC45" s="15" t="s">
        <v>333</v>
      </c>
      <c r="AD45" s="15" t="s">
        <v>333</v>
      </c>
      <c r="AE45" s="15" t="s">
        <v>333</v>
      </c>
      <c r="AF45" s="15" t="s">
        <v>333</v>
      </c>
    </row>
    <row r="46" spans="1:32" x14ac:dyDescent="0.35">
      <c r="A46" s="31"/>
      <c r="B46" s="11" t="s">
        <v>344</v>
      </c>
      <c r="C46" s="12">
        <v>121</v>
      </c>
      <c r="D46" s="12">
        <v>5</v>
      </c>
      <c r="E46" s="12">
        <v>9</v>
      </c>
      <c r="F46" s="12">
        <v>8</v>
      </c>
      <c r="G46" s="12">
        <v>8</v>
      </c>
      <c r="H46" s="12">
        <v>4</v>
      </c>
      <c r="I46" s="12">
        <v>5</v>
      </c>
      <c r="J46" s="12">
        <v>1</v>
      </c>
      <c r="K46" s="12">
        <v>5</v>
      </c>
      <c r="L46" s="12">
        <v>3</v>
      </c>
      <c r="M46" s="12">
        <v>2</v>
      </c>
      <c r="N46" s="12">
        <v>4</v>
      </c>
      <c r="O46" s="12">
        <v>4</v>
      </c>
      <c r="P46" s="12">
        <v>6</v>
      </c>
      <c r="Q46" s="12">
        <v>7</v>
      </c>
      <c r="R46" s="12">
        <v>5</v>
      </c>
      <c r="S46" s="12">
        <v>2</v>
      </c>
      <c r="T46" s="12">
        <v>8</v>
      </c>
      <c r="U46" s="12">
        <v>4</v>
      </c>
      <c r="V46" s="12">
        <v>3</v>
      </c>
      <c r="W46" s="12">
        <v>0</v>
      </c>
      <c r="X46" s="12">
        <v>2</v>
      </c>
      <c r="Y46" s="12">
        <v>4</v>
      </c>
      <c r="Z46" s="12">
        <v>4</v>
      </c>
      <c r="AA46" s="12">
        <v>9</v>
      </c>
      <c r="AB46" s="12">
        <v>13</v>
      </c>
      <c r="AC46" s="12">
        <v>2</v>
      </c>
      <c r="AD46" s="12">
        <v>1</v>
      </c>
      <c r="AE46" s="12">
        <v>6</v>
      </c>
      <c r="AF46" s="12">
        <v>1</v>
      </c>
    </row>
    <row r="47" spans="1:32" x14ac:dyDescent="0.35">
      <c r="A47" s="31"/>
      <c r="B47" s="13" t="s">
        <v>357</v>
      </c>
      <c r="C47" s="15" t="s">
        <v>333</v>
      </c>
      <c r="D47" s="14">
        <v>0.01</v>
      </c>
      <c r="E47" s="14">
        <v>0.01</v>
      </c>
      <c r="F47" s="14">
        <v>0.01</v>
      </c>
      <c r="G47" s="14">
        <v>0.01</v>
      </c>
      <c r="H47" s="15" t="s">
        <v>333</v>
      </c>
      <c r="I47" s="15" t="s">
        <v>333</v>
      </c>
      <c r="J47" s="15" t="s">
        <v>333</v>
      </c>
      <c r="K47" s="14">
        <v>0.01</v>
      </c>
      <c r="L47" s="15" t="s">
        <v>333</v>
      </c>
      <c r="M47" s="15" t="s">
        <v>333</v>
      </c>
      <c r="N47" s="15" t="s">
        <v>333</v>
      </c>
      <c r="O47" s="15" t="s">
        <v>333</v>
      </c>
      <c r="P47" s="14">
        <v>0.01</v>
      </c>
      <c r="Q47" s="14">
        <v>0.01</v>
      </c>
      <c r="R47" s="14">
        <v>0.01</v>
      </c>
      <c r="S47" s="15" t="s">
        <v>333</v>
      </c>
      <c r="T47" s="14">
        <v>0.01</v>
      </c>
      <c r="U47" s="14">
        <v>0.01</v>
      </c>
      <c r="V47" s="15" t="s">
        <v>333</v>
      </c>
      <c r="W47" s="15" t="s">
        <v>333</v>
      </c>
      <c r="X47" s="15" t="s">
        <v>333</v>
      </c>
      <c r="Y47" s="15" t="s">
        <v>333</v>
      </c>
      <c r="Z47" s="15" t="s">
        <v>333</v>
      </c>
      <c r="AA47" s="14">
        <v>0.01</v>
      </c>
      <c r="AB47" s="14">
        <v>0.01</v>
      </c>
      <c r="AC47" s="15" t="s">
        <v>333</v>
      </c>
      <c r="AD47" s="15" t="s">
        <v>333</v>
      </c>
      <c r="AE47" s="14">
        <v>0.01</v>
      </c>
      <c r="AF47" s="15" t="s">
        <v>333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37</v>
      </c>
      <c r="C3" s="30"/>
      <c r="D3" s="30"/>
      <c r="E3" s="30"/>
      <c r="F3" s="30"/>
      <c r="H3" s="30" t="s">
        <v>38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457</v>
      </c>
      <c r="C12" s="12">
        <v>953</v>
      </c>
      <c r="D12" s="12">
        <v>63</v>
      </c>
      <c r="E12" s="12">
        <v>17</v>
      </c>
      <c r="F12" s="12">
        <v>12</v>
      </c>
      <c r="G12" s="12">
        <v>14</v>
      </c>
      <c r="H12" s="12">
        <v>18</v>
      </c>
      <c r="I12" s="12">
        <v>26</v>
      </c>
      <c r="J12" s="12">
        <v>8</v>
      </c>
      <c r="K12" s="12">
        <v>24</v>
      </c>
      <c r="L12" s="12">
        <v>65</v>
      </c>
      <c r="M12" s="12">
        <v>17</v>
      </c>
      <c r="N12" s="12">
        <v>60</v>
      </c>
      <c r="O12" s="12">
        <v>40</v>
      </c>
      <c r="P12" s="12">
        <v>40</v>
      </c>
      <c r="Q12" s="12">
        <v>51</v>
      </c>
      <c r="R12" s="12">
        <v>15</v>
      </c>
      <c r="S12" s="12">
        <v>12</v>
      </c>
      <c r="T12" s="12">
        <v>18</v>
      </c>
      <c r="U12" s="12">
        <v>14</v>
      </c>
      <c r="V12" s="12">
        <v>24</v>
      </c>
      <c r="W12" s="12">
        <v>13</v>
      </c>
      <c r="X12" s="12">
        <v>50</v>
      </c>
      <c r="Y12" s="12">
        <v>53</v>
      </c>
      <c r="Z12" s="12">
        <v>29</v>
      </c>
      <c r="AA12" s="12">
        <v>57</v>
      </c>
      <c r="AB12" s="12">
        <v>17</v>
      </c>
      <c r="AC12" s="12">
        <v>38</v>
      </c>
      <c r="AD12" s="12">
        <v>21</v>
      </c>
      <c r="AE12" s="12">
        <v>32</v>
      </c>
      <c r="AF12" s="12">
        <v>40</v>
      </c>
    </row>
    <row r="13" spans="1:32" ht="21.5" x14ac:dyDescent="0.35">
      <c r="A13" s="31"/>
      <c r="B13" s="13" t="s">
        <v>458</v>
      </c>
      <c r="C13" s="14">
        <v>0.04</v>
      </c>
      <c r="D13" s="14">
        <v>0.06</v>
      </c>
      <c r="E13" s="14">
        <v>0.02</v>
      </c>
      <c r="F13" s="14">
        <v>0.01</v>
      </c>
      <c r="G13" s="14">
        <v>0.01</v>
      </c>
      <c r="H13" s="14">
        <v>0.01</v>
      </c>
      <c r="I13" s="14">
        <v>0.02</v>
      </c>
      <c r="J13" s="14">
        <v>0.03</v>
      </c>
      <c r="K13" s="14">
        <v>0.02</v>
      </c>
      <c r="L13" s="14">
        <v>0.06</v>
      </c>
      <c r="M13" s="14">
        <v>0.02</v>
      </c>
      <c r="N13" s="14">
        <v>0.06</v>
      </c>
      <c r="O13" s="14">
        <v>0.04</v>
      </c>
      <c r="P13" s="14">
        <v>0.04</v>
      </c>
      <c r="Q13" s="14">
        <v>0.05</v>
      </c>
      <c r="R13" s="14">
        <v>0.03</v>
      </c>
      <c r="S13" s="14">
        <v>0.01</v>
      </c>
      <c r="T13" s="14">
        <v>0.02</v>
      </c>
      <c r="U13" s="14">
        <v>0.03</v>
      </c>
      <c r="V13" s="14">
        <v>0.02</v>
      </c>
      <c r="W13" s="14">
        <v>0.02</v>
      </c>
      <c r="X13" s="14">
        <v>0.05</v>
      </c>
      <c r="Y13" s="14">
        <v>0.05</v>
      </c>
      <c r="Z13" s="14">
        <v>0.03</v>
      </c>
      <c r="AA13" s="14">
        <v>0.05</v>
      </c>
      <c r="AB13" s="14">
        <v>0.02</v>
      </c>
      <c r="AC13" s="14">
        <v>0.04</v>
      </c>
      <c r="AD13" s="14">
        <v>0.02</v>
      </c>
      <c r="AE13" s="14">
        <v>0.03</v>
      </c>
      <c r="AF13" s="14">
        <v>0.04</v>
      </c>
    </row>
    <row r="14" spans="1:32" ht="31.5" x14ac:dyDescent="0.35">
      <c r="A14" s="31"/>
      <c r="B14" s="11" t="s">
        <v>459</v>
      </c>
      <c r="C14" s="12">
        <v>960</v>
      </c>
      <c r="D14" s="12">
        <v>48</v>
      </c>
      <c r="E14" s="12">
        <v>35</v>
      </c>
      <c r="F14" s="12">
        <v>23</v>
      </c>
      <c r="G14" s="12">
        <v>14</v>
      </c>
      <c r="H14" s="12">
        <v>23</v>
      </c>
      <c r="I14" s="12">
        <v>26</v>
      </c>
      <c r="J14" s="12">
        <v>4</v>
      </c>
      <c r="K14" s="12">
        <v>15</v>
      </c>
      <c r="L14" s="12">
        <v>41</v>
      </c>
      <c r="M14" s="12">
        <v>40</v>
      </c>
      <c r="N14" s="12">
        <v>35</v>
      </c>
      <c r="O14" s="12">
        <v>48</v>
      </c>
      <c r="P14" s="12">
        <v>40</v>
      </c>
      <c r="Q14" s="12">
        <v>51</v>
      </c>
      <c r="R14" s="12">
        <v>13</v>
      </c>
      <c r="S14" s="12">
        <v>30</v>
      </c>
      <c r="T14" s="12">
        <v>24</v>
      </c>
      <c r="U14" s="12">
        <v>27</v>
      </c>
      <c r="V14" s="12">
        <v>47</v>
      </c>
      <c r="W14" s="12">
        <v>39</v>
      </c>
      <c r="X14" s="12">
        <v>42</v>
      </c>
      <c r="Y14" s="12">
        <v>44</v>
      </c>
      <c r="Z14" s="12">
        <v>43</v>
      </c>
      <c r="AA14" s="12">
        <v>41</v>
      </c>
      <c r="AB14" s="12">
        <v>41</v>
      </c>
      <c r="AC14" s="12">
        <v>24</v>
      </c>
      <c r="AD14" s="12">
        <v>31</v>
      </c>
      <c r="AE14" s="12">
        <v>23</v>
      </c>
      <c r="AF14" s="12">
        <v>17</v>
      </c>
    </row>
    <row r="15" spans="1:32" ht="31.5" x14ac:dyDescent="0.35">
      <c r="A15" s="31"/>
      <c r="B15" s="13" t="s">
        <v>460</v>
      </c>
      <c r="C15" s="14">
        <v>0.04</v>
      </c>
      <c r="D15" s="14">
        <v>0.05</v>
      </c>
      <c r="E15" s="14">
        <v>0.03</v>
      </c>
      <c r="F15" s="14">
        <v>0.02</v>
      </c>
      <c r="G15" s="14">
        <v>0.01</v>
      </c>
      <c r="H15" s="14">
        <v>0.02</v>
      </c>
      <c r="I15" s="14">
        <v>0.02</v>
      </c>
      <c r="J15" s="14">
        <v>0.01</v>
      </c>
      <c r="K15" s="14">
        <v>0.01</v>
      </c>
      <c r="L15" s="14">
        <v>0.04</v>
      </c>
      <c r="M15" s="14">
        <v>0.04</v>
      </c>
      <c r="N15" s="14">
        <v>0.04</v>
      </c>
      <c r="O15" s="14">
        <v>0.05</v>
      </c>
      <c r="P15" s="14">
        <v>0.04</v>
      </c>
      <c r="Q15" s="14">
        <v>0.05</v>
      </c>
      <c r="R15" s="14">
        <v>0.03</v>
      </c>
      <c r="S15" s="14">
        <v>0.03</v>
      </c>
      <c r="T15" s="14">
        <v>0.02</v>
      </c>
      <c r="U15" s="14">
        <v>0.05</v>
      </c>
      <c r="V15" s="14">
        <v>0.05</v>
      </c>
      <c r="W15" s="14">
        <v>0.08</v>
      </c>
      <c r="X15" s="14">
        <v>0.04</v>
      </c>
      <c r="Y15" s="14">
        <v>0.04</v>
      </c>
      <c r="Z15" s="14">
        <v>0.04</v>
      </c>
      <c r="AA15" s="14">
        <v>0.04</v>
      </c>
      <c r="AB15" s="14">
        <v>0.04</v>
      </c>
      <c r="AC15" s="14">
        <v>0.02</v>
      </c>
      <c r="AD15" s="14">
        <v>0.03</v>
      </c>
      <c r="AE15" s="14">
        <v>0.02</v>
      </c>
      <c r="AF15" s="14">
        <v>0.02</v>
      </c>
    </row>
    <row r="16" spans="1:32" ht="31.5" x14ac:dyDescent="0.35">
      <c r="A16" s="31"/>
      <c r="B16" s="11" t="s">
        <v>461</v>
      </c>
      <c r="C16" s="12">
        <v>1022</v>
      </c>
      <c r="D16" s="12">
        <v>58</v>
      </c>
      <c r="E16" s="12">
        <v>44</v>
      </c>
      <c r="F16" s="12">
        <v>21</v>
      </c>
      <c r="G16" s="12">
        <v>44</v>
      </c>
      <c r="H16" s="12">
        <v>39</v>
      </c>
      <c r="I16" s="12">
        <v>49</v>
      </c>
      <c r="J16" s="12">
        <v>9</v>
      </c>
      <c r="K16" s="12">
        <v>39</v>
      </c>
      <c r="L16" s="12">
        <v>21</v>
      </c>
      <c r="M16" s="12">
        <v>15</v>
      </c>
      <c r="N16" s="12">
        <v>43</v>
      </c>
      <c r="O16" s="12">
        <v>40</v>
      </c>
      <c r="P16" s="12">
        <v>50</v>
      </c>
      <c r="Q16" s="12">
        <v>45</v>
      </c>
      <c r="R16" s="12">
        <v>5</v>
      </c>
      <c r="S16" s="12">
        <v>18</v>
      </c>
      <c r="T16" s="12">
        <v>41</v>
      </c>
      <c r="U16" s="12">
        <v>14</v>
      </c>
      <c r="V16" s="12">
        <v>39</v>
      </c>
      <c r="W16" s="12">
        <v>13</v>
      </c>
      <c r="X16" s="12">
        <v>38</v>
      </c>
      <c r="Y16" s="12">
        <v>31</v>
      </c>
      <c r="Z16" s="12">
        <v>48</v>
      </c>
      <c r="AA16" s="12">
        <v>41</v>
      </c>
      <c r="AB16" s="12">
        <v>47</v>
      </c>
      <c r="AC16" s="12">
        <v>59</v>
      </c>
      <c r="AD16" s="12">
        <v>38</v>
      </c>
      <c r="AE16" s="12">
        <v>41</v>
      </c>
      <c r="AF16" s="12">
        <v>32</v>
      </c>
    </row>
    <row r="17" spans="1:32" ht="21.5" x14ac:dyDescent="0.35">
      <c r="A17" s="31"/>
      <c r="B17" s="13" t="s">
        <v>462</v>
      </c>
      <c r="C17" s="14">
        <v>0.04</v>
      </c>
      <c r="D17" s="14">
        <v>0.06</v>
      </c>
      <c r="E17" s="14">
        <v>0.04</v>
      </c>
      <c r="F17" s="14">
        <v>0.02</v>
      </c>
      <c r="G17" s="14">
        <v>0.04</v>
      </c>
      <c r="H17" s="14">
        <v>0.03</v>
      </c>
      <c r="I17" s="14">
        <v>0.03</v>
      </c>
      <c r="J17" s="14">
        <v>0.03</v>
      </c>
      <c r="K17" s="14">
        <v>0.04</v>
      </c>
      <c r="L17" s="14">
        <v>0.02</v>
      </c>
      <c r="M17" s="14">
        <v>0.02</v>
      </c>
      <c r="N17" s="14">
        <v>0.04</v>
      </c>
      <c r="O17" s="14">
        <v>0.04</v>
      </c>
      <c r="P17" s="14">
        <v>0.05</v>
      </c>
      <c r="Q17" s="14">
        <v>0.04</v>
      </c>
      <c r="R17" s="14">
        <v>0.01</v>
      </c>
      <c r="S17" s="14">
        <v>0.02</v>
      </c>
      <c r="T17" s="14">
        <v>0.04</v>
      </c>
      <c r="U17" s="14">
        <v>0.03</v>
      </c>
      <c r="V17" s="14">
        <v>0.04</v>
      </c>
      <c r="W17" s="14">
        <v>0.03</v>
      </c>
      <c r="X17" s="14">
        <v>0.04</v>
      </c>
      <c r="Y17" s="14">
        <v>0.03</v>
      </c>
      <c r="Z17" s="14">
        <v>0.05</v>
      </c>
      <c r="AA17" s="14">
        <v>0.04</v>
      </c>
      <c r="AB17" s="14">
        <v>0.04</v>
      </c>
      <c r="AC17" s="14">
        <v>0.06</v>
      </c>
      <c r="AD17" s="14">
        <v>0.04</v>
      </c>
      <c r="AE17" s="14">
        <v>0.04</v>
      </c>
      <c r="AF17" s="14">
        <v>0.03</v>
      </c>
    </row>
    <row r="18" spans="1:32" ht="31.5" x14ac:dyDescent="0.35">
      <c r="A18" s="31"/>
      <c r="B18" s="11" t="s">
        <v>463</v>
      </c>
      <c r="C18" s="12">
        <v>1703</v>
      </c>
      <c r="D18" s="12">
        <v>78</v>
      </c>
      <c r="E18" s="12">
        <v>72</v>
      </c>
      <c r="F18" s="12">
        <v>74</v>
      </c>
      <c r="G18" s="12">
        <v>67</v>
      </c>
      <c r="H18" s="12">
        <v>52</v>
      </c>
      <c r="I18" s="12">
        <v>69</v>
      </c>
      <c r="J18" s="12">
        <v>17</v>
      </c>
      <c r="K18" s="12">
        <v>53</v>
      </c>
      <c r="L18" s="12">
        <v>68</v>
      </c>
      <c r="M18" s="12">
        <v>68</v>
      </c>
      <c r="N18" s="12">
        <v>63</v>
      </c>
      <c r="O18" s="12">
        <v>64</v>
      </c>
      <c r="P18" s="12">
        <v>60</v>
      </c>
      <c r="Q18" s="12">
        <v>87</v>
      </c>
      <c r="R18" s="12">
        <v>41</v>
      </c>
      <c r="S18" s="12">
        <v>50</v>
      </c>
      <c r="T18" s="12">
        <v>66</v>
      </c>
      <c r="U18" s="12">
        <v>33</v>
      </c>
      <c r="V18" s="12">
        <v>36</v>
      </c>
      <c r="W18" s="12">
        <v>14</v>
      </c>
      <c r="X18" s="12">
        <v>77</v>
      </c>
      <c r="Y18" s="12">
        <v>53</v>
      </c>
      <c r="Z18" s="12">
        <v>65</v>
      </c>
      <c r="AA18" s="12">
        <v>61</v>
      </c>
      <c r="AB18" s="12">
        <v>105</v>
      </c>
      <c r="AC18" s="12">
        <v>67</v>
      </c>
      <c r="AD18" s="12">
        <v>91</v>
      </c>
      <c r="AE18" s="12">
        <v>42</v>
      </c>
      <c r="AF18" s="12">
        <v>51</v>
      </c>
    </row>
    <row r="19" spans="1:32" ht="31.5" x14ac:dyDescent="0.35">
      <c r="A19" s="31"/>
      <c r="B19" s="13" t="s">
        <v>464</v>
      </c>
      <c r="C19" s="14">
        <v>0.06</v>
      </c>
      <c r="D19" s="14">
        <v>0.08</v>
      </c>
      <c r="E19" s="14">
        <v>7.0000000000000007E-2</v>
      </c>
      <c r="F19" s="14">
        <v>7.0000000000000007E-2</v>
      </c>
      <c r="G19" s="14">
        <v>7.0000000000000007E-2</v>
      </c>
      <c r="H19" s="14">
        <v>0.04</v>
      </c>
      <c r="I19" s="14">
        <v>0.05</v>
      </c>
      <c r="J19" s="14">
        <v>0.06</v>
      </c>
      <c r="K19" s="14">
        <v>0.05</v>
      </c>
      <c r="L19" s="14">
        <v>7.0000000000000007E-2</v>
      </c>
      <c r="M19" s="14">
        <v>7.0000000000000007E-2</v>
      </c>
      <c r="N19" s="14">
        <v>0.06</v>
      </c>
      <c r="O19" s="14">
        <v>0.06</v>
      </c>
      <c r="P19" s="14">
        <v>0.06</v>
      </c>
      <c r="Q19" s="14">
        <v>0.08</v>
      </c>
      <c r="R19" s="14">
        <v>0.08</v>
      </c>
      <c r="S19" s="14">
        <v>0.05</v>
      </c>
      <c r="T19" s="14">
        <v>7.0000000000000007E-2</v>
      </c>
      <c r="U19" s="14">
        <v>7.0000000000000007E-2</v>
      </c>
      <c r="V19" s="14">
        <v>0.04</v>
      </c>
      <c r="W19" s="14">
        <v>0.03</v>
      </c>
      <c r="X19" s="14">
        <v>0.08</v>
      </c>
      <c r="Y19" s="14">
        <v>0.05</v>
      </c>
      <c r="Z19" s="14">
        <v>0.06</v>
      </c>
      <c r="AA19" s="14">
        <v>0.06</v>
      </c>
      <c r="AB19" s="14">
        <v>0.1</v>
      </c>
      <c r="AC19" s="14">
        <v>7.0000000000000007E-2</v>
      </c>
      <c r="AD19" s="14">
        <v>0.09</v>
      </c>
      <c r="AE19" s="14">
        <v>0.04</v>
      </c>
      <c r="AF19" s="14">
        <v>0.05</v>
      </c>
    </row>
    <row r="20" spans="1:32" ht="31.5" x14ac:dyDescent="0.35">
      <c r="A20" s="31"/>
      <c r="B20" s="11" t="s">
        <v>465</v>
      </c>
      <c r="C20" s="12">
        <v>823</v>
      </c>
      <c r="D20" s="12">
        <v>33</v>
      </c>
      <c r="E20" s="12">
        <v>34</v>
      </c>
      <c r="F20" s="12">
        <v>27</v>
      </c>
      <c r="G20" s="12">
        <v>15</v>
      </c>
      <c r="H20" s="12">
        <v>18</v>
      </c>
      <c r="I20" s="12">
        <v>22</v>
      </c>
      <c r="J20" s="12">
        <v>3</v>
      </c>
      <c r="K20" s="12">
        <v>20</v>
      </c>
      <c r="L20" s="12">
        <v>31</v>
      </c>
      <c r="M20" s="12">
        <v>46</v>
      </c>
      <c r="N20" s="12">
        <v>31</v>
      </c>
      <c r="O20" s="12">
        <v>41</v>
      </c>
      <c r="P20" s="12">
        <v>51</v>
      </c>
      <c r="Q20" s="12">
        <v>46</v>
      </c>
      <c r="R20" s="12">
        <v>10</v>
      </c>
      <c r="S20" s="12">
        <v>8</v>
      </c>
      <c r="T20" s="12">
        <v>26</v>
      </c>
      <c r="U20" s="12">
        <v>15</v>
      </c>
      <c r="V20" s="12">
        <v>42</v>
      </c>
      <c r="W20" s="12">
        <v>18</v>
      </c>
      <c r="X20" s="12">
        <v>11</v>
      </c>
      <c r="Y20" s="12">
        <v>37</v>
      </c>
      <c r="Z20" s="12">
        <v>42</v>
      </c>
      <c r="AA20" s="12">
        <v>29</v>
      </c>
      <c r="AB20" s="12">
        <v>45</v>
      </c>
      <c r="AC20" s="12">
        <v>23</v>
      </c>
      <c r="AD20" s="12">
        <v>27</v>
      </c>
      <c r="AE20" s="12">
        <v>9</v>
      </c>
      <c r="AF20" s="12">
        <v>16</v>
      </c>
    </row>
    <row r="21" spans="1:32" ht="31.5" x14ac:dyDescent="0.35">
      <c r="A21" s="31"/>
      <c r="B21" s="13" t="s">
        <v>466</v>
      </c>
      <c r="C21" s="14">
        <v>0.03</v>
      </c>
      <c r="D21" s="14">
        <v>0.03</v>
      </c>
      <c r="E21" s="14">
        <v>0.03</v>
      </c>
      <c r="F21" s="14">
        <v>0.03</v>
      </c>
      <c r="G21" s="14">
        <v>0.01</v>
      </c>
      <c r="H21" s="14">
        <v>0.02</v>
      </c>
      <c r="I21" s="14">
        <v>0.01</v>
      </c>
      <c r="J21" s="14">
        <v>0.01</v>
      </c>
      <c r="K21" s="14">
        <v>0.02</v>
      </c>
      <c r="L21" s="14">
        <v>0.03</v>
      </c>
      <c r="M21" s="14">
        <v>0.05</v>
      </c>
      <c r="N21" s="14">
        <v>0.03</v>
      </c>
      <c r="O21" s="14">
        <v>0.04</v>
      </c>
      <c r="P21" s="14">
        <v>0.05</v>
      </c>
      <c r="Q21" s="14">
        <v>0.04</v>
      </c>
      <c r="R21" s="14">
        <v>0.02</v>
      </c>
      <c r="S21" s="14">
        <v>0.01</v>
      </c>
      <c r="T21" s="14">
        <v>0.03</v>
      </c>
      <c r="U21" s="14">
        <v>0.03</v>
      </c>
      <c r="V21" s="14">
        <v>0.04</v>
      </c>
      <c r="W21" s="14">
        <v>0.04</v>
      </c>
      <c r="X21" s="14">
        <v>0.01</v>
      </c>
      <c r="Y21" s="14">
        <v>0.04</v>
      </c>
      <c r="Z21" s="14">
        <v>0.04</v>
      </c>
      <c r="AA21" s="14">
        <v>0.03</v>
      </c>
      <c r="AB21" s="14">
        <v>0.04</v>
      </c>
      <c r="AC21" s="14">
        <v>0.02</v>
      </c>
      <c r="AD21" s="14">
        <v>0.03</v>
      </c>
      <c r="AE21" s="14">
        <v>0.01</v>
      </c>
      <c r="AF21" s="14">
        <v>0.01</v>
      </c>
    </row>
    <row r="22" spans="1:32" ht="31.5" x14ac:dyDescent="0.35">
      <c r="A22" s="31"/>
      <c r="B22" s="11" t="s">
        <v>467</v>
      </c>
      <c r="C22" s="12">
        <v>2352</v>
      </c>
      <c r="D22" s="12">
        <v>114</v>
      </c>
      <c r="E22" s="12">
        <v>63</v>
      </c>
      <c r="F22" s="12">
        <v>84</v>
      </c>
      <c r="G22" s="12">
        <v>112</v>
      </c>
      <c r="H22" s="12">
        <v>118</v>
      </c>
      <c r="I22" s="12">
        <v>151</v>
      </c>
      <c r="J22" s="12">
        <v>33</v>
      </c>
      <c r="K22" s="12">
        <v>75</v>
      </c>
      <c r="L22" s="12">
        <v>118</v>
      </c>
      <c r="M22" s="12">
        <v>81</v>
      </c>
      <c r="N22" s="12">
        <v>96</v>
      </c>
      <c r="O22" s="12">
        <v>70</v>
      </c>
      <c r="P22" s="12">
        <v>88</v>
      </c>
      <c r="Q22" s="12">
        <v>74</v>
      </c>
      <c r="R22" s="12">
        <v>63</v>
      </c>
      <c r="S22" s="12">
        <v>131</v>
      </c>
      <c r="T22" s="12">
        <v>83</v>
      </c>
      <c r="U22" s="12">
        <v>38</v>
      </c>
      <c r="V22" s="12">
        <v>87</v>
      </c>
      <c r="W22" s="12">
        <v>49</v>
      </c>
      <c r="X22" s="12">
        <v>120</v>
      </c>
      <c r="Y22" s="12">
        <v>69</v>
      </c>
      <c r="Z22" s="12">
        <v>78</v>
      </c>
      <c r="AA22" s="12">
        <v>104</v>
      </c>
      <c r="AB22" s="12">
        <v>91</v>
      </c>
      <c r="AC22" s="12">
        <v>87</v>
      </c>
      <c r="AD22" s="12">
        <v>109</v>
      </c>
      <c r="AE22" s="12">
        <v>115</v>
      </c>
      <c r="AF22" s="12">
        <v>172</v>
      </c>
    </row>
    <row r="23" spans="1:32" ht="31.5" x14ac:dyDescent="0.35">
      <c r="A23" s="31"/>
      <c r="B23" s="13" t="s">
        <v>468</v>
      </c>
      <c r="C23" s="14">
        <v>0.09</v>
      </c>
      <c r="D23" s="14">
        <v>0.11</v>
      </c>
      <c r="E23" s="14">
        <v>0.06</v>
      </c>
      <c r="F23" s="14">
        <v>0.08</v>
      </c>
      <c r="G23" s="14">
        <v>0.11</v>
      </c>
      <c r="H23" s="14">
        <v>0.1</v>
      </c>
      <c r="I23" s="14">
        <v>0.1</v>
      </c>
      <c r="J23" s="14">
        <v>0.11</v>
      </c>
      <c r="K23" s="14">
        <v>7.0000000000000007E-2</v>
      </c>
      <c r="L23" s="14">
        <v>0.12</v>
      </c>
      <c r="M23" s="14">
        <v>0.08</v>
      </c>
      <c r="N23" s="14">
        <v>0.1</v>
      </c>
      <c r="O23" s="14">
        <v>7.0000000000000007E-2</v>
      </c>
      <c r="P23" s="14">
        <v>0.09</v>
      </c>
      <c r="Q23" s="14">
        <v>7.0000000000000007E-2</v>
      </c>
      <c r="R23" s="14">
        <v>0.12</v>
      </c>
      <c r="S23" s="14">
        <v>0.13</v>
      </c>
      <c r="T23" s="14">
        <v>0.08</v>
      </c>
      <c r="U23" s="14">
        <v>7.0000000000000007E-2</v>
      </c>
      <c r="V23" s="14">
        <v>0.08</v>
      </c>
      <c r="W23" s="14">
        <v>0.1</v>
      </c>
      <c r="X23" s="14">
        <v>0.12</v>
      </c>
      <c r="Y23" s="14">
        <v>7.0000000000000007E-2</v>
      </c>
      <c r="Z23" s="14">
        <v>0.08</v>
      </c>
      <c r="AA23" s="14">
        <v>0.1</v>
      </c>
      <c r="AB23" s="14">
        <v>0.09</v>
      </c>
      <c r="AC23" s="14">
        <v>0.09</v>
      </c>
      <c r="AD23" s="14">
        <v>0.11</v>
      </c>
      <c r="AE23" s="14">
        <v>0.12</v>
      </c>
      <c r="AF23" s="14">
        <v>0.17</v>
      </c>
    </row>
    <row r="24" spans="1:32" ht="21.5" x14ac:dyDescent="0.35">
      <c r="A24" s="31"/>
      <c r="B24" s="11" t="s">
        <v>469</v>
      </c>
      <c r="C24" s="12">
        <v>569</v>
      </c>
      <c r="D24" s="12">
        <v>25</v>
      </c>
      <c r="E24" s="12">
        <v>17</v>
      </c>
      <c r="F24" s="12">
        <v>4</v>
      </c>
      <c r="G24" s="12">
        <v>17</v>
      </c>
      <c r="H24" s="12">
        <v>15</v>
      </c>
      <c r="I24" s="12">
        <v>17</v>
      </c>
      <c r="J24" s="12">
        <v>2</v>
      </c>
      <c r="K24" s="12">
        <v>28</v>
      </c>
      <c r="L24" s="12">
        <v>29</v>
      </c>
      <c r="M24" s="12">
        <v>13</v>
      </c>
      <c r="N24" s="12">
        <v>18</v>
      </c>
      <c r="O24" s="12">
        <v>36</v>
      </c>
      <c r="P24" s="12">
        <v>18</v>
      </c>
      <c r="Q24" s="12">
        <v>19</v>
      </c>
      <c r="R24" s="12">
        <v>9</v>
      </c>
      <c r="S24" s="12">
        <v>16</v>
      </c>
      <c r="T24" s="12">
        <v>5</v>
      </c>
      <c r="U24" s="12">
        <v>7</v>
      </c>
      <c r="V24" s="12">
        <v>26</v>
      </c>
      <c r="W24" s="12">
        <v>21</v>
      </c>
      <c r="X24" s="12">
        <v>39</v>
      </c>
      <c r="Y24" s="12">
        <v>21</v>
      </c>
      <c r="Z24" s="12">
        <v>26</v>
      </c>
      <c r="AA24" s="12">
        <v>19</v>
      </c>
      <c r="AB24" s="12">
        <v>40</v>
      </c>
      <c r="AC24" s="12">
        <v>13</v>
      </c>
      <c r="AD24" s="12">
        <v>27</v>
      </c>
      <c r="AE24" s="12">
        <v>18</v>
      </c>
      <c r="AF24" s="12">
        <v>7</v>
      </c>
    </row>
    <row r="25" spans="1:32" ht="21.5" x14ac:dyDescent="0.35">
      <c r="A25" s="31"/>
      <c r="B25" s="13" t="s">
        <v>470</v>
      </c>
      <c r="C25" s="14">
        <v>0.02</v>
      </c>
      <c r="D25" s="14">
        <v>0.02</v>
      </c>
      <c r="E25" s="14">
        <v>0.02</v>
      </c>
      <c r="F25" s="15" t="s">
        <v>333</v>
      </c>
      <c r="G25" s="14">
        <v>0.02</v>
      </c>
      <c r="H25" s="14">
        <v>0.01</v>
      </c>
      <c r="I25" s="14">
        <v>0.01</v>
      </c>
      <c r="J25" s="14">
        <v>0.01</v>
      </c>
      <c r="K25" s="14">
        <v>0.03</v>
      </c>
      <c r="L25" s="14">
        <v>0.03</v>
      </c>
      <c r="M25" s="14">
        <v>0.01</v>
      </c>
      <c r="N25" s="14">
        <v>0.02</v>
      </c>
      <c r="O25" s="14">
        <v>0.04</v>
      </c>
      <c r="P25" s="14">
        <v>0.02</v>
      </c>
      <c r="Q25" s="14">
        <v>0.02</v>
      </c>
      <c r="R25" s="14">
        <v>0.02</v>
      </c>
      <c r="S25" s="14">
        <v>0.02</v>
      </c>
      <c r="T25" s="15" t="s">
        <v>333</v>
      </c>
      <c r="U25" s="14">
        <v>0.01</v>
      </c>
      <c r="V25" s="14">
        <v>0.02</v>
      </c>
      <c r="W25" s="14">
        <v>0.04</v>
      </c>
      <c r="X25" s="14">
        <v>0.04</v>
      </c>
      <c r="Y25" s="14">
        <v>0.02</v>
      </c>
      <c r="Z25" s="14">
        <v>0.03</v>
      </c>
      <c r="AA25" s="14">
        <v>0.02</v>
      </c>
      <c r="AB25" s="14">
        <v>0.04</v>
      </c>
      <c r="AC25" s="14">
        <v>0.01</v>
      </c>
      <c r="AD25" s="14">
        <v>0.03</v>
      </c>
      <c r="AE25" s="14">
        <v>0.02</v>
      </c>
      <c r="AF25" s="14">
        <v>0.01</v>
      </c>
    </row>
    <row r="26" spans="1:32" x14ac:dyDescent="0.35">
      <c r="A26" s="31"/>
      <c r="B26" s="11" t="s">
        <v>471</v>
      </c>
      <c r="C26" s="12">
        <v>1172</v>
      </c>
      <c r="D26" s="12">
        <v>34</v>
      </c>
      <c r="E26" s="12">
        <v>127</v>
      </c>
      <c r="F26" s="12">
        <v>72</v>
      </c>
      <c r="G26" s="12">
        <v>35</v>
      </c>
      <c r="H26" s="12">
        <v>16</v>
      </c>
      <c r="I26" s="12">
        <v>21</v>
      </c>
      <c r="J26" s="12">
        <v>5</v>
      </c>
      <c r="K26" s="12">
        <v>94</v>
      </c>
      <c r="L26" s="12">
        <v>105</v>
      </c>
      <c r="M26" s="12">
        <v>41</v>
      </c>
      <c r="N26" s="12">
        <v>31</v>
      </c>
      <c r="O26" s="12">
        <v>27</v>
      </c>
      <c r="P26" s="12">
        <v>68</v>
      </c>
      <c r="Q26" s="12">
        <v>37</v>
      </c>
      <c r="R26" s="12">
        <v>14</v>
      </c>
      <c r="S26" s="12">
        <v>53</v>
      </c>
      <c r="T26" s="12">
        <v>62</v>
      </c>
      <c r="U26" s="12">
        <v>32</v>
      </c>
      <c r="V26" s="12">
        <v>97</v>
      </c>
      <c r="W26" s="12">
        <v>17</v>
      </c>
      <c r="X26" s="12">
        <v>26</v>
      </c>
      <c r="Y26" s="12">
        <v>37</v>
      </c>
      <c r="Z26" s="12">
        <v>133</v>
      </c>
      <c r="AA26" s="12">
        <v>40</v>
      </c>
      <c r="AB26" s="12">
        <v>88</v>
      </c>
      <c r="AC26" s="12">
        <v>32</v>
      </c>
      <c r="AD26" s="12">
        <v>79</v>
      </c>
      <c r="AE26" s="12">
        <v>30</v>
      </c>
      <c r="AF26" s="12">
        <v>29</v>
      </c>
    </row>
    <row r="27" spans="1:32" x14ac:dyDescent="0.35">
      <c r="A27" s="31"/>
      <c r="B27" s="13" t="s">
        <v>472</v>
      </c>
      <c r="C27" s="14">
        <v>0.04</v>
      </c>
      <c r="D27" s="14">
        <v>0.03</v>
      </c>
      <c r="E27" s="14">
        <v>0.12</v>
      </c>
      <c r="F27" s="14">
        <v>7.0000000000000007E-2</v>
      </c>
      <c r="G27" s="14">
        <v>0.03</v>
      </c>
      <c r="H27" s="14">
        <v>0.01</v>
      </c>
      <c r="I27" s="14">
        <v>0.01</v>
      </c>
      <c r="J27" s="14">
        <v>0.02</v>
      </c>
      <c r="K27" s="14">
        <v>0.09</v>
      </c>
      <c r="L27" s="14">
        <v>0.11</v>
      </c>
      <c r="M27" s="14">
        <v>0.04</v>
      </c>
      <c r="N27" s="14">
        <v>0.03</v>
      </c>
      <c r="O27" s="14">
        <v>0.03</v>
      </c>
      <c r="P27" s="14">
        <v>7.0000000000000007E-2</v>
      </c>
      <c r="Q27" s="14">
        <v>0.04</v>
      </c>
      <c r="R27" s="14">
        <v>0.03</v>
      </c>
      <c r="S27" s="14">
        <v>0.05</v>
      </c>
      <c r="T27" s="14">
        <v>0.06</v>
      </c>
      <c r="U27" s="14">
        <v>0.06</v>
      </c>
      <c r="V27" s="14">
        <v>0.09</v>
      </c>
      <c r="W27" s="14">
        <v>0.03</v>
      </c>
      <c r="X27" s="14">
        <v>0.03</v>
      </c>
      <c r="Y27" s="14">
        <v>0.04</v>
      </c>
      <c r="Z27" s="14">
        <v>0.13</v>
      </c>
      <c r="AA27" s="14">
        <v>0.04</v>
      </c>
      <c r="AB27" s="14">
        <v>0.08</v>
      </c>
      <c r="AC27" s="14">
        <v>0.03</v>
      </c>
      <c r="AD27" s="14">
        <v>0.08</v>
      </c>
      <c r="AE27" s="14">
        <v>0.03</v>
      </c>
      <c r="AF27" s="14">
        <v>0.03</v>
      </c>
    </row>
    <row r="28" spans="1:32" ht="21.5" x14ac:dyDescent="0.35">
      <c r="A28" s="31"/>
      <c r="B28" s="11" t="s">
        <v>473</v>
      </c>
      <c r="C28" s="12">
        <v>1871</v>
      </c>
      <c r="D28" s="12">
        <v>56</v>
      </c>
      <c r="E28" s="12">
        <v>36</v>
      </c>
      <c r="F28" s="12">
        <v>98</v>
      </c>
      <c r="G28" s="12">
        <v>97</v>
      </c>
      <c r="H28" s="12">
        <v>101</v>
      </c>
      <c r="I28" s="12">
        <v>128</v>
      </c>
      <c r="J28" s="12">
        <v>27</v>
      </c>
      <c r="K28" s="12">
        <v>83</v>
      </c>
      <c r="L28" s="12">
        <v>99</v>
      </c>
      <c r="M28" s="12">
        <v>88</v>
      </c>
      <c r="N28" s="12">
        <v>65</v>
      </c>
      <c r="O28" s="12">
        <v>75</v>
      </c>
      <c r="P28" s="12">
        <v>67</v>
      </c>
      <c r="Q28" s="12">
        <v>59</v>
      </c>
      <c r="R28" s="12">
        <v>27</v>
      </c>
      <c r="S28" s="12">
        <v>111</v>
      </c>
      <c r="T28" s="12">
        <v>63</v>
      </c>
      <c r="U28" s="12">
        <v>35</v>
      </c>
      <c r="V28" s="12">
        <v>72</v>
      </c>
      <c r="W28" s="12">
        <v>34</v>
      </c>
      <c r="X28" s="12">
        <v>89</v>
      </c>
      <c r="Y28" s="12">
        <v>84</v>
      </c>
      <c r="Z28" s="12">
        <v>38</v>
      </c>
      <c r="AA28" s="12">
        <v>73</v>
      </c>
      <c r="AB28" s="12">
        <v>67</v>
      </c>
      <c r="AC28" s="12">
        <v>70</v>
      </c>
      <c r="AD28" s="12">
        <v>87</v>
      </c>
      <c r="AE28" s="12">
        <v>70</v>
      </c>
      <c r="AF28" s="12">
        <v>99</v>
      </c>
    </row>
    <row r="29" spans="1:32" ht="21.5" x14ac:dyDescent="0.35">
      <c r="A29" s="31"/>
      <c r="B29" s="13" t="s">
        <v>474</v>
      </c>
      <c r="C29" s="14">
        <v>7.0000000000000007E-2</v>
      </c>
      <c r="D29" s="14">
        <v>0.06</v>
      </c>
      <c r="E29" s="14">
        <v>0.04</v>
      </c>
      <c r="F29" s="14">
        <v>0.1</v>
      </c>
      <c r="G29" s="14">
        <v>0.1</v>
      </c>
      <c r="H29" s="14">
        <v>0.08</v>
      </c>
      <c r="I29" s="14">
        <v>0.08</v>
      </c>
      <c r="J29" s="14">
        <v>0.09</v>
      </c>
      <c r="K29" s="14">
        <v>0.08</v>
      </c>
      <c r="L29" s="14">
        <v>0.1</v>
      </c>
      <c r="M29" s="14">
        <v>0.09</v>
      </c>
      <c r="N29" s="14">
        <v>0.06</v>
      </c>
      <c r="O29" s="14">
        <v>7.0000000000000007E-2</v>
      </c>
      <c r="P29" s="14">
        <v>7.0000000000000007E-2</v>
      </c>
      <c r="Q29" s="14">
        <v>0.06</v>
      </c>
      <c r="R29" s="14">
        <v>0.05</v>
      </c>
      <c r="S29" s="14">
        <v>0.11</v>
      </c>
      <c r="T29" s="14">
        <v>0.06</v>
      </c>
      <c r="U29" s="14">
        <v>7.0000000000000007E-2</v>
      </c>
      <c r="V29" s="14">
        <v>7.0000000000000007E-2</v>
      </c>
      <c r="W29" s="14">
        <v>7.0000000000000007E-2</v>
      </c>
      <c r="X29" s="14">
        <v>0.09</v>
      </c>
      <c r="Y29" s="14">
        <v>0.08</v>
      </c>
      <c r="Z29" s="14">
        <v>0.04</v>
      </c>
      <c r="AA29" s="14">
        <v>7.0000000000000007E-2</v>
      </c>
      <c r="AB29" s="14">
        <v>0.06</v>
      </c>
      <c r="AC29" s="14">
        <v>7.0000000000000007E-2</v>
      </c>
      <c r="AD29" s="14">
        <v>0.09</v>
      </c>
      <c r="AE29" s="14">
        <v>7.0000000000000007E-2</v>
      </c>
      <c r="AF29" s="14">
        <v>0.1</v>
      </c>
    </row>
    <row r="30" spans="1:32" ht="41.5" x14ac:dyDescent="0.35">
      <c r="A30" s="31"/>
      <c r="B30" s="11" t="s">
        <v>475</v>
      </c>
      <c r="C30" s="12">
        <v>1423</v>
      </c>
      <c r="D30" s="12">
        <v>66</v>
      </c>
      <c r="E30" s="12">
        <v>57</v>
      </c>
      <c r="F30" s="12">
        <v>40</v>
      </c>
      <c r="G30" s="12">
        <v>46</v>
      </c>
      <c r="H30" s="12">
        <v>63</v>
      </c>
      <c r="I30" s="12">
        <v>77</v>
      </c>
      <c r="J30" s="12">
        <v>14</v>
      </c>
      <c r="K30" s="12">
        <v>30</v>
      </c>
      <c r="L30" s="12">
        <v>39</v>
      </c>
      <c r="M30" s="12">
        <v>75</v>
      </c>
      <c r="N30" s="12">
        <v>75</v>
      </c>
      <c r="O30" s="12">
        <v>50</v>
      </c>
      <c r="P30" s="12">
        <v>64</v>
      </c>
      <c r="Q30" s="12">
        <v>59</v>
      </c>
      <c r="R30" s="12">
        <v>43</v>
      </c>
      <c r="S30" s="12">
        <v>27</v>
      </c>
      <c r="T30" s="12">
        <v>20</v>
      </c>
      <c r="U30" s="12">
        <v>19</v>
      </c>
      <c r="V30" s="12">
        <v>41</v>
      </c>
      <c r="W30" s="12">
        <v>27</v>
      </c>
      <c r="X30" s="12">
        <v>34</v>
      </c>
      <c r="Y30" s="12">
        <v>35</v>
      </c>
      <c r="Z30" s="12">
        <v>57</v>
      </c>
      <c r="AA30" s="12">
        <v>88</v>
      </c>
      <c r="AB30" s="12">
        <v>40</v>
      </c>
      <c r="AC30" s="12">
        <v>40</v>
      </c>
      <c r="AD30" s="12">
        <v>49</v>
      </c>
      <c r="AE30" s="12">
        <v>64</v>
      </c>
      <c r="AF30" s="12">
        <v>52</v>
      </c>
    </row>
    <row r="31" spans="1:32" ht="31.5" x14ac:dyDescent="0.35">
      <c r="A31" s="31"/>
      <c r="B31" s="13" t="s">
        <v>476</v>
      </c>
      <c r="C31" s="14">
        <v>0.05</v>
      </c>
      <c r="D31" s="14">
        <v>0.06</v>
      </c>
      <c r="E31" s="14">
        <v>0.06</v>
      </c>
      <c r="F31" s="14">
        <v>0.04</v>
      </c>
      <c r="G31" s="14">
        <v>0.05</v>
      </c>
      <c r="H31" s="14">
        <v>0.05</v>
      </c>
      <c r="I31" s="14">
        <v>0.05</v>
      </c>
      <c r="J31" s="14">
        <v>0.05</v>
      </c>
      <c r="K31" s="14">
        <v>0.03</v>
      </c>
      <c r="L31" s="14">
        <v>0.04</v>
      </c>
      <c r="M31" s="14">
        <v>7.0000000000000007E-2</v>
      </c>
      <c r="N31" s="14">
        <v>0.08</v>
      </c>
      <c r="O31" s="14">
        <v>0.05</v>
      </c>
      <c r="P31" s="14">
        <v>0.06</v>
      </c>
      <c r="Q31" s="14">
        <v>0.06</v>
      </c>
      <c r="R31" s="14">
        <v>0.09</v>
      </c>
      <c r="S31" s="14">
        <v>0.03</v>
      </c>
      <c r="T31" s="14">
        <v>0.02</v>
      </c>
      <c r="U31" s="14">
        <v>0.04</v>
      </c>
      <c r="V31" s="14">
        <v>0.04</v>
      </c>
      <c r="W31" s="14">
        <v>0.05</v>
      </c>
      <c r="X31" s="14">
        <v>0.03</v>
      </c>
      <c r="Y31" s="14">
        <v>0.04</v>
      </c>
      <c r="Z31" s="14">
        <v>0.06</v>
      </c>
      <c r="AA31" s="14">
        <v>0.09</v>
      </c>
      <c r="AB31" s="14">
        <v>0.04</v>
      </c>
      <c r="AC31" s="14">
        <v>0.04</v>
      </c>
      <c r="AD31" s="14">
        <v>0.05</v>
      </c>
      <c r="AE31" s="14">
        <v>7.0000000000000007E-2</v>
      </c>
      <c r="AF31" s="14">
        <v>0.05</v>
      </c>
    </row>
    <row r="32" spans="1:32" x14ac:dyDescent="0.35">
      <c r="A32" s="31"/>
      <c r="B32" s="11" t="s">
        <v>477</v>
      </c>
      <c r="C32" s="12">
        <v>3341</v>
      </c>
      <c r="D32" s="12">
        <v>133</v>
      </c>
      <c r="E32" s="12">
        <v>56</v>
      </c>
      <c r="F32" s="12">
        <v>88</v>
      </c>
      <c r="G32" s="12">
        <v>196</v>
      </c>
      <c r="H32" s="12">
        <v>237</v>
      </c>
      <c r="I32" s="12">
        <v>286</v>
      </c>
      <c r="J32" s="12">
        <v>49</v>
      </c>
      <c r="K32" s="12">
        <v>67</v>
      </c>
      <c r="L32" s="12">
        <v>73</v>
      </c>
      <c r="M32" s="12">
        <v>84</v>
      </c>
      <c r="N32" s="12">
        <v>129</v>
      </c>
      <c r="O32" s="12">
        <v>120</v>
      </c>
      <c r="P32" s="12">
        <v>45</v>
      </c>
      <c r="Q32" s="12">
        <v>119</v>
      </c>
      <c r="R32" s="12">
        <v>50</v>
      </c>
      <c r="S32" s="12">
        <v>77</v>
      </c>
      <c r="T32" s="12">
        <v>89</v>
      </c>
      <c r="U32" s="12">
        <v>70</v>
      </c>
      <c r="V32" s="12">
        <v>119</v>
      </c>
      <c r="W32" s="12">
        <v>48</v>
      </c>
      <c r="X32" s="12">
        <v>143</v>
      </c>
      <c r="Y32" s="12">
        <v>127</v>
      </c>
      <c r="Z32" s="12">
        <v>76</v>
      </c>
      <c r="AA32" s="12">
        <v>68</v>
      </c>
      <c r="AB32" s="12">
        <v>89</v>
      </c>
      <c r="AC32" s="12">
        <v>66</v>
      </c>
      <c r="AD32" s="12">
        <v>64</v>
      </c>
      <c r="AE32" s="12">
        <v>135</v>
      </c>
      <c r="AF32" s="12">
        <v>258</v>
      </c>
    </row>
    <row r="33" spans="1:32" x14ac:dyDescent="0.35">
      <c r="A33" s="31"/>
      <c r="B33" s="13" t="s">
        <v>478</v>
      </c>
      <c r="C33" s="14">
        <v>0.13</v>
      </c>
      <c r="D33" s="14">
        <v>0.13</v>
      </c>
      <c r="E33" s="14">
        <v>0.05</v>
      </c>
      <c r="F33" s="14">
        <v>0.09</v>
      </c>
      <c r="G33" s="14">
        <v>0.19</v>
      </c>
      <c r="H33" s="14">
        <v>0.19</v>
      </c>
      <c r="I33" s="14">
        <v>0.19</v>
      </c>
      <c r="J33" s="14">
        <v>0.16</v>
      </c>
      <c r="K33" s="14">
        <v>7.0000000000000007E-2</v>
      </c>
      <c r="L33" s="14">
        <v>7.0000000000000007E-2</v>
      </c>
      <c r="M33" s="14">
        <v>0.08</v>
      </c>
      <c r="N33" s="14">
        <v>0.13</v>
      </c>
      <c r="O33" s="14">
        <v>0.12</v>
      </c>
      <c r="P33" s="14">
        <v>0.04</v>
      </c>
      <c r="Q33" s="14">
        <v>0.12</v>
      </c>
      <c r="R33" s="14">
        <v>0.1</v>
      </c>
      <c r="S33" s="14">
        <v>7.0000000000000007E-2</v>
      </c>
      <c r="T33" s="14">
        <v>0.09</v>
      </c>
      <c r="U33" s="14">
        <v>0.14000000000000001</v>
      </c>
      <c r="V33" s="14">
        <v>0.12</v>
      </c>
      <c r="W33" s="14">
        <v>0.09</v>
      </c>
      <c r="X33" s="14">
        <v>0.14000000000000001</v>
      </c>
      <c r="Y33" s="14">
        <v>0.13</v>
      </c>
      <c r="Z33" s="14">
        <v>7.0000000000000007E-2</v>
      </c>
      <c r="AA33" s="14">
        <v>7.0000000000000007E-2</v>
      </c>
      <c r="AB33" s="14">
        <v>0.08</v>
      </c>
      <c r="AC33" s="14">
        <v>7.0000000000000007E-2</v>
      </c>
      <c r="AD33" s="14">
        <v>0.06</v>
      </c>
      <c r="AE33" s="14">
        <v>0.14000000000000001</v>
      </c>
      <c r="AF33" s="14">
        <v>0.25</v>
      </c>
    </row>
    <row r="34" spans="1:32" x14ac:dyDescent="0.35">
      <c r="A34" s="31"/>
      <c r="B34" s="11" t="s">
        <v>479</v>
      </c>
      <c r="C34" s="12">
        <v>1832</v>
      </c>
      <c r="D34" s="12">
        <v>58</v>
      </c>
      <c r="E34" s="12">
        <v>106</v>
      </c>
      <c r="F34" s="12">
        <v>39</v>
      </c>
      <c r="G34" s="12">
        <v>59</v>
      </c>
      <c r="H34" s="12">
        <v>96</v>
      </c>
      <c r="I34" s="12">
        <v>112</v>
      </c>
      <c r="J34" s="12">
        <v>16</v>
      </c>
      <c r="K34" s="12">
        <v>46</v>
      </c>
      <c r="L34" s="12">
        <v>56</v>
      </c>
      <c r="M34" s="12">
        <v>154</v>
      </c>
      <c r="N34" s="12">
        <v>93</v>
      </c>
      <c r="O34" s="12">
        <v>54</v>
      </c>
      <c r="P34" s="12">
        <v>67</v>
      </c>
      <c r="Q34" s="12">
        <v>43</v>
      </c>
      <c r="R34" s="12">
        <v>64</v>
      </c>
      <c r="S34" s="12">
        <v>57</v>
      </c>
      <c r="T34" s="12">
        <v>40</v>
      </c>
      <c r="U34" s="12">
        <v>35</v>
      </c>
      <c r="V34" s="12">
        <v>47</v>
      </c>
      <c r="W34" s="12">
        <v>53</v>
      </c>
      <c r="X34" s="12">
        <v>84</v>
      </c>
      <c r="Y34" s="12">
        <v>57</v>
      </c>
      <c r="Z34" s="12">
        <v>68</v>
      </c>
      <c r="AA34" s="12">
        <v>70</v>
      </c>
      <c r="AB34" s="12">
        <v>105</v>
      </c>
      <c r="AC34" s="12">
        <v>111</v>
      </c>
      <c r="AD34" s="12">
        <v>68</v>
      </c>
      <c r="AE34" s="12">
        <v>132</v>
      </c>
      <c r="AF34" s="12">
        <v>70</v>
      </c>
    </row>
    <row r="35" spans="1:32" x14ac:dyDescent="0.35">
      <c r="A35" s="31"/>
      <c r="B35" s="13" t="s">
        <v>480</v>
      </c>
      <c r="C35" s="14">
        <v>7.0000000000000007E-2</v>
      </c>
      <c r="D35" s="14">
        <v>0.06</v>
      </c>
      <c r="E35" s="14">
        <v>0.1</v>
      </c>
      <c r="F35" s="14">
        <v>0.04</v>
      </c>
      <c r="G35" s="14">
        <v>0.06</v>
      </c>
      <c r="H35" s="14">
        <v>0.08</v>
      </c>
      <c r="I35" s="14">
        <v>7.0000000000000007E-2</v>
      </c>
      <c r="J35" s="14">
        <v>0.05</v>
      </c>
      <c r="K35" s="14">
        <v>0.05</v>
      </c>
      <c r="L35" s="14">
        <v>0.06</v>
      </c>
      <c r="M35" s="14">
        <v>0.15</v>
      </c>
      <c r="N35" s="14">
        <v>0.09</v>
      </c>
      <c r="O35" s="14">
        <v>0.05</v>
      </c>
      <c r="P35" s="14">
        <v>7.0000000000000007E-2</v>
      </c>
      <c r="Q35" s="14">
        <v>0.04</v>
      </c>
      <c r="R35" s="14">
        <v>0.13</v>
      </c>
      <c r="S35" s="14">
        <v>0.06</v>
      </c>
      <c r="T35" s="14">
        <v>0.04</v>
      </c>
      <c r="U35" s="14">
        <v>7.0000000000000007E-2</v>
      </c>
      <c r="V35" s="14">
        <v>0.05</v>
      </c>
      <c r="W35" s="14">
        <v>0.11</v>
      </c>
      <c r="X35" s="14">
        <v>0.08</v>
      </c>
      <c r="Y35" s="14">
        <v>0.06</v>
      </c>
      <c r="Z35" s="14">
        <v>7.0000000000000007E-2</v>
      </c>
      <c r="AA35" s="14">
        <v>7.0000000000000007E-2</v>
      </c>
      <c r="AB35" s="14">
        <v>0.1</v>
      </c>
      <c r="AC35" s="14">
        <v>0.11</v>
      </c>
      <c r="AD35" s="14">
        <v>7.0000000000000007E-2</v>
      </c>
      <c r="AE35" s="14">
        <v>0.13</v>
      </c>
      <c r="AF35" s="14">
        <v>7.0000000000000007E-2</v>
      </c>
    </row>
    <row r="36" spans="1:32" ht="41.5" x14ac:dyDescent="0.35">
      <c r="A36" s="31"/>
      <c r="B36" s="11" t="s">
        <v>481</v>
      </c>
      <c r="C36" s="12">
        <v>1230</v>
      </c>
      <c r="D36" s="12">
        <v>51</v>
      </c>
      <c r="E36" s="12">
        <v>93</v>
      </c>
      <c r="F36" s="12">
        <v>98</v>
      </c>
      <c r="G36" s="12">
        <v>59</v>
      </c>
      <c r="H36" s="12">
        <v>28</v>
      </c>
      <c r="I36" s="12">
        <v>36</v>
      </c>
      <c r="J36" s="12">
        <v>7</v>
      </c>
      <c r="K36" s="12">
        <v>88</v>
      </c>
      <c r="L36" s="12">
        <v>45</v>
      </c>
      <c r="M36" s="12">
        <v>58</v>
      </c>
      <c r="N36" s="12">
        <v>33</v>
      </c>
      <c r="O36" s="12">
        <v>36</v>
      </c>
      <c r="P36" s="12">
        <v>59</v>
      </c>
      <c r="Q36" s="12">
        <v>63</v>
      </c>
      <c r="R36" s="12">
        <v>45</v>
      </c>
      <c r="S36" s="12">
        <v>54</v>
      </c>
      <c r="T36" s="12">
        <v>46</v>
      </c>
      <c r="U36" s="12">
        <v>17</v>
      </c>
      <c r="V36" s="12">
        <v>88</v>
      </c>
      <c r="W36" s="12">
        <v>40</v>
      </c>
      <c r="X36" s="12">
        <v>46</v>
      </c>
      <c r="Y36" s="12">
        <v>54</v>
      </c>
      <c r="Z36" s="12">
        <v>56</v>
      </c>
      <c r="AA36" s="12">
        <v>45</v>
      </c>
      <c r="AB36" s="12">
        <v>88</v>
      </c>
      <c r="AC36" s="12">
        <v>52</v>
      </c>
      <c r="AD36" s="12">
        <v>84</v>
      </c>
      <c r="AE36" s="12">
        <v>32</v>
      </c>
      <c r="AF36" s="12">
        <v>21</v>
      </c>
    </row>
    <row r="37" spans="1:32" ht="41.5" x14ac:dyDescent="0.35">
      <c r="A37" s="31"/>
      <c r="B37" s="13" t="s">
        <v>482</v>
      </c>
      <c r="C37" s="14">
        <v>0.05</v>
      </c>
      <c r="D37" s="14">
        <v>0.05</v>
      </c>
      <c r="E37" s="14">
        <v>0.09</v>
      </c>
      <c r="F37" s="14">
        <v>0.1</v>
      </c>
      <c r="G37" s="14">
        <v>0.06</v>
      </c>
      <c r="H37" s="14">
        <v>0.02</v>
      </c>
      <c r="I37" s="14">
        <v>0.02</v>
      </c>
      <c r="J37" s="14">
        <v>0.02</v>
      </c>
      <c r="K37" s="14">
        <v>0.09</v>
      </c>
      <c r="L37" s="14">
        <v>0.04</v>
      </c>
      <c r="M37" s="14">
        <v>0.06</v>
      </c>
      <c r="N37" s="14">
        <v>0.03</v>
      </c>
      <c r="O37" s="14">
        <v>0.04</v>
      </c>
      <c r="P37" s="14">
        <v>0.06</v>
      </c>
      <c r="Q37" s="14">
        <v>0.06</v>
      </c>
      <c r="R37" s="14">
        <v>0.09</v>
      </c>
      <c r="S37" s="14">
        <v>0.05</v>
      </c>
      <c r="T37" s="14">
        <v>0.05</v>
      </c>
      <c r="U37" s="14">
        <v>0.03</v>
      </c>
      <c r="V37" s="14">
        <v>0.09</v>
      </c>
      <c r="W37" s="14">
        <v>0.08</v>
      </c>
      <c r="X37" s="14">
        <v>0.05</v>
      </c>
      <c r="Y37" s="14">
        <v>0.05</v>
      </c>
      <c r="Z37" s="14">
        <v>0.05</v>
      </c>
      <c r="AA37" s="14">
        <v>0.04</v>
      </c>
      <c r="AB37" s="14">
        <v>0.08</v>
      </c>
      <c r="AC37" s="14">
        <v>0.05</v>
      </c>
      <c r="AD37" s="14">
        <v>0.08</v>
      </c>
      <c r="AE37" s="14">
        <v>0.03</v>
      </c>
      <c r="AF37" s="14">
        <v>0.02</v>
      </c>
    </row>
    <row r="38" spans="1:32" ht="21.5" x14ac:dyDescent="0.35">
      <c r="A38" s="31"/>
      <c r="B38" s="11" t="s">
        <v>483</v>
      </c>
      <c r="C38" s="12">
        <v>343</v>
      </c>
      <c r="D38" s="12">
        <v>11</v>
      </c>
      <c r="E38" s="12">
        <v>12</v>
      </c>
      <c r="F38" s="12">
        <v>4</v>
      </c>
      <c r="G38" s="12">
        <v>7</v>
      </c>
      <c r="H38" s="12">
        <v>12</v>
      </c>
      <c r="I38" s="12">
        <v>17</v>
      </c>
      <c r="J38" s="12">
        <v>5</v>
      </c>
      <c r="K38" s="12">
        <v>13</v>
      </c>
      <c r="L38" s="12">
        <v>14</v>
      </c>
      <c r="M38" s="12">
        <v>6</v>
      </c>
      <c r="N38" s="12">
        <v>12</v>
      </c>
      <c r="O38" s="12">
        <v>9</v>
      </c>
      <c r="P38" s="12">
        <v>12</v>
      </c>
      <c r="Q38" s="12">
        <v>18</v>
      </c>
      <c r="R38" s="12">
        <v>2</v>
      </c>
      <c r="S38" s="12">
        <v>5</v>
      </c>
      <c r="T38" s="12">
        <v>9</v>
      </c>
      <c r="U38" s="12">
        <v>9</v>
      </c>
      <c r="V38" s="12">
        <v>17</v>
      </c>
      <c r="W38" s="12">
        <v>10</v>
      </c>
      <c r="X38" s="12">
        <v>14</v>
      </c>
      <c r="Y38" s="12">
        <v>23</v>
      </c>
      <c r="Z38" s="12">
        <v>24</v>
      </c>
      <c r="AA38" s="12">
        <v>13</v>
      </c>
      <c r="AB38" s="12">
        <v>18</v>
      </c>
      <c r="AC38" s="12">
        <v>7</v>
      </c>
      <c r="AD38" s="12">
        <v>13</v>
      </c>
      <c r="AE38" s="12">
        <v>2</v>
      </c>
      <c r="AF38" s="12">
        <v>10</v>
      </c>
    </row>
    <row r="39" spans="1:32" ht="21.5" x14ac:dyDescent="0.35">
      <c r="A39" s="31"/>
      <c r="B39" s="13" t="s">
        <v>484</v>
      </c>
      <c r="C39" s="14">
        <v>0.01</v>
      </c>
      <c r="D39" s="14">
        <v>0.01</v>
      </c>
      <c r="E39" s="14">
        <v>0.01</v>
      </c>
      <c r="F39" s="15" t="s">
        <v>333</v>
      </c>
      <c r="G39" s="14">
        <v>0.01</v>
      </c>
      <c r="H39" s="14">
        <v>0.01</v>
      </c>
      <c r="I39" s="14">
        <v>0.01</v>
      </c>
      <c r="J39" s="14">
        <v>0.02</v>
      </c>
      <c r="K39" s="14">
        <v>0.01</v>
      </c>
      <c r="L39" s="14">
        <v>0.01</v>
      </c>
      <c r="M39" s="14">
        <v>0.01</v>
      </c>
      <c r="N39" s="14">
        <v>0.01</v>
      </c>
      <c r="O39" s="14">
        <v>0.01</v>
      </c>
      <c r="P39" s="14">
        <v>0.01</v>
      </c>
      <c r="Q39" s="14">
        <v>0.02</v>
      </c>
      <c r="R39" s="15" t="s">
        <v>333</v>
      </c>
      <c r="S39" s="15" t="s">
        <v>333</v>
      </c>
      <c r="T39" s="14">
        <v>0.01</v>
      </c>
      <c r="U39" s="14">
        <v>0.02</v>
      </c>
      <c r="V39" s="14">
        <v>0.02</v>
      </c>
      <c r="W39" s="14">
        <v>0.02</v>
      </c>
      <c r="X39" s="14">
        <v>0.01</v>
      </c>
      <c r="Y39" s="14">
        <v>0.02</v>
      </c>
      <c r="Z39" s="14">
        <v>0.02</v>
      </c>
      <c r="AA39" s="14">
        <v>0.01</v>
      </c>
      <c r="AB39" s="14">
        <v>0.02</v>
      </c>
      <c r="AC39" s="14">
        <v>0.01</v>
      </c>
      <c r="AD39" s="14">
        <v>0.01</v>
      </c>
      <c r="AE39" s="15" t="s">
        <v>333</v>
      </c>
      <c r="AF39" s="14">
        <v>0.01</v>
      </c>
    </row>
    <row r="40" spans="1:32" x14ac:dyDescent="0.35">
      <c r="A40" s="31"/>
      <c r="B40" s="11" t="s">
        <v>485</v>
      </c>
      <c r="C40" s="12">
        <v>6489</v>
      </c>
      <c r="D40" s="12">
        <v>191</v>
      </c>
      <c r="E40" s="12">
        <v>260</v>
      </c>
      <c r="F40" s="12">
        <v>300</v>
      </c>
      <c r="G40" s="12">
        <v>227</v>
      </c>
      <c r="H40" s="12">
        <v>380</v>
      </c>
      <c r="I40" s="12">
        <v>477</v>
      </c>
      <c r="J40" s="12">
        <v>97</v>
      </c>
      <c r="K40" s="12">
        <v>318</v>
      </c>
      <c r="L40" s="12">
        <v>188</v>
      </c>
      <c r="M40" s="12">
        <v>211</v>
      </c>
      <c r="N40" s="12">
        <v>188</v>
      </c>
      <c r="O40" s="12">
        <v>276</v>
      </c>
      <c r="P40" s="12">
        <v>262</v>
      </c>
      <c r="Q40" s="12">
        <v>252</v>
      </c>
      <c r="R40" s="12">
        <v>94</v>
      </c>
      <c r="S40" s="12">
        <v>355</v>
      </c>
      <c r="T40" s="12">
        <v>405</v>
      </c>
      <c r="U40" s="12">
        <v>137</v>
      </c>
      <c r="V40" s="12">
        <v>230</v>
      </c>
      <c r="W40" s="12">
        <v>106</v>
      </c>
      <c r="X40" s="12">
        <v>185</v>
      </c>
      <c r="Y40" s="12">
        <v>265</v>
      </c>
      <c r="Z40" s="12">
        <v>233</v>
      </c>
      <c r="AA40" s="12">
        <v>268</v>
      </c>
      <c r="AB40" s="12">
        <v>164</v>
      </c>
      <c r="AC40" s="12">
        <v>316</v>
      </c>
      <c r="AD40" s="12">
        <v>214</v>
      </c>
      <c r="AE40" s="12">
        <v>255</v>
      </c>
      <c r="AF40" s="12">
        <v>146</v>
      </c>
    </row>
    <row r="41" spans="1:32" x14ac:dyDescent="0.35">
      <c r="A41" s="31"/>
      <c r="B41" s="13" t="s">
        <v>486</v>
      </c>
      <c r="C41" s="14">
        <v>0.25</v>
      </c>
      <c r="D41" s="14">
        <v>0.19</v>
      </c>
      <c r="E41" s="14">
        <v>0.25</v>
      </c>
      <c r="F41" s="14">
        <v>0.3</v>
      </c>
      <c r="G41" s="14">
        <v>0.22</v>
      </c>
      <c r="H41" s="14">
        <v>0.31</v>
      </c>
      <c r="I41" s="14">
        <v>0.31</v>
      </c>
      <c r="J41" s="14">
        <v>0.33</v>
      </c>
      <c r="K41" s="14">
        <v>0.32</v>
      </c>
      <c r="L41" s="14">
        <v>0.19</v>
      </c>
      <c r="M41" s="14">
        <v>0.21</v>
      </c>
      <c r="N41" s="14">
        <v>0.19</v>
      </c>
      <c r="O41" s="14">
        <v>0.28000000000000003</v>
      </c>
      <c r="P41" s="14">
        <v>0.26</v>
      </c>
      <c r="Q41" s="14">
        <v>0.24</v>
      </c>
      <c r="R41" s="14">
        <v>0.19</v>
      </c>
      <c r="S41" s="14">
        <v>0.35</v>
      </c>
      <c r="T41" s="14">
        <v>0.4</v>
      </c>
      <c r="U41" s="14">
        <v>0.27</v>
      </c>
      <c r="V41" s="14">
        <v>0.23</v>
      </c>
      <c r="W41" s="14">
        <v>0.21</v>
      </c>
      <c r="X41" s="14">
        <v>0.18</v>
      </c>
      <c r="Y41" s="14">
        <v>0.27</v>
      </c>
      <c r="Z41" s="14">
        <v>0.23</v>
      </c>
      <c r="AA41" s="14">
        <v>0.26</v>
      </c>
      <c r="AB41" s="14">
        <v>0.16</v>
      </c>
      <c r="AC41" s="14">
        <v>0.31</v>
      </c>
      <c r="AD41" s="14">
        <v>0.21</v>
      </c>
      <c r="AE41" s="14">
        <v>0.25</v>
      </c>
      <c r="AF41" s="14">
        <v>0.14000000000000001</v>
      </c>
    </row>
    <row r="42" spans="1:32" x14ac:dyDescent="0.35">
      <c r="A42" s="31"/>
      <c r="B42" s="11" t="s">
        <v>407</v>
      </c>
      <c r="C42" s="12">
        <v>49</v>
      </c>
      <c r="D42" s="12">
        <v>0</v>
      </c>
      <c r="E42" s="12">
        <v>2</v>
      </c>
      <c r="F42" s="12">
        <v>1</v>
      </c>
      <c r="G42" s="12">
        <v>2</v>
      </c>
      <c r="H42" s="12">
        <v>1</v>
      </c>
      <c r="I42" s="12">
        <v>1</v>
      </c>
      <c r="J42" s="12">
        <v>0</v>
      </c>
      <c r="K42" s="12">
        <v>5</v>
      </c>
      <c r="L42" s="12">
        <v>4</v>
      </c>
      <c r="M42" s="12">
        <v>3</v>
      </c>
      <c r="N42" s="12">
        <v>5</v>
      </c>
      <c r="O42" s="12">
        <v>3</v>
      </c>
      <c r="P42" s="12">
        <v>3</v>
      </c>
      <c r="Q42" s="12">
        <v>0</v>
      </c>
      <c r="R42" s="12">
        <v>0</v>
      </c>
      <c r="S42" s="12">
        <v>3</v>
      </c>
      <c r="T42" s="12">
        <v>4</v>
      </c>
      <c r="U42" s="12">
        <v>4</v>
      </c>
      <c r="V42" s="12">
        <v>0</v>
      </c>
      <c r="W42" s="12">
        <v>0</v>
      </c>
      <c r="X42" s="12">
        <v>2</v>
      </c>
      <c r="Y42" s="12">
        <v>11</v>
      </c>
      <c r="Z42" s="12">
        <v>0</v>
      </c>
      <c r="AA42" s="12">
        <v>0</v>
      </c>
      <c r="AB42" s="12">
        <v>4</v>
      </c>
      <c r="AC42" s="12">
        <v>0</v>
      </c>
      <c r="AD42" s="12">
        <v>0</v>
      </c>
      <c r="AE42" s="12">
        <v>1</v>
      </c>
      <c r="AF42" s="12">
        <v>0</v>
      </c>
    </row>
    <row r="43" spans="1:32" x14ac:dyDescent="0.35">
      <c r="A43" s="31"/>
      <c r="B43" s="13" t="s">
        <v>408</v>
      </c>
      <c r="C43" s="15" t="s">
        <v>333</v>
      </c>
      <c r="D43" s="15" t="s">
        <v>333</v>
      </c>
      <c r="E43" s="15" t="s">
        <v>333</v>
      </c>
      <c r="F43" s="15" t="s">
        <v>333</v>
      </c>
      <c r="G43" s="15" t="s">
        <v>333</v>
      </c>
      <c r="H43" s="15" t="s">
        <v>333</v>
      </c>
      <c r="I43" s="15" t="s">
        <v>333</v>
      </c>
      <c r="J43" s="15" t="s">
        <v>333</v>
      </c>
      <c r="K43" s="14">
        <v>0.01</v>
      </c>
      <c r="L43" s="15" t="s">
        <v>333</v>
      </c>
      <c r="M43" s="15" t="s">
        <v>333</v>
      </c>
      <c r="N43" s="15" t="s">
        <v>333</v>
      </c>
      <c r="O43" s="15" t="s">
        <v>333</v>
      </c>
      <c r="P43" s="15" t="s">
        <v>333</v>
      </c>
      <c r="Q43" s="15" t="s">
        <v>333</v>
      </c>
      <c r="R43" s="15" t="s">
        <v>333</v>
      </c>
      <c r="S43" s="15" t="s">
        <v>333</v>
      </c>
      <c r="T43" s="15" t="s">
        <v>333</v>
      </c>
      <c r="U43" s="14">
        <v>0.01</v>
      </c>
      <c r="V43" s="15" t="s">
        <v>333</v>
      </c>
      <c r="W43" s="15" t="s">
        <v>333</v>
      </c>
      <c r="X43" s="15" t="s">
        <v>333</v>
      </c>
      <c r="Y43" s="14">
        <v>0.01</v>
      </c>
      <c r="Z43" s="15" t="s">
        <v>333</v>
      </c>
      <c r="AA43" s="15" t="s">
        <v>333</v>
      </c>
      <c r="AB43" s="15" t="s">
        <v>333</v>
      </c>
      <c r="AC43" s="15" t="s">
        <v>333</v>
      </c>
      <c r="AD43" s="15" t="s">
        <v>333</v>
      </c>
      <c r="AE43" s="15" t="s">
        <v>333</v>
      </c>
      <c r="AF43" s="15" t="s">
        <v>333</v>
      </c>
    </row>
    <row r="44" spans="1:32" x14ac:dyDescent="0.35">
      <c r="A44" s="31"/>
      <c r="B44" s="11" t="s">
        <v>452</v>
      </c>
      <c r="C44" s="12">
        <v>128</v>
      </c>
      <c r="D44" s="12">
        <v>1</v>
      </c>
      <c r="E44" s="12">
        <v>5</v>
      </c>
      <c r="F44" s="12">
        <v>10</v>
      </c>
      <c r="G44" s="12">
        <v>0</v>
      </c>
      <c r="H44" s="12">
        <v>8</v>
      </c>
      <c r="I44" s="12">
        <v>9</v>
      </c>
      <c r="J44" s="12">
        <v>1</v>
      </c>
      <c r="K44" s="12">
        <v>4</v>
      </c>
      <c r="L44" s="12">
        <v>3</v>
      </c>
      <c r="M44" s="12">
        <v>2</v>
      </c>
      <c r="N44" s="12">
        <v>7</v>
      </c>
      <c r="O44" s="12">
        <v>7</v>
      </c>
      <c r="P44" s="12">
        <v>1</v>
      </c>
      <c r="Q44" s="12">
        <v>6</v>
      </c>
      <c r="R44" s="12">
        <v>3</v>
      </c>
      <c r="S44" s="12">
        <v>6</v>
      </c>
      <c r="T44" s="12">
        <v>3</v>
      </c>
      <c r="U44" s="12">
        <v>2</v>
      </c>
      <c r="V44" s="12">
        <v>0</v>
      </c>
      <c r="W44" s="12">
        <v>0</v>
      </c>
      <c r="X44" s="12">
        <v>9</v>
      </c>
      <c r="Y44" s="12">
        <v>2</v>
      </c>
      <c r="Z44" s="12">
        <v>2</v>
      </c>
      <c r="AA44" s="12">
        <v>2</v>
      </c>
      <c r="AB44" s="12">
        <v>2</v>
      </c>
      <c r="AC44" s="12">
        <v>3</v>
      </c>
      <c r="AD44" s="12">
        <v>0</v>
      </c>
      <c r="AE44" s="12">
        <v>3</v>
      </c>
      <c r="AF44" s="12">
        <v>0</v>
      </c>
    </row>
    <row r="45" spans="1:32" x14ac:dyDescent="0.35">
      <c r="A45" s="31"/>
      <c r="B45" s="13" t="s">
        <v>453</v>
      </c>
      <c r="C45" s="15" t="s">
        <v>333</v>
      </c>
      <c r="D45" s="15" t="s">
        <v>333</v>
      </c>
      <c r="E45" s="14">
        <v>0.01</v>
      </c>
      <c r="F45" s="14">
        <v>0.01</v>
      </c>
      <c r="G45" s="15" t="s">
        <v>333</v>
      </c>
      <c r="H45" s="14">
        <v>0.01</v>
      </c>
      <c r="I45" s="14">
        <v>0.01</v>
      </c>
      <c r="J45" s="15" t="s">
        <v>333</v>
      </c>
      <c r="K45" s="15" t="s">
        <v>333</v>
      </c>
      <c r="L45" s="15" t="s">
        <v>333</v>
      </c>
      <c r="M45" s="15" t="s">
        <v>333</v>
      </c>
      <c r="N45" s="14">
        <v>0.01</v>
      </c>
      <c r="O45" s="14">
        <v>0.01</v>
      </c>
      <c r="P45" s="15" t="s">
        <v>333</v>
      </c>
      <c r="Q45" s="14">
        <v>0.01</v>
      </c>
      <c r="R45" s="15" t="s">
        <v>333</v>
      </c>
      <c r="S45" s="15" t="s">
        <v>333</v>
      </c>
      <c r="T45" s="15" t="s">
        <v>333</v>
      </c>
      <c r="U45" s="15" t="s">
        <v>333</v>
      </c>
      <c r="V45" s="15" t="s">
        <v>333</v>
      </c>
      <c r="W45" s="15" t="s">
        <v>333</v>
      </c>
      <c r="X45" s="14">
        <v>0.01</v>
      </c>
      <c r="Y45" s="15" t="s">
        <v>333</v>
      </c>
      <c r="Z45" s="15" t="s">
        <v>333</v>
      </c>
      <c r="AA45" s="15" t="s">
        <v>333</v>
      </c>
      <c r="AB45" s="15" t="s">
        <v>333</v>
      </c>
      <c r="AC45" s="15" t="s">
        <v>333</v>
      </c>
      <c r="AD45" s="15" t="s">
        <v>333</v>
      </c>
      <c r="AE45" s="15" t="s">
        <v>333</v>
      </c>
      <c r="AF45" s="15" t="s">
        <v>333</v>
      </c>
    </row>
    <row r="46" spans="1:32" x14ac:dyDescent="0.35">
      <c r="A46" s="31"/>
      <c r="B46" s="11" t="s">
        <v>344</v>
      </c>
      <c r="C46" s="12">
        <v>150</v>
      </c>
      <c r="D46" s="12">
        <v>3</v>
      </c>
      <c r="E46" s="12">
        <v>3</v>
      </c>
      <c r="F46" s="12">
        <v>22</v>
      </c>
      <c r="G46" s="12">
        <v>6</v>
      </c>
      <c r="H46" s="12">
        <v>7</v>
      </c>
      <c r="I46" s="12">
        <v>7</v>
      </c>
      <c r="J46" s="12">
        <v>1</v>
      </c>
      <c r="K46" s="12">
        <v>7</v>
      </c>
      <c r="L46" s="12">
        <v>6</v>
      </c>
      <c r="M46" s="12">
        <v>2</v>
      </c>
      <c r="N46" s="12">
        <v>17</v>
      </c>
      <c r="O46" s="12">
        <v>3</v>
      </c>
      <c r="P46" s="12">
        <v>9</v>
      </c>
      <c r="Q46" s="12">
        <v>5</v>
      </c>
      <c r="R46" s="12">
        <v>4</v>
      </c>
      <c r="S46" s="12">
        <v>9</v>
      </c>
      <c r="T46" s="12">
        <v>12</v>
      </c>
      <c r="U46" s="12">
        <v>2</v>
      </c>
      <c r="V46" s="12">
        <v>3</v>
      </c>
      <c r="W46" s="12">
        <v>0</v>
      </c>
      <c r="X46" s="12">
        <v>2</v>
      </c>
      <c r="Y46" s="12">
        <v>0</v>
      </c>
      <c r="Z46" s="12">
        <v>0</v>
      </c>
      <c r="AA46" s="12">
        <v>12</v>
      </c>
      <c r="AB46" s="12">
        <v>6</v>
      </c>
      <c r="AC46" s="12">
        <v>3</v>
      </c>
      <c r="AD46" s="12">
        <v>1</v>
      </c>
      <c r="AE46" s="12">
        <v>3</v>
      </c>
      <c r="AF46" s="12">
        <v>0</v>
      </c>
    </row>
    <row r="47" spans="1:32" x14ac:dyDescent="0.35">
      <c r="A47" s="31"/>
      <c r="B47" s="13" t="s">
        <v>357</v>
      </c>
      <c r="C47" s="14">
        <v>0.01</v>
      </c>
      <c r="D47" s="15" t="s">
        <v>333</v>
      </c>
      <c r="E47" s="15" t="s">
        <v>333</v>
      </c>
      <c r="F47" s="14">
        <v>0.02</v>
      </c>
      <c r="G47" s="14">
        <v>0.01</v>
      </c>
      <c r="H47" s="14">
        <v>0.01</v>
      </c>
      <c r="I47" s="14">
        <v>0.01</v>
      </c>
      <c r="J47" s="15" t="s">
        <v>333</v>
      </c>
      <c r="K47" s="14">
        <v>0.01</v>
      </c>
      <c r="L47" s="14">
        <v>0.01</v>
      </c>
      <c r="M47" s="15" t="s">
        <v>333</v>
      </c>
      <c r="N47" s="14">
        <v>0.02</v>
      </c>
      <c r="O47" s="15" t="s">
        <v>333</v>
      </c>
      <c r="P47" s="14">
        <v>0.01</v>
      </c>
      <c r="Q47" s="15" t="s">
        <v>333</v>
      </c>
      <c r="R47" s="14">
        <v>0.01</v>
      </c>
      <c r="S47" s="14">
        <v>0.01</v>
      </c>
      <c r="T47" s="14">
        <v>0.01</v>
      </c>
      <c r="U47" s="15" t="s">
        <v>333</v>
      </c>
      <c r="V47" s="15" t="s">
        <v>333</v>
      </c>
      <c r="W47" s="15" t="s">
        <v>333</v>
      </c>
      <c r="X47" s="15" t="s">
        <v>333</v>
      </c>
      <c r="Y47" s="15" t="s">
        <v>333</v>
      </c>
      <c r="Z47" s="15" t="s">
        <v>333</v>
      </c>
      <c r="AA47" s="14">
        <v>0.01</v>
      </c>
      <c r="AB47" s="14">
        <v>0.01</v>
      </c>
      <c r="AC47" s="15" t="s">
        <v>333</v>
      </c>
      <c r="AD47" s="15" t="s">
        <v>333</v>
      </c>
      <c r="AE47" s="15" t="s">
        <v>333</v>
      </c>
      <c r="AF47" s="15" t="s">
        <v>333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39</v>
      </c>
      <c r="C3" s="30"/>
      <c r="D3" s="30"/>
      <c r="E3" s="30"/>
      <c r="F3" s="30"/>
      <c r="H3" s="30" t="s">
        <v>40</v>
      </c>
      <c r="I3" s="30"/>
      <c r="J3" s="30"/>
      <c r="K3" s="30"/>
      <c r="L3" s="30"/>
    </row>
    <row r="4" spans="1:32" ht="27" customHeight="1" x14ac:dyDescent="0.35">
      <c r="B4" s="30"/>
      <c r="C4" s="30"/>
      <c r="D4" s="30"/>
      <c r="E4" s="30"/>
      <c r="F4" s="30"/>
      <c r="H4" s="30"/>
      <c r="I4" s="30"/>
      <c r="J4" s="30"/>
      <c r="K4" s="30"/>
      <c r="L4" s="30"/>
    </row>
    <row r="5" spans="1:32" ht="12" customHeight="1" x14ac:dyDescent="0.35">
      <c r="B5" s="30" t="s">
        <v>487</v>
      </c>
      <c r="C5" s="30"/>
      <c r="D5" s="30"/>
      <c r="E5" s="30"/>
      <c r="F5" s="30"/>
      <c r="H5" s="30" t="s">
        <v>488</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26133</v>
      </c>
      <c r="D10" s="10">
        <v>1021</v>
      </c>
      <c r="E10" s="10">
        <v>1031</v>
      </c>
      <c r="F10" s="10">
        <v>986</v>
      </c>
      <c r="G10" s="10">
        <v>1011</v>
      </c>
      <c r="H10" s="10">
        <v>1217</v>
      </c>
      <c r="I10" s="10">
        <v>1514</v>
      </c>
      <c r="J10" s="10">
        <v>297</v>
      </c>
      <c r="K10" s="10">
        <v>998</v>
      </c>
      <c r="L10" s="10">
        <v>995</v>
      </c>
      <c r="M10" s="10">
        <v>1000</v>
      </c>
      <c r="N10" s="10">
        <v>976</v>
      </c>
      <c r="O10" s="10">
        <v>990</v>
      </c>
      <c r="P10" s="10">
        <v>994</v>
      </c>
      <c r="Q10" s="10">
        <v>1023</v>
      </c>
      <c r="R10" s="10">
        <v>494</v>
      </c>
      <c r="S10" s="10">
        <v>1007</v>
      </c>
      <c r="T10" s="10">
        <v>1001</v>
      </c>
      <c r="U10" s="10">
        <v>505</v>
      </c>
      <c r="V10" s="10">
        <v>1011</v>
      </c>
      <c r="W10" s="10">
        <v>501</v>
      </c>
      <c r="X10" s="10">
        <v>999</v>
      </c>
      <c r="Y10" s="10">
        <v>1001</v>
      </c>
      <c r="Z10" s="10">
        <v>1017</v>
      </c>
      <c r="AA10" s="10">
        <v>1017</v>
      </c>
      <c r="AB10" s="10">
        <v>1049</v>
      </c>
      <c r="AC10" s="10">
        <v>1007</v>
      </c>
      <c r="AD10" s="10">
        <v>1003</v>
      </c>
      <c r="AE10" s="10">
        <v>1001</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457</v>
      </c>
      <c r="C12" s="12">
        <v>2601</v>
      </c>
      <c r="D12" s="12">
        <v>138</v>
      </c>
      <c r="E12" s="12">
        <v>54</v>
      </c>
      <c r="F12" s="12">
        <v>62</v>
      </c>
      <c r="G12" s="12">
        <v>80</v>
      </c>
      <c r="H12" s="12">
        <v>84</v>
      </c>
      <c r="I12" s="12">
        <v>120</v>
      </c>
      <c r="J12" s="12">
        <v>36</v>
      </c>
      <c r="K12" s="12">
        <v>56</v>
      </c>
      <c r="L12" s="12">
        <v>106</v>
      </c>
      <c r="M12" s="12">
        <v>42</v>
      </c>
      <c r="N12" s="12">
        <v>126</v>
      </c>
      <c r="O12" s="12">
        <v>136</v>
      </c>
      <c r="P12" s="12">
        <v>77</v>
      </c>
      <c r="Q12" s="12">
        <v>111</v>
      </c>
      <c r="R12" s="12">
        <v>35</v>
      </c>
      <c r="S12" s="12">
        <v>33</v>
      </c>
      <c r="T12" s="12">
        <v>43</v>
      </c>
      <c r="U12" s="12">
        <v>58</v>
      </c>
      <c r="V12" s="12">
        <v>62</v>
      </c>
      <c r="W12" s="12">
        <v>43</v>
      </c>
      <c r="X12" s="12">
        <v>101</v>
      </c>
      <c r="Y12" s="12">
        <v>118</v>
      </c>
      <c r="Z12" s="12">
        <v>89</v>
      </c>
      <c r="AA12" s="12">
        <v>119</v>
      </c>
      <c r="AB12" s="12">
        <v>57</v>
      </c>
      <c r="AC12" s="12">
        <v>76</v>
      </c>
      <c r="AD12" s="12">
        <v>63</v>
      </c>
      <c r="AE12" s="12">
        <v>95</v>
      </c>
      <c r="AF12" s="12">
        <v>126</v>
      </c>
    </row>
    <row r="13" spans="1:32" ht="21.5" x14ac:dyDescent="0.35">
      <c r="A13" s="31"/>
      <c r="B13" s="13" t="s">
        <v>458</v>
      </c>
      <c r="C13" s="14">
        <v>0.1</v>
      </c>
      <c r="D13" s="14">
        <v>0.14000000000000001</v>
      </c>
      <c r="E13" s="14">
        <v>0.05</v>
      </c>
      <c r="F13" s="14">
        <v>0.06</v>
      </c>
      <c r="G13" s="14">
        <v>0.08</v>
      </c>
      <c r="H13" s="14">
        <v>7.0000000000000007E-2</v>
      </c>
      <c r="I13" s="14">
        <v>0.08</v>
      </c>
      <c r="J13" s="14">
        <v>0.12</v>
      </c>
      <c r="K13" s="14">
        <v>0.06</v>
      </c>
      <c r="L13" s="14">
        <v>0.11</v>
      </c>
      <c r="M13" s="14">
        <v>0.04</v>
      </c>
      <c r="N13" s="14">
        <v>0.14000000000000001</v>
      </c>
      <c r="O13" s="14">
        <v>0.14000000000000001</v>
      </c>
      <c r="P13" s="14">
        <v>0.08</v>
      </c>
      <c r="Q13" s="14">
        <v>0.11</v>
      </c>
      <c r="R13" s="14">
        <v>7.0000000000000007E-2</v>
      </c>
      <c r="S13" s="14">
        <v>0.03</v>
      </c>
      <c r="T13" s="14">
        <v>0.04</v>
      </c>
      <c r="U13" s="14">
        <v>0.12</v>
      </c>
      <c r="V13" s="14">
        <v>0.06</v>
      </c>
      <c r="W13" s="14">
        <v>0.09</v>
      </c>
      <c r="X13" s="14">
        <v>0.11</v>
      </c>
      <c r="Y13" s="14">
        <v>0.12</v>
      </c>
      <c r="Z13" s="14">
        <v>0.09</v>
      </c>
      <c r="AA13" s="14">
        <v>0.12</v>
      </c>
      <c r="AB13" s="14">
        <v>0.06</v>
      </c>
      <c r="AC13" s="14">
        <v>0.08</v>
      </c>
      <c r="AD13" s="14">
        <v>0.06</v>
      </c>
      <c r="AE13" s="14">
        <v>0.1</v>
      </c>
      <c r="AF13" s="14">
        <v>0.13</v>
      </c>
    </row>
    <row r="14" spans="1:32" ht="31.5" x14ac:dyDescent="0.35">
      <c r="A14" s="31"/>
      <c r="B14" s="11" t="s">
        <v>459</v>
      </c>
      <c r="C14" s="12">
        <v>2018</v>
      </c>
      <c r="D14" s="12">
        <v>103</v>
      </c>
      <c r="E14" s="12">
        <v>51</v>
      </c>
      <c r="F14" s="12">
        <v>49</v>
      </c>
      <c r="G14" s="12">
        <v>81</v>
      </c>
      <c r="H14" s="12">
        <v>59</v>
      </c>
      <c r="I14" s="12">
        <v>72</v>
      </c>
      <c r="J14" s="12">
        <v>13</v>
      </c>
      <c r="K14" s="12">
        <v>36</v>
      </c>
      <c r="L14" s="12">
        <v>80</v>
      </c>
      <c r="M14" s="12">
        <v>110</v>
      </c>
      <c r="N14" s="12">
        <v>64</v>
      </c>
      <c r="O14" s="12">
        <v>96</v>
      </c>
      <c r="P14" s="12">
        <v>99</v>
      </c>
      <c r="Q14" s="12">
        <v>93</v>
      </c>
      <c r="R14" s="12">
        <v>25</v>
      </c>
      <c r="S14" s="12">
        <v>58</v>
      </c>
      <c r="T14" s="12">
        <v>51</v>
      </c>
      <c r="U14" s="12">
        <v>49</v>
      </c>
      <c r="V14" s="12">
        <v>105</v>
      </c>
      <c r="W14" s="12">
        <v>56</v>
      </c>
      <c r="X14" s="12">
        <v>92</v>
      </c>
      <c r="Y14" s="12">
        <v>120</v>
      </c>
      <c r="Z14" s="12">
        <v>70</v>
      </c>
      <c r="AA14" s="12">
        <v>107</v>
      </c>
      <c r="AB14" s="12">
        <v>81</v>
      </c>
      <c r="AC14" s="12">
        <v>63</v>
      </c>
      <c r="AD14" s="12">
        <v>69</v>
      </c>
      <c r="AE14" s="12">
        <v>71</v>
      </c>
      <c r="AF14" s="12">
        <v>75</v>
      </c>
    </row>
    <row r="15" spans="1:32" ht="31.5" x14ac:dyDescent="0.35">
      <c r="A15" s="31"/>
      <c r="B15" s="13" t="s">
        <v>460</v>
      </c>
      <c r="C15" s="14">
        <v>0.08</v>
      </c>
      <c r="D15" s="14">
        <v>0.11</v>
      </c>
      <c r="E15" s="14">
        <v>0.05</v>
      </c>
      <c r="F15" s="14">
        <v>0.05</v>
      </c>
      <c r="G15" s="14">
        <v>0.08</v>
      </c>
      <c r="H15" s="14">
        <v>0.05</v>
      </c>
      <c r="I15" s="14">
        <v>0.05</v>
      </c>
      <c r="J15" s="14">
        <v>0.04</v>
      </c>
      <c r="K15" s="14">
        <v>0.04</v>
      </c>
      <c r="L15" s="14">
        <v>0.08</v>
      </c>
      <c r="M15" s="14">
        <v>0.11</v>
      </c>
      <c r="N15" s="14">
        <v>7.0000000000000007E-2</v>
      </c>
      <c r="O15" s="14">
        <v>0.1</v>
      </c>
      <c r="P15" s="14">
        <v>0.1</v>
      </c>
      <c r="Q15" s="14">
        <v>0.1</v>
      </c>
      <c r="R15" s="14">
        <v>0.05</v>
      </c>
      <c r="S15" s="14">
        <v>0.06</v>
      </c>
      <c r="T15" s="14">
        <v>0.05</v>
      </c>
      <c r="U15" s="14">
        <v>0.1</v>
      </c>
      <c r="V15" s="14">
        <v>0.11</v>
      </c>
      <c r="W15" s="14">
        <v>0.12</v>
      </c>
      <c r="X15" s="14">
        <v>0.1</v>
      </c>
      <c r="Y15" s="14">
        <v>0.13</v>
      </c>
      <c r="Z15" s="14">
        <v>7.0000000000000007E-2</v>
      </c>
      <c r="AA15" s="14">
        <v>0.11</v>
      </c>
      <c r="AB15" s="14">
        <v>0.08</v>
      </c>
      <c r="AC15" s="14">
        <v>0.06</v>
      </c>
      <c r="AD15" s="14">
        <v>7.0000000000000007E-2</v>
      </c>
      <c r="AE15" s="14">
        <v>7.0000000000000007E-2</v>
      </c>
      <c r="AF15" s="14">
        <v>7.0000000000000007E-2</v>
      </c>
    </row>
    <row r="16" spans="1:32" ht="31.5" x14ac:dyDescent="0.35">
      <c r="A16" s="31"/>
      <c r="B16" s="11" t="s">
        <v>461</v>
      </c>
      <c r="C16" s="12">
        <v>2747</v>
      </c>
      <c r="D16" s="12">
        <v>118</v>
      </c>
      <c r="E16" s="12">
        <v>90</v>
      </c>
      <c r="F16" s="12">
        <v>63</v>
      </c>
      <c r="G16" s="12">
        <v>105</v>
      </c>
      <c r="H16" s="12">
        <v>120</v>
      </c>
      <c r="I16" s="12">
        <v>148</v>
      </c>
      <c r="J16" s="12">
        <v>28</v>
      </c>
      <c r="K16" s="12">
        <v>70</v>
      </c>
      <c r="L16" s="12">
        <v>92</v>
      </c>
      <c r="M16" s="12">
        <v>82</v>
      </c>
      <c r="N16" s="12">
        <v>88</v>
      </c>
      <c r="O16" s="12">
        <v>128</v>
      </c>
      <c r="P16" s="12">
        <v>122</v>
      </c>
      <c r="Q16" s="12">
        <v>111</v>
      </c>
      <c r="R16" s="12">
        <v>13</v>
      </c>
      <c r="S16" s="12">
        <v>49</v>
      </c>
      <c r="T16" s="12">
        <v>93</v>
      </c>
      <c r="U16" s="12">
        <v>44</v>
      </c>
      <c r="V16" s="12">
        <v>104</v>
      </c>
      <c r="W16" s="12">
        <v>44</v>
      </c>
      <c r="X16" s="12">
        <v>156</v>
      </c>
      <c r="Y16" s="12">
        <v>125</v>
      </c>
      <c r="Z16" s="12">
        <v>98</v>
      </c>
      <c r="AA16" s="12">
        <v>110</v>
      </c>
      <c r="AB16" s="12">
        <v>76</v>
      </c>
      <c r="AC16" s="12">
        <v>167</v>
      </c>
      <c r="AD16" s="12">
        <v>114</v>
      </c>
      <c r="AE16" s="12">
        <v>116</v>
      </c>
      <c r="AF16" s="12">
        <v>112</v>
      </c>
    </row>
    <row r="17" spans="1:32" ht="21.5" x14ac:dyDescent="0.35">
      <c r="A17" s="31"/>
      <c r="B17" s="13" t="s">
        <v>462</v>
      </c>
      <c r="C17" s="14">
        <v>0.11</v>
      </c>
      <c r="D17" s="14">
        <v>0.12</v>
      </c>
      <c r="E17" s="14">
        <v>0.09</v>
      </c>
      <c r="F17" s="14">
        <v>7.0000000000000007E-2</v>
      </c>
      <c r="G17" s="14">
        <v>0.11</v>
      </c>
      <c r="H17" s="14">
        <v>0.1</v>
      </c>
      <c r="I17" s="14">
        <v>0.1</v>
      </c>
      <c r="J17" s="14">
        <v>0.1</v>
      </c>
      <c r="K17" s="14">
        <v>7.0000000000000007E-2</v>
      </c>
      <c r="L17" s="14">
        <v>0.09</v>
      </c>
      <c r="M17" s="14">
        <v>0.08</v>
      </c>
      <c r="N17" s="14">
        <v>0.09</v>
      </c>
      <c r="O17" s="14">
        <v>0.14000000000000001</v>
      </c>
      <c r="P17" s="14">
        <v>0.13</v>
      </c>
      <c r="Q17" s="14">
        <v>0.11</v>
      </c>
      <c r="R17" s="14">
        <v>0.03</v>
      </c>
      <c r="S17" s="14">
        <v>0.05</v>
      </c>
      <c r="T17" s="14">
        <v>0.1</v>
      </c>
      <c r="U17" s="14">
        <v>0.09</v>
      </c>
      <c r="V17" s="14">
        <v>0.11</v>
      </c>
      <c r="W17" s="14">
        <v>0.09</v>
      </c>
      <c r="X17" s="14">
        <v>0.16</v>
      </c>
      <c r="Y17" s="14">
        <v>0.13</v>
      </c>
      <c r="Z17" s="14">
        <v>0.1</v>
      </c>
      <c r="AA17" s="14">
        <v>0.11</v>
      </c>
      <c r="AB17" s="14">
        <v>0.08</v>
      </c>
      <c r="AC17" s="14">
        <v>0.18</v>
      </c>
      <c r="AD17" s="14">
        <v>0.12</v>
      </c>
      <c r="AE17" s="14">
        <v>0.12</v>
      </c>
      <c r="AF17" s="14">
        <v>0.11</v>
      </c>
    </row>
    <row r="18" spans="1:32" ht="31.5" x14ac:dyDescent="0.35">
      <c r="A18" s="31"/>
      <c r="B18" s="11" t="s">
        <v>463</v>
      </c>
      <c r="C18" s="12">
        <v>3334</v>
      </c>
      <c r="D18" s="12">
        <v>107</v>
      </c>
      <c r="E18" s="12">
        <v>157</v>
      </c>
      <c r="F18" s="12">
        <v>156</v>
      </c>
      <c r="G18" s="12">
        <v>116</v>
      </c>
      <c r="H18" s="12">
        <v>149</v>
      </c>
      <c r="I18" s="12">
        <v>191</v>
      </c>
      <c r="J18" s="12">
        <v>43</v>
      </c>
      <c r="K18" s="12">
        <v>80</v>
      </c>
      <c r="L18" s="12">
        <v>115</v>
      </c>
      <c r="M18" s="12">
        <v>140</v>
      </c>
      <c r="N18" s="12">
        <v>121</v>
      </c>
      <c r="O18" s="12">
        <v>102</v>
      </c>
      <c r="P18" s="12">
        <v>160</v>
      </c>
      <c r="Q18" s="12">
        <v>161</v>
      </c>
      <c r="R18" s="12">
        <v>59</v>
      </c>
      <c r="S18" s="12">
        <v>115</v>
      </c>
      <c r="T18" s="12">
        <v>185</v>
      </c>
      <c r="U18" s="12">
        <v>59</v>
      </c>
      <c r="V18" s="12">
        <v>113</v>
      </c>
      <c r="W18" s="12">
        <v>46</v>
      </c>
      <c r="X18" s="12">
        <v>118</v>
      </c>
      <c r="Y18" s="12">
        <v>121</v>
      </c>
      <c r="Z18" s="12">
        <v>142</v>
      </c>
      <c r="AA18" s="12">
        <v>132</v>
      </c>
      <c r="AB18" s="12">
        <v>139</v>
      </c>
      <c r="AC18" s="12">
        <v>134</v>
      </c>
      <c r="AD18" s="12">
        <v>176</v>
      </c>
      <c r="AE18" s="12">
        <v>95</v>
      </c>
      <c r="AF18" s="12">
        <v>77</v>
      </c>
    </row>
    <row r="19" spans="1:32" ht="31.5" x14ac:dyDescent="0.35">
      <c r="A19" s="31"/>
      <c r="B19" s="13" t="s">
        <v>464</v>
      </c>
      <c r="C19" s="14">
        <v>0.14000000000000001</v>
      </c>
      <c r="D19" s="14">
        <v>0.11</v>
      </c>
      <c r="E19" s="14">
        <v>0.16</v>
      </c>
      <c r="F19" s="14">
        <v>0.17</v>
      </c>
      <c r="G19" s="14">
        <v>0.12</v>
      </c>
      <c r="H19" s="14">
        <v>0.13</v>
      </c>
      <c r="I19" s="14">
        <v>0.13</v>
      </c>
      <c r="J19" s="14">
        <v>0.15</v>
      </c>
      <c r="K19" s="14">
        <v>0.08</v>
      </c>
      <c r="L19" s="14">
        <v>0.12</v>
      </c>
      <c r="M19" s="14">
        <v>0.15</v>
      </c>
      <c r="N19" s="14">
        <v>0.13</v>
      </c>
      <c r="O19" s="14">
        <v>0.11</v>
      </c>
      <c r="P19" s="14">
        <v>0.17</v>
      </c>
      <c r="Q19" s="14">
        <v>0.17</v>
      </c>
      <c r="R19" s="14">
        <v>0.13</v>
      </c>
      <c r="S19" s="14">
        <v>0.12</v>
      </c>
      <c r="T19" s="14">
        <v>0.2</v>
      </c>
      <c r="U19" s="14">
        <v>0.12</v>
      </c>
      <c r="V19" s="14">
        <v>0.12</v>
      </c>
      <c r="W19" s="14">
        <v>0.09</v>
      </c>
      <c r="X19" s="14">
        <v>0.13</v>
      </c>
      <c r="Y19" s="14">
        <v>0.13</v>
      </c>
      <c r="Z19" s="14">
        <v>0.15</v>
      </c>
      <c r="AA19" s="14">
        <v>0.14000000000000001</v>
      </c>
      <c r="AB19" s="14">
        <v>0.15</v>
      </c>
      <c r="AC19" s="14">
        <v>0.14000000000000001</v>
      </c>
      <c r="AD19" s="14">
        <v>0.19</v>
      </c>
      <c r="AE19" s="14">
        <v>0.1</v>
      </c>
      <c r="AF19" s="14">
        <v>0.08</v>
      </c>
    </row>
    <row r="20" spans="1:32" ht="31.5" x14ac:dyDescent="0.35">
      <c r="A20" s="31"/>
      <c r="B20" s="11" t="s">
        <v>465</v>
      </c>
      <c r="C20" s="12">
        <v>1824</v>
      </c>
      <c r="D20" s="12">
        <v>81</v>
      </c>
      <c r="E20" s="12">
        <v>65</v>
      </c>
      <c r="F20" s="12">
        <v>58</v>
      </c>
      <c r="G20" s="12">
        <v>71</v>
      </c>
      <c r="H20" s="12">
        <v>55</v>
      </c>
      <c r="I20" s="12">
        <v>69</v>
      </c>
      <c r="J20" s="12">
        <v>14</v>
      </c>
      <c r="K20" s="12">
        <v>52</v>
      </c>
      <c r="L20" s="12">
        <v>76</v>
      </c>
      <c r="M20" s="12">
        <v>82</v>
      </c>
      <c r="N20" s="12">
        <v>83</v>
      </c>
      <c r="O20" s="12">
        <v>57</v>
      </c>
      <c r="P20" s="12">
        <v>103</v>
      </c>
      <c r="Q20" s="12">
        <v>100</v>
      </c>
      <c r="R20" s="12">
        <v>39</v>
      </c>
      <c r="S20" s="12">
        <v>41</v>
      </c>
      <c r="T20" s="12">
        <v>57</v>
      </c>
      <c r="U20" s="12">
        <v>51</v>
      </c>
      <c r="V20" s="12">
        <v>100</v>
      </c>
      <c r="W20" s="12">
        <v>41</v>
      </c>
      <c r="X20" s="12">
        <v>56</v>
      </c>
      <c r="Y20" s="12">
        <v>70</v>
      </c>
      <c r="Z20" s="12">
        <v>72</v>
      </c>
      <c r="AA20" s="12">
        <v>96</v>
      </c>
      <c r="AB20" s="12">
        <v>91</v>
      </c>
      <c r="AC20" s="12">
        <v>73</v>
      </c>
      <c r="AD20" s="12">
        <v>76</v>
      </c>
      <c r="AE20" s="12">
        <v>36</v>
      </c>
      <c r="AF20" s="12">
        <v>49</v>
      </c>
    </row>
    <row r="21" spans="1:32" ht="31.5" x14ac:dyDescent="0.35">
      <c r="A21" s="31"/>
      <c r="B21" s="13" t="s">
        <v>466</v>
      </c>
      <c r="C21" s="14">
        <v>7.0000000000000007E-2</v>
      </c>
      <c r="D21" s="14">
        <v>0.08</v>
      </c>
      <c r="E21" s="14">
        <v>7.0000000000000007E-2</v>
      </c>
      <c r="F21" s="14">
        <v>0.06</v>
      </c>
      <c r="G21" s="14">
        <v>7.0000000000000007E-2</v>
      </c>
      <c r="H21" s="14">
        <v>0.05</v>
      </c>
      <c r="I21" s="14">
        <v>0.05</v>
      </c>
      <c r="J21" s="14">
        <v>0.05</v>
      </c>
      <c r="K21" s="14">
        <v>0.05</v>
      </c>
      <c r="L21" s="14">
        <v>0.08</v>
      </c>
      <c r="M21" s="14">
        <v>0.09</v>
      </c>
      <c r="N21" s="14">
        <v>0.09</v>
      </c>
      <c r="O21" s="14">
        <v>0.06</v>
      </c>
      <c r="P21" s="14">
        <v>0.11</v>
      </c>
      <c r="Q21" s="14">
        <v>0.1</v>
      </c>
      <c r="R21" s="14">
        <v>0.08</v>
      </c>
      <c r="S21" s="14">
        <v>0.04</v>
      </c>
      <c r="T21" s="14">
        <v>0.06</v>
      </c>
      <c r="U21" s="14">
        <v>0.1</v>
      </c>
      <c r="V21" s="14">
        <v>0.1</v>
      </c>
      <c r="W21" s="14">
        <v>0.08</v>
      </c>
      <c r="X21" s="14">
        <v>0.06</v>
      </c>
      <c r="Y21" s="14">
        <v>7.0000000000000007E-2</v>
      </c>
      <c r="Z21" s="14">
        <v>7.0000000000000007E-2</v>
      </c>
      <c r="AA21" s="14">
        <v>0.1</v>
      </c>
      <c r="AB21" s="14">
        <v>0.09</v>
      </c>
      <c r="AC21" s="14">
        <v>7.0000000000000007E-2</v>
      </c>
      <c r="AD21" s="14">
        <v>0.08</v>
      </c>
      <c r="AE21" s="14">
        <v>0.04</v>
      </c>
      <c r="AF21" s="14">
        <v>0.05</v>
      </c>
    </row>
    <row r="22" spans="1:32" ht="31.5" x14ac:dyDescent="0.35">
      <c r="A22" s="31"/>
      <c r="B22" s="11" t="s">
        <v>467</v>
      </c>
      <c r="C22" s="12">
        <v>3659</v>
      </c>
      <c r="D22" s="12">
        <v>144</v>
      </c>
      <c r="E22" s="12">
        <v>131</v>
      </c>
      <c r="F22" s="12">
        <v>111</v>
      </c>
      <c r="G22" s="12">
        <v>202</v>
      </c>
      <c r="H22" s="12">
        <v>178</v>
      </c>
      <c r="I22" s="12">
        <v>222</v>
      </c>
      <c r="J22" s="12">
        <v>44</v>
      </c>
      <c r="K22" s="12">
        <v>148</v>
      </c>
      <c r="L22" s="12">
        <v>133</v>
      </c>
      <c r="M22" s="12">
        <v>165</v>
      </c>
      <c r="N22" s="12">
        <v>124</v>
      </c>
      <c r="O22" s="12">
        <v>135</v>
      </c>
      <c r="P22" s="12">
        <v>147</v>
      </c>
      <c r="Q22" s="12">
        <v>115</v>
      </c>
      <c r="R22" s="12">
        <v>111</v>
      </c>
      <c r="S22" s="12">
        <v>164</v>
      </c>
      <c r="T22" s="12">
        <v>207</v>
      </c>
      <c r="U22" s="12">
        <v>83</v>
      </c>
      <c r="V22" s="12">
        <v>150</v>
      </c>
      <c r="W22" s="12">
        <v>96</v>
      </c>
      <c r="X22" s="12">
        <v>185</v>
      </c>
      <c r="Y22" s="12">
        <v>150</v>
      </c>
      <c r="Z22" s="12">
        <v>111</v>
      </c>
      <c r="AA22" s="12">
        <v>221</v>
      </c>
      <c r="AB22" s="12">
        <v>146</v>
      </c>
      <c r="AC22" s="12">
        <v>156</v>
      </c>
      <c r="AD22" s="12">
        <v>136</v>
      </c>
      <c r="AE22" s="12">
        <v>164</v>
      </c>
      <c r="AF22" s="12">
        <v>195</v>
      </c>
    </row>
    <row r="23" spans="1:32" ht="31.5" x14ac:dyDescent="0.35">
      <c r="A23" s="31"/>
      <c r="B23" s="13" t="s">
        <v>468</v>
      </c>
      <c r="C23" s="14">
        <v>0.15</v>
      </c>
      <c r="D23" s="14">
        <v>0.16</v>
      </c>
      <c r="E23" s="14">
        <v>0.14000000000000001</v>
      </c>
      <c r="F23" s="14">
        <v>0.12</v>
      </c>
      <c r="G23" s="14">
        <v>0.22</v>
      </c>
      <c r="H23" s="14">
        <v>0.16</v>
      </c>
      <c r="I23" s="14">
        <v>0.16</v>
      </c>
      <c r="J23" s="14">
        <v>0.17</v>
      </c>
      <c r="K23" s="14">
        <v>0.16</v>
      </c>
      <c r="L23" s="14">
        <v>0.15</v>
      </c>
      <c r="M23" s="14">
        <v>0.18</v>
      </c>
      <c r="N23" s="14">
        <v>0.14000000000000001</v>
      </c>
      <c r="O23" s="14">
        <v>0.15</v>
      </c>
      <c r="P23" s="14">
        <v>0.16</v>
      </c>
      <c r="Q23" s="14">
        <v>0.12</v>
      </c>
      <c r="R23" s="14">
        <v>0.26</v>
      </c>
      <c r="S23" s="14">
        <v>0.19</v>
      </c>
      <c r="T23" s="14">
        <v>0.23</v>
      </c>
      <c r="U23" s="14">
        <v>0.18</v>
      </c>
      <c r="V23" s="14">
        <v>0.16</v>
      </c>
      <c r="W23" s="14">
        <v>0.21</v>
      </c>
      <c r="X23" s="14">
        <v>0.21</v>
      </c>
      <c r="Y23" s="14">
        <v>0.16</v>
      </c>
      <c r="Z23" s="14">
        <v>0.12</v>
      </c>
      <c r="AA23" s="14">
        <v>0.24</v>
      </c>
      <c r="AB23" s="14">
        <v>0.15</v>
      </c>
      <c r="AC23" s="14">
        <v>0.17</v>
      </c>
      <c r="AD23" s="14">
        <v>0.15</v>
      </c>
      <c r="AE23" s="14">
        <v>0.19</v>
      </c>
      <c r="AF23" s="14">
        <v>0.23</v>
      </c>
    </row>
    <row r="24" spans="1:32" ht="21.5" x14ac:dyDescent="0.35">
      <c r="A24" s="31"/>
      <c r="B24" s="11" t="s">
        <v>469</v>
      </c>
      <c r="C24" s="12">
        <v>1379</v>
      </c>
      <c r="D24" s="12">
        <v>65</v>
      </c>
      <c r="E24" s="12">
        <v>63</v>
      </c>
      <c r="F24" s="12">
        <v>45</v>
      </c>
      <c r="G24" s="12">
        <v>57</v>
      </c>
      <c r="H24" s="12">
        <v>31</v>
      </c>
      <c r="I24" s="12">
        <v>43</v>
      </c>
      <c r="J24" s="12">
        <v>12</v>
      </c>
      <c r="K24" s="12">
        <v>93</v>
      </c>
      <c r="L24" s="12">
        <v>68</v>
      </c>
      <c r="M24" s="12">
        <v>40</v>
      </c>
      <c r="N24" s="12">
        <v>35</v>
      </c>
      <c r="O24" s="12">
        <v>63</v>
      </c>
      <c r="P24" s="12">
        <v>76</v>
      </c>
      <c r="Q24" s="12">
        <v>68</v>
      </c>
      <c r="R24" s="12">
        <v>27</v>
      </c>
      <c r="S24" s="12">
        <v>42</v>
      </c>
      <c r="T24" s="12">
        <v>39</v>
      </c>
      <c r="U24" s="12">
        <v>25</v>
      </c>
      <c r="V24" s="12">
        <v>79</v>
      </c>
      <c r="W24" s="12">
        <v>40</v>
      </c>
      <c r="X24" s="12">
        <v>63</v>
      </c>
      <c r="Y24" s="12">
        <v>53</v>
      </c>
      <c r="Z24" s="12">
        <v>61</v>
      </c>
      <c r="AA24" s="12">
        <v>25</v>
      </c>
      <c r="AB24" s="12">
        <v>117</v>
      </c>
      <c r="AC24" s="12">
        <v>33</v>
      </c>
      <c r="AD24" s="12">
        <v>56</v>
      </c>
      <c r="AE24" s="12">
        <v>48</v>
      </c>
      <c r="AF24" s="12">
        <v>26</v>
      </c>
    </row>
    <row r="25" spans="1:32" ht="21.5" x14ac:dyDescent="0.35">
      <c r="A25" s="31"/>
      <c r="B25" s="13" t="s">
        <v>470</v>
      </c>
      <c r="C25" s="14">
        <v>0.05</v>
      </c>
      <c r="D25" s="14">
        <v>7.0000000000000007E-2</v>
      </c>
      <c r="E25" s="14">
        <v>0.06</v>
      </c>
      <c r="F25" s="14">
        <v>0.05</v>
      </c>
      <c r="G25" s="14">
        <v>0.06</v>
      </c>
      <c r="H25" s="14">
        <v>0.03</v>
      </c>
      <c r="I25" s="14">
        <v>0.03</v>
      </c>
      <c r="J25" s="14">
        <v>0.04</v>
      </c>
      <c r="K25" s="14">
        <v>0.1</v>
      </c>
      <c r="L25" s="14">
        <v>7.0000000000000007E-2</v>
      </c>
      <c r="M25" s="14">
        <v>0.04</v>
      </c>
      <c r="N25" s="14">
        <v>0.04</v>
      </c>
      <c r="O25" s="14">
        <v>7.0000000000000007E-2</v>
      </c>
      <c r="P25" s="14">
        <v>0.08</v>
      </c>
      <c r="Q25" s="14">
        <v>7.0000000000000007E-2</v>
      </c>
      <c r="R25" s="14">
        <v>0.06</v>
      </c>
      <c r="S25" s="14">
        <v>0.04</v>
      </c>
      <c r="T25" s="14">
        <v>0.04</v>
      </c>
      <c r="U25" s="14">
        <v>0.05</v>
      </c>
      <c r="V25" s="14">
        <v>0.08</v>
      </c>
      <c r="W25" s="14">
        <v>0.08</v>
      </c>
      <c r="X25" s="14">
        <v>7.0000000000000007E-2</v>
      </c>
      <c r="Y25" s="14">
        <v>0.05</v>
      </c>
      <c r="Z25" s="14">
        <v>0.06</v>
      </c>
      <c r="AA25" s="14">
        <v>0.02</v>
      </c>
      <c r="AB25" s="14">
        <v>0.12</v>
      </c>
      <c r="AC25" s="14">
        <v>0.03</v>
      </c>
      <c r="AD25" s="14">
        <v>0.06</v>
      </c>
      <c r="AE25" s="14">
        <v>0.05</v>
      </c>
      <c r="AF25" s="14">
        <v>0.03</v>
      </c>
    </row>
    <row r="26" spans="1:32" x14ac:dyDescent="0.35">
      <c r="A26" s="31"/>
      <c r="B26" s="11" t="s">
        <v>471</v>
      </c>
      <c r="C26" s="12">
        <v>2774</v>
      </c>
      <c r="D26" s="12">
        <v>79</v>
      </c>
      <c r="E26" s="12">
        <v>225</v>
      </c>
      <c r="F26" s="12">
        <v>173</v>
      </c>
      <c r="G26" s="12">
        <v>104</v>
      </c>
      <c r="H26" s="12">
        <v>72</v>
      </c>
      <c r="I26" s="12">
        <v>92</v>
      </c>
      <c r="J26" s="12">
        <v>20</v>
      </c>
      <c r="K26" s="12">
        <v>236</v>
      </c>
      <c r="L26" s="12">
        <v>148</v>
      </c>
      <c r="M26" s="12">
        <v>101</v>
      </c>
      <c r="N26" s="12">
        <v>74</v>
      </c>
      <c r="O26" s="12">
        <v>93</v>
      </c>
      <c r="P26" s="12">
        <v>145</v>
      </c>
      <c r="Q26" s="12">
        <v>146</v>
      </c>
      <c r="R26" s="12">
        <v>31</v>
      </c>
      <c r="S26" s="12">
        <v>141</v>
      </c>
      <c r="T26" s="12">
        <v>149</v>
      </c>
      <c r="U26" s="12">
        <v>67</v>
      </c>
      <c r="V26" s="12">
        <v>133</v>
      </c>
      <c r="W26" s="12">
        <v>38</v>
      </c>
      <c r="X26" s="12">
        <v>54</v>
      </c>
      <c r="Y26" s="12">
        <v>72</v>
      </c>
      <c r="Z26" s="12">
        <v>157</v>
      </c>
      <c r="AA26" s="12">
        <v>67</v>
      </c>
      <c r="AB26" s="12">
        <v>177</v>
      </c>
      <c r="AC26" s="12">
        <v>93</v>
      </c>
      <c r="AD26" s="12">
        <v>175</v>
      </c>
      <c r="AE26" s="12">
        <v>129</v>
      </c>
      <c r="AF26" s="12">
        <v>125</v>
      </c>
    </row>
    <row r="27" spans="1:32" x14ac:dyDescent="0.35">
      <c r="A27" s="31"/>
      <c r="B27" s="13" t="s">
        <v>472</v>
      </c>
      <c r="C27" s="14">
        <v>0.11</v>
      </c>
      <c r="D27" s="14">
        <v>0.08</v>
      </c>
      <c r="E27" s="14">
        <v>0.25</v>
      </c>
      <c r="F27" s="14">
        <v>0.19</v>
      </c>
      <c r="G27" s="14">
        <v>0.11</v>
      </c>
      <c r="H27" s="14">
        <v>0.06</v>
      </c>
      <c r="I27" s="14">
        <v>0.06</v>
      </c>
      <c r="J27" s="14">
        <v>7.0000000000000007E-2</v>
      </c>
      <c r="K27" s="14">
        <v>0.26</v>
      </c>
      <c r="L27" s="14">
        <v>0.17</v>
      </c>
      <c r="M27" s="14">
        <v>0.11</v>
      </c>
      <c r="N27" s="14">
        <v>0.08</v>
      </c>
      <c r="O27" s="14">
        <v>0.1</v>
      </c>
      <c r="P27" s="14">
        <v>0.16</v>
      </c>
      <c r="Q27" s="14">
        <v>0.15</v>
      </c>
      <c r="R27" s="14">
        <v>0.06</v>
      </c>
      <c r="S27" s="14">
        <v>0.15</v>
      </c>
      <c r="T27" s="14">
        <v>0.16</v>
      </c>
      <c r="U27" s="14">
        <v>0.14000000000000001</v>
      </c>
      <c r="V27" s="14">
        <v>0.15</v>
      </c>
      <c r="W27" s="14">
        <v>0.08</v>
      </c>
      <c r="X27" s="14">
        <v>0.06</v>
      </c>
      <c r="Y27" s="14">
        <v>7.0000000000000007E-2</v>
      </c>
      <c r="Z27" s="14">
        <v>0.18</v>
      </c>
      <c r="AA27" s="14">
        <v>7.0000000000000007E-2</v>
      </c>
      <c r="AB27" s="14">
        <v>0.18</v>
      </c>
      <c r="AC27" s="14">
        <v>0.1</v>
      </c>
      <c r="AD27" s="14">
        <v>0.19</v>
      </c>
      <c r="AE27" s="14">
        <v>0.13</v>
      </c>
      <c r="AF27" s="14">
        <v>0.13</v>
      </c>
    </row>
    <row r="28" spans="1:32" ht="21.5" x14ac:dyDescent="0.35">
      <c r="A28" s="31"/>
      <c r="B28" s="11" t="s">
        <v>473</v>
      </c>
      <c r="C28" s="12">
        <v>4070</v>
      </c>
      <c r="D28" s="12">
        <v>152</v>
      </c>
      <c r="E28" s="12">
        <v>146</v>
      </c>
      <c r="F28" s="12">
        <v>207</v>
      </c>
      <c r="G28" s="12">
        <v>196</v>
      </c>
      <c r="H28" s="12">
        <v>225</v>
      </c>
      <c r="I28" s="12">
        <v>284</v>
      </c>
      <c r="J28" s="12">
        <v>59</v>
      </c>
      <c r="K28" s="12">
        <v>199</v>
      </c>
      <c r="L28" s="12">
        <v>162</v>
      </c>
      <c r="M28" s="12">
        <v>158</v>
      </c>
      <c r="N28" s="12">
        <v>89</v>
      </c>
      <c r="O28" s="12">
        <v>150</v>
      </c>
      <c r="P28" s="12">
        <v>196</v>
      </c>
      <c r="Q28" s="12">
        <v>162</v>
      </c>
      <c r="R28" s="12">
        <v>64</v>
      </c>
      <c r="S28" s="12">
        <v>190</v>
      </c>
      <c r="T28" s="12">
        <v>155</v>
      </c>
      <c r="U28" s="12">
        <v>60</v>
      </c>
      <c r="V28" s="12">
        <v>168</v>
      </c>
      <c r="W28" s="12">
        <v>60</v>
      </c>
      <c r="X28" s="12">
        <v>162</v>
      </c>
      <c r="Y28" s="12">
        <v>192</v>
      </c>
      <c r="Z28" s="12">
        <v>122</v>
      </c>
      <c r="AA28" s="12">
        <v>151</v>
      </c>
      <c r="AB28" s="12">
        <v>136</v>
      </c>
      <c r="AC28" s="12">
        <v>147</v>
      </c>
      <c r="AD28" s="12">
        <v>158</v>
      </c>
      <c r="AE28" s="12">
        <v>144</v>
      </c>
      <c r="AF28" s="12">
        <v>266</v>
      </c>
    </row>
    <row r="29" spans="1:32" ht="21.5" x14ac:dyDescent="0.35">
      <c r="A29" s="31"/>
      <c r="B29" s="13" t="s">
        <v>474</v>
      </c>
      <c r="C29" s="14">
        <v>0.17</v>
      </c>
      <c r="D29" s="14">
        <v>0.16</v>
      </c>
      <c r="E29" s="14">
        <v>0.15</v>
      </c>
      <c r="F29" s="14">
        <v>0.23</v>
      </c>
      <c r="G29" s="14">
        <v>0.21</v>
      </c>
      <c r="H29" s="14">
        <v>0.2</v>
      </c>
      <c r="I29" s="14">
        <v>0.21</v>
      </c>
      <c r="J29" s="14">
        <v>0.22</v>
      </c>
      <c r="K29" s="14">
        <v>0.22</v>
      </c>
      <c r="L29" s="14">
        <v>0.18</v>
      </c>
      <c r="M29" s="14">
        <v>0.17</v>
      </c>
      <c r="N29" s="14">
        <v>0.1</v>
      </c>
      <c r="O29" s="14">
        <v>0.16</v>
      </c>
      <c r="P29" s="14">
        <v>0.21</v>
      </c>
      <c r="Q29" s="14">
        <v>0.17</v>
      </c>
      <c r="R29" s="14">
        <v>0.14000000000000001</v>
      </c>
      <c r="S29" s="14">
        <v>0.21</v>
      </c>
      <c r="T29" s="14">
        <v>0.17</v>
      </c>
      <c r="U29" s="14">
        <v>0.13</v>
      </c>
      <c r="V29" s="14">
        <v>0.18</v>
      </c>
      <c r="W29" s="14">
        <v>0.13</v>
      </c>
      <c r="X29" s="14">
        <v>0.18</v>
      </c>
      <c r="Y29" s="14">
        <v>0.21</v>
      </c>
      <c r="Z29" s="14">
        <v>0.12</v>
      </c>
      <c r="AA29" s="14">
        <v>0.16</v>
      </c>
      <c r="AB29" s="14">
        <v>0.14000000000000001</v>
      </c>
      <c r="AC29" s="14">
        <v>0.16</v>
      </c>
      <c r="AD29" s="14">
        <v>0.17</v>
      </c>
      <c r="AE29" s="14">
        <v>0.15</v>
      </c>
      <c r="AF29" s="14">
        <v>0.28999999999999998</v>
      </c>
    </row>
    <row r="30" spans="1:32" ht="41.5" x14ac:dyDescent="0.35">
      <c r="A30" s="31"/>
      <c r="B30" s="11" t="s">
        <v>475</v>
      </c>
      <c r="C30" s="12">
        <v>2631</v>
      </c>
      <c r="D30" s="12">
        <v>88</v>
      </c>
      <c r="E30" s="12">
        <v>103</v>
      </c>
      <c r="F30" s="12">
        <v>103</v>
      </c>
      <c r="G30" s="12">
        <v>108</v>
      </c>
      <c r="H30" s="12">
        <v>90</v>
      </c>
      <c r="I30" s="12">
        <v>123</v>
      </c>
      <c r="J30" s="12">
        <v>32</v>
      </c>
      <c r="K30" s="12">
        <v>65</v>
      </c>
      <c r="L30" s="12">
        <v>71</v>
      </c>
      <c r="M30" s="12">
        <v>141</v>
      </c>
      <c r="N30" s="12">
        <v>110</v>
      </c>
      <c r="O30" s="12">
        <v>94</v>
      </c>
      <c r="P30" s="12">
        <v>114</v>
      </c>
      <c r="Q30" s="12">
        <v>117</v>
      </c>
      <c r="R30" s="12">
        <v>76</v>
      </c>
      <c r="S30" s="12">
        <v>59</v>
      </c>
      <c r="T30" s="12">
        <v>84</v>
      </c>
      <c r="U30" s="12">
        <v>46</v>
      </c>
      <c r="V30" s="12">
        <v>89</v>
      </c>
      <c r="W30" s="12">
        <v>63</v>
      </c>
      <c r="X30" s="12">
        <v>90</v>
      </c>
      <c r="Y30" s="12">
        <v>109</v>
      </c>
      <c r="Z30" s="12">
        <v>104</v>
      </c>
      <c r="AA30" s="12">
        <v>184</v>
      </c>
      <c r="AB30" s="12">
        <v>80</v>
      </c>
      <c r="AC30" s="12">
        <v>88</v>
      </c>
      <c r="AD30" s="12">
        <v>107</v>
      </c>
      <c r="AE30" s="12">
        <v>129</v>
      </c>
      <c r="AF30" s="12">
        <v>115</v>
      </c>
    </row>
    <row r="31" spans="1:32" ht="31.5" x14ac:dyDescent="0.35">
      <c r="A31" s="31"/>
      <c r="B31" s="13" t="s">
        <v>476</v>
      </c>
      <c r="C31" s="14">
        <v>0.11</v>
      </c>
      <c r="D31" s="14">
        <v>0.09</v>
      </c>
      <c r="E31" s="14">
        <v>0.11</v>
      </c>
      <c r="F31" s="14">
        <v>0.11</v>
      </c>
      <c r="G31" s="14">
        <v>0.11</v>
      </c>
      <c r="H31" s="14">
        <v>0.08</v>
      </c>
      <c r="I31" s="14">
        <v>0.09</v>
      </c>
      <c r="J31" s="14">
        <v>0.11</v>
      </c>
      <c r="K31" s="14">
        <v>7.0000000000000007E-2</v>
      </c>
      <c r="L31" s="14">
        <v>7.0000000000000007E-2</v>
      </c>
      <c r="M31" s="14">
        <v>0.15</v>
      </c>
      <c r="N31" s="14">
        <v>0.12</v>
      </c>
      <c r="O31" s="14">
        <v>0.1</v>
      </c>
      <c r="P31" s="14">
        <v>0.12</v>
      </c>
      <c r="Q31" s="14">
        <v>0.12</v>
      </c>
      <c r="R31" s="14">
        <v>0.17</v>
      </c>
      <c r="S31" s="14">
        <v>0.06</v>
      </c>
      <c r="T31" s="14">
        <v>0.09</v>
      </c>
      <c r="U31" s="14">
        <v>0.09</v>
      </c>
      <c r="V31" s="14">
        <v>0.09</v>
      </c>
      <c r="W31" s="14">
        <v>0.13</v>
      </c>
      <c r="X31" s="14">
        <v>0.09</v>
      </c>
      <c r="Y31" s="14">
        <v>0.11</v>
      </c>
      <c r="Z31" s="14">
        <v>0.11</v>
      </c>
      <c r="AA31" s="14">
        <v>0.2</v>
      </c>
      <c r="AB31" s="14">
        <v>0.08</v>
      </c>
      <c r="AC31" s="14">
        <v>0.09</v>
      </c>
      <c r="AD31" s="14">
        <v>0.11</v>
      </c>
      <c r="AE31" s="14">
        <v>0.14000000000000001</v>
      </c>
      <c r="AF31" s="14">
        <v>0.12</v>
      </c>
    </row>
    <row r="32" spans="1:32" x14ac:dyDescent="0.35">
      <c r="A32" s="31"/>
      <c r="B32" s="11" t="s">
        <v>477</v>
      </c>
      <c r="C32" s="12">
        <v>5302</v>
      </c>
      <c r="D32" s="12">
        <v>203</v>
      </c>
      <c r="E32" s="12">
        <v>138</v>
      </c>
      <c r="F32" s="12">
        <v>186</v>
      </c>
      <c r="G32" s="12">
        <v>245</v>
      </c>
      <c r="H32" s="12">
        <v>352</v>
      </c>
      <c r="I32" s="12">
        <v>421</v>
      </c>
      <c r="J32" s="12">
        <v>69</v>
      </c>
      <c r="K32" s="12">
        <v>121</v>
      </c>
      <c r="L32" s="12">
        <v>167</v>
      </c>
      <c r="M32" s="12">
        <v>204</v>
      </c>
      <c r="N32" s="12">
        <v>203</v>
      </c>
      <c r="O32" s="12">
        <v>168</v>
      </c>
      <c r="P32" s="12">
        <v>102</v>
      </c>
      <c r="Q32" s="12">
        <v>201</v>
      </c>
      <c r="R32" s="12">
        <v>104</v>
      </c>
      <c r="S32" s="12">
        <v>148</v>
      </c>
      <c r="T32" s="12">
        <v>140</v>
      </c>
      <c r="U32" s="12">
        <v>100</v>
      </c>
      <c r="V32" s="12">
        <v>179</v>
      </c>
      <c r="W32" s="12">
        <v>74</v>
      </c>
      <c r="X32" s="12">
        <v>222</v>
      </c>
      <c r="Y32" s="12">
        <v>189</v>
      </c>
      <c r="Z32" s="12">
        <v>169</v>
      </c>
      <c r="AA32" s="12">
        <v>181</v>
      </c>
      <c r="AB32" s="12">
        <v>168</v>
      </c>
      <c r="AC32" s="12">
        <v>129</v>
      </c>
      <c r="AD32" s="12">
        <v>143</v>
      </c>
      <c r="AE32" s="12">
        <v>225</v>
      </c>
      <c r="AF32" s="12">
        <v>230</v>
      </c>
    </row>
    <row r="33" spans="1:32" x14ac:dyDescent="0.35">
      <c r="A33" s="31"/>
      <c r="B33" s="13" t="s">
        <v>478</v>
      </c>
      <c r="C33" s="14">
        <v>0.23</v>
      </c>
      <c r="D33" s="14">
        <v>0.23</v>
      </c>
      <c r="E33" s="14">
        <v>0.14000000000000001</v>
      </c>
      <c r="F33" s="14">
        <v>0.21</v>
      </c>
      <c r="G33" s="14">
        <v>0.3</v>
      </c>
      <c r="H33" s="14">
        <v>0.36</v>
      </c>
      <c r="I33" s="14">
        <v>0.34</v>
      </c>
      <c r="J33" s="14">
        <v>0.28000000000000003</v>
      </c>
      <c r="K33" s="14">
        <v>0.13</v>
      </c>
      <c r="L33" s="14">
        <v>0.18</v>
      </c>
      <c r="M33" s="14">
        <v>0.22</v>
      </c>
      <c r="N33" s="14">
        <v>0.24</v>
      </c>
      <c r="O33" s="14">
        <v>0.19</v>
      </c>
      <c r="P33" s="14">
        <v>0.11</v>
      </c>
      <c r="Q33" s="14">
        <v>0.22</v>
      </c>
      <c r="R33" s="14">
        <v>0.23</v>
      </c>
      <c r="S33" s="14">
        <v>0.16</v>
      </c>
      <c r="T33" s="14">
        <v>0.15</v>
      </c>
      <c r="U33" s="14">
        <v>0.23</v>
      </c>
      <c r="V33" s="14">
        <v>0.2</v>
      </c>
      <c r="W33" s="14">
        <v>0.16</v>
      </c>
      <c r="X33" s="14">
        <v>0.26</v>
      </c>
      <c r="Y33" s="14">
        <v>0.22</v>
      </c>
      <c r="Z33" s="14">
        <v>0.18</v>
      </c>
      <c r="AA33" s="14">
        <v>0.19</v>
      </c>
      <c r="AB33" s="14">
        <v>0.18</v>
      </c>
      <c r="AC33" s="14">
        <v>0.14000000000000001</v>
      </c>
      <c r="AD33" s="14">
        <v>0.15</v>
      </c>
      <c r="AE33" s="14">
        <v>0.26</v>
      </c>
      <c r="AF33" s="14">
        <v>0.3</v>
      </c>
    </row>
    <row r="34" spans="1:32" x14ac:dyDescent="0.35">
      <c r="A34" s="31"/>
      <c r="B34" s="11" t="s">
        <v>479</v>
      </c>
      <c r="C34" s="12">
        <v>4070</v>
      </c>
      <c r="D34" s="12">
        <v>157</v>
      </c>
      <c r="E34" s="12">
        <v>187</v>
      </c>
      <c r="F34" s="12">
        <v>136</v>
      </c>
      <c r="G34" s="12">
        <v>153</v>
      </c>
      <c r="H34" s="12">
        <v>277</v>
      </c>
      <c r="I34" s="12">
        <v>331</v>
      </c>
      <c r="J34" s="12">
        <v>55</v>
      </c>
      <c r="K34" s="12">
        <v>116</v>
      </c>
      <c r="L34" s="12">
        <v>145</v>
      </c>
      <c r="M34" s="12">
        <v>240</v>
      </c>
      <c r="N34" s="12">
        <v>160</v>
      </c>
      <c r="O34" s="12">
        <v>110</v>
      </c>
      <c r="P34" s="12">
        <v>166</v>
      </c>
      <c r="Q34" s="12">
        <v>128</v>
      </c>
      <c r="R34" s="12">
        <v>102</v>
      </c>
      <c r="S34" s="12">
        <v>151</v>
      </c>
      <c r="T34" s="12">
        <v>94</v>
      </c>
      <c r="U34" s="12">
        <v>65</v>
      </c>
      <c r="V34" s="12">
        <v>129</v>
      </c>
      <c r="W34" s="12">
        <v>96</v>
      </c>
      <c r="X34" s="12">
        <v>167</v>
      </c>
      <c r="Y34" s="12">
        <v>196</v>
      </c>
      <c r="Z34" s="12">
        <v>125</v>
      </c>
      <c r="AA34" s="12">
        <v>120</v>
      </c>
      <c r="AB34" s="12">
        <v>128</v>
      </c>
      <c r="AC34" s="12">
        <v>180</v>
      </c>
      <c r="AD34" s="12">
        <v>151</v>
      </c>
      <c r="AE34" s="12">
        <v>199</v>
      </c>
      <c r="AF34" s="12">
        <v>179</v>
      </c>
    </row>
    <row r="35" spans="1:32" x14ac:dyDescent="0.35">
      <c r="A35" s="31"/>
      <c r="B35" s="13" t="s">
        <v>480</v>
      </c>
      <c r="C35" s="14">
        <v>0.17</v>
      </c>
      <c r="D35" s="14">
        <v>0.16</v>
      </c>
      <c r="E35" s="14">
        <v>0.2</v>
      </c>
      <c r="F35" s="14">
        <v>0.14000000000000001</v>
      </c>
      <c r="G35" s="14">
        <v>0.16</v>
      </c>
      <c r="H35" s="14">
        <v>0.25</v>
      </c>
      <c r="I35" s="14">
        <v>0.24</v>
      </c>
      <c r="J35" s="14">
        <v>0.2</v>
      </c>
      <c r="K35" s="14">
        <v>0.12</v>
      </c>
      <c r="L35" s="14">
        <v>0.15</v>
      </c>
      <c r="M35" s="14">
        <v>0.28000000000000003</v>
      </c>
      <c r="N35" s="14">
        <v>0.18</v>
      </c>
      <c r="O35" s="14">
        <v>0.12</v>
      </c>
      <c r="P35" s="14">
        <v>0.18</v>
      </c>
      <c r="Q35" s="14">
        <v>0.13</v>
      </c>
      <c r="R35" s="14">
        <v>0.24</v>
      </c>
      <c r="S35" s="14">
        <v>0.16</v>
      </c>
      <c r="T35" s="14">
        <v>0.1</v>
      </c>
      <c r="U35" s="14">
        <v>0.14000000000000001</v>
      </c>
      <c r="V35" s="14">
        <v>0.13</v>
      </c>
      <c r="W35" s="14">
        <v>0.21</v>
      </c>
      <c r="X35" s="14">
        <v>0.18</v>
      </c>
      <c r="Y35" s="14">
        <v>0.21</v>
      </c>
      <c r="Z35" s="14">
        <v>0.13</v>
      </c>
      <c r="AA35" s="14">
        <v>0.13</v>
      </c>
      <c r="AB35" s="14">
        <v>0.14000000000000001</v>
      </c>
      <c r="AC35" s="14">
        <v>0.2</v>
      </c>
      <c r="AD35" s="14">
        <v>0.16</v>
      </c>
      <c r="AE35" s="14">
        <v>0.23</v>
      </c>
      <c r="AF35" s="14">
        <v>0.19</v>
      </c>
    </row>
    <row r="36" spans="1:32" ht="41.5" x14ac:dyDescent="0.35">
      <c r="A36" s="31"/>
      <c r="B36" s="11" t="s">
        <v>481</v>
      </c>
      <c r="C36" s="12">
        <v>2520</v>
      </c>
      <c r="D36" s="12">
        <v>79</v>
      </c>
      <c r="E36" s="12">
        <v>173</v>
      </c>
      <c r="F36" s="12">
        <v>153</v>
      </c>
      <c r="G36" s="12">
        <v>106</v>
      </c>
      <c r="H36" s="12">
        <v>94</v>
      </c>
      <c r="I36" s="12">
        <v>115</v>
      </c>
      <c r="J36" s="12">
        <v>22</v>
      </c>
      <c r="K36" s="12">
        <v>173</v>
      </c>
      <c r="L36" s="12">
        <v>112</v>
      </c>
      <c r="M36" s="12">
        <v>139</v>
      </c>
      <c r="N36" s="12">
        <v>78</v>
      </c>
      <c r="O36" s="12">
        <v>75</v>
      </c>
      <c r="P36" s="12">
        <v>123</v>
      </c>
      <c r="Q36" s="12">
        <v>114</v>
      </c>
      <c r="R36" s="12">
        <v>64</v>
      </c>
      <c r="S36" s="12">
        <v>110</v>
      </c>
      <c r="T36" s="12">
        <v>120</v>
      </c>
      <c r="U36" s="12">
        <v>33</v>
      </c>
      <c r="V36" s="12">
        <v>120</v>
      </c>
      <c r="W36" s="12">
        <v>39</v>
      </c>
      <c r="X36" s="12">
        <v>97</v>
      </c>
      <c r="Y36" s="12">
        <v>127</v>
      </c>
      <c r="Z36" s="12">
        <v>102</v>
      </c>
      <c r="AA36" s="12">
        <v>84</v>
      </c>
      <c r="AB36" s="12">
        <v>154</v>
      </c>
      <c r="AC36" s="12">
        <v>106</v>
      </c>
      <c r="AD36" s="12">
        <v>151</v>
      </c>
      <c r="AE36" s="12">
        <v>69</v>
      </c>
      <c r="AF36" s="12">
        <v>62</v>
      </c>
    </row>
    <row r="37" spans="1:32" ht="41.5" x14ac:dyDescent="0.35">
      <c r="A37" s="31"/>
      <c r="B37" s="13" t="s">
        <v>482</v>
      </c>
      <c r="C37" s="14">
        <v>0.1</v>
      </c>
      <c r="D37" s="14">
        <v>0.08</v>
      </c>
      <c r="E37" s="14">
        <v>0.18</v>
      </c>
      <c r="F37" s="14">
        <v>0.17</v>
      </c>
      <c r="G37" s="14">
        <v>0.11</v>
      </c>
      <c r="H37" s="14">
        <v>0.08</v>
      </c>
      <c r="I37" s="14">
        <v>0.08</v>
      </c>
      <c r="J37" s="14">
        <v>0.08</v>
      </c>
      <c r="K37" s="14">
        <v>0.19</v>
      </c>
      <c r="L37" s="14">
        <v>0.12</v>
      </c>
      <c r="M37" s="14">
        <v>0.15</v>
      </c>
      <c r="N37" s="14">
        <v>0.08</v>
      </c>
      <c r="O37" s="14">
        <v>0.08</v>
      </c>
      <c r="P37" s="14">
        <v>0.13</v>
      </c>
      <c r="Q37" s="14">
        <v>0.12</v>
      </c>
      <c r="R37" s="14">
        <v>0.14000000000000001</v>
      </c>
      <c r="S37" s="14">
        <v>0.12</v>
      </c>
      <c r="T37" s="14">
        <v>0.13</v>
      </c>
      <c r="U37" s="14">
        <v>7.0000000000000007E-2</v>
      </c>
      <c r="V37" s="14">
        <v>0.13</v>
      </c>
      <c r="W37" s="14">
        <v>0.09</v>
      </c>
      <c r="X37" s="14">
        <v>0.1</v>
      </c>
      <c r="Y37" s="14">
        <v>0.13</v>
      </c>
      <c r="Z37" s="14">
        <v>0.11</v>
      </c>
      <c r="AA37" s="14">
        <v>0.09</v>
      </c>
      <c r="AB37" s="14">
        <v>0.16</v>
      </c>
      <c r="AC37" s="14">
        <v>0.11</v>
      </c>
      <c r="AD37" s="14">
        <v>0.16</v>
      </c>
      <c r="AE37" s="14">
        <v>7.0000000000000007E-2</v>
      </c>
      <c r="AF37" s="14">
        <v>0.06</v>
      </c>
    </row>
    <row r="38" spans="1:32" ht="21.5" x14ac:dyDescent="0.35">
      <c r="A38" s="31"/>
      <c r="B38" s="11" t="s">
        <v>483</v>
      </c>
      <c r="C38" s="12">
        <v>1052</v>
      </c>
      <c r="D38" s="12">
        <v>35</v>
      </c>
      <c r="E38" s="12">
        <v>42</v>
      </c>
      <c r="F38" s="12">
        <v>14</v>
      </c>
      <c r="G38" s="12">
        <v>31</v>
      </c>
      <c r="H38" s="12">
        <v>50</v>
      </c>
      <c r="I38" s="12">
        <v>57</v>
      </c>
      <c r="J38" s="12">
        <v>8</v>
      </c>
      <c r="K38" s="12">
        <v>36</v>
      </c>
      <c r="L38" s="12">
        <v>43</v>
      </c>
      <c r="M38" s="12">
        <v>35</v>
      </c>
      <c r="N38" s="12">
        <v>36</v>
      </c>
      <c r="O38" s="12">
        <v>28</v>
      </c>
      <c r="P38" s="12">
        <v>32</v>
      </c>
      <c r="Q38" s="12">
        <v>65</v>
      </c>
      <c r="R38" s="12">
        <v>7</v>
      </c>
      <c r="S38" s="12">
        <v>13</v>
      </c>
      <c r="T38" s="12">
        <v>23</v>
      </c>
      <c r="U38" s="12">
        <v>18</v>
      </c>
      <c r="V38" s="12">
        <v>54</v>
      </c>
      <c r="W38" s="12">
        <v>16</v>
      </c>
      <c r="X38" s="12">
        <v>25</v>
      </c>
      <c r="Y38" s="12">
        <v>69</v>
      </c>
      <c r="Z38" s="12">
        <v>54</v>
      </c>
      <c r="AA38" s="12">
        <v>32</v>
      </c>
      <c r="AB38" s="12">
        <v>52</v>
      </c>
      <c r="AC38" s="12">
        <v>16</v>
      </c>
      <c r="AD38" s="12">
        <v>31</v>
      </c>
      <c r="AE38" s="12">
        <v>13</v>
      </c>
      <c r="AF38" s="12">
        <v>35</v>
      </c>
    </row>
    <row r="39" spans="1:32" ht="21.5" x14ac:dyDescent="0.35">
      <c r="A39" s="31"/>
      <c r="B39" s="13" t="s">
        <v>484</v>
      </c>
      <c r="C39" s="14">
        <v>0.04</v>
      </c>
      <c r="D39" s="14">
        <v>0.03</v>
      </c>
      <c r="E39" s="14">
        <v>0.04</v>
      </c>
      <c r="F39" s="14">
        <v>0.01</v>
      </c>
      <c r="G39" s="14">
        <v>0.03</v>
      </c>
      <c r="H39" s="14">
        <v>0.04</v>
      </c>
      <c r="I39" s="14">
        <v>0.04</v>
      </c>
      <c r="J39" s="14">
        <v>0.03</v>
      </c>
      <c r="K39" s="14">
        <v>0.04</v>
      </c>
      <c r="L39" s="14">
        <v>0.04</v>
      </c>
      <c r="M39" s="14">
        <v>0.04</v>
      </c>
      <c r="N39" s="14">
        <v>0.04</v>
      </c>
      <c r="O39" s="14">
        <v>0.03</v>
      </c>
      <c r="P39" s="14">
        <v>0.03</v>
      </c>
      <c r="Q39" s="14">
        <v>0.06</v>
      </c>
      <c r="R39" s="14">
        <v>0.01</v>
      </c>
      <c r="S39" s="14">
        <v>0.01</v>
      </c>
      <c r="T39" s="14">
        <v>0.02</v>
      </c>
      <c r="U39" s="14">
        <v>0.04</v>
      </c>
      <c r="V39" s="14">
        <v>0.05</v>
      </c>
      <c r="W39" s="14">
        <v>0.03</v>
      </c>
      <c r="X39" s="14">
        <v>0.02</v>
      </c>
      <c r="Y39" s="14">
        <v>7.0000000000000007E-2</v>
      </c>
      <c r="Z39" s="14">
        <v>0.05</v>
      </c>
      <c r="AA39" s="14">
        <v>0.03</v>
      </c>
      <c r="AB39" s="14">
        <v>0.05</v>
      </c>
      <c r="AC39" s="14">
        <v>0.02</v>
      </c>
      <c r="AD39" s="14">
        <v>0.03</v>
      </c>
      <c r="AE39" s="14">
        <v>0.01</v>
      </c>
      <c r="AF39" s="14">
        <v>0.03</v>
      </c>
    </row>
    <row r="40" spans="1:32" x14ac:dyDescent="0.35">
      <c r="A40" s="31"/>
      <c r="B40" s="11" t="s">
        <v>485</v>
      </c>
      <c r="C40" s="12">
        <v>5719</v>
      </c>
      <c r="D40" s="12">
        <v>229</v>
      </c>
      <c r="E40" s="12">
        <v>232</v>
      </c>
      <c r="F40" s="12">
        <v>218</v>
      </c>
      <c r="G40" s="12">
        <v>216</v>
      </c>
      <c r="H40" s="12">
        <v>305</v>
      </c>
      <c r="I40" s="12">
        <v>377</v>
      </c>
      <c r="J40" s="12">
        <v>72</v>
      </c>
      <c r="K40" s="12">
        <v>228</v>
      </c>
      <c r="L40" s="12">
        <v>209</v>
      </c>
      <c r="M40" s="12">
        <v>284</v>
      </c>
      <c r="N40" s="12">
        <v>195</v>
      </c>
      <c r="O40" s="12">
        <v>261</v>
      </c>
      <c r="P40" s="12">
        <v>180</v>
      </c>
      <c r="Q40" s="12">
        <v>198</v>
      </c>
      <c r="R40" s="12">
        <v>129</v>
      </c>
      <c r="S40" s="12">
        <v>193</v>
      </c>
      <c r="T40" s="12">
        <v>213</v>
      </c>
      <c r="U40" s="12">
        <v>118</v>
      </c>
      <c r="V40" s="12">
        <v>198</v>
      </c>
      <c r="W40" s="12">
        <v>109</v>
      </c>
      <c r="X40" s="12">
        <v>205</v>
      </c>
      <c r="Y40" s="12">
        <v>192</v>
      </c>
      <c r="Z40" s="12">
        <v>161</v>
      </c>
      <c r="AA40" s="12">
        <v>194</v>
      </c>
      <c r="AB40" s="12">
        <v>182</v>
      </c>
      <c r="AC40" s="12">
        <v>256</v>
      </c>
      <c r="AD40" s="12">
        <v>228</v>
      </c>
      <c r="AE40" s="12">
        <v>224</v>
      </c>
      <c r="AF40" s="12">
        <v>253</v>
      </c>
    </row>
    <row r="41" spans="1:32" x14ac:dyDescent="0.35">
      <c r="A41" s="31"/>
      <c r="B41" s="13" t="s">
        <v>486</v>
      </c>
      <c r="C41" s="14">
        <v>0.28999999999999998</v>
      </c>
      <c r="D41" s="14">
        <v>0.28000000000000003</v>
      </c>
      <c r="E41" s="14">
        <v>0.3</v>
      </c>
      <c r="F41" s="14">
        <v>0.32</v>
      </c>
      <c r="G41" s="14">
        <v>0.28000000000000003</v>
      </c>
      <c r="H41" s="14">
        <v>0.36</v>
      </c>
      <c r="I41" s="14">
        <v>0.36</v>
      </c>
      <c r="J41" s="14">
        <v>0.36</v>
      </c>
      <c r="K41" s="14">
        <v>0.34</v>
      </c>
      <c r="L41" s="14">
        <v>0.26</v>
      </c>
      <c r="M41" s="14">
        <v>0.36</v>
      </c>
      <c r="N41" s="14">
        <v>0.25</v>
      </c>
      <c r="O41" s="14">
        <v>0.37</v>
      </c>
      <c r="P41" s="14">
        <v>0.25</v>
      </c>
      <c r="Q41" s="14">
        <v>0.26</v>
      </c>
      <c r="R41" s="14">
        <v>0.32</v>
      </c>
      <c r="S41" s="14">
        <v>0.3</v>
      </c>
      <c r="T41" s="14">
        <v>0.36</v>
      </c>
      <c r="U41" s="14">
        <v>0.32</v>
      </c>
      <c r="V41" s="14">
        <v>0.25</v>
      </c>
      <c r="W41" s="14">
        <v>0.28000000000000003</v>
      </c>
      <c r="X41" s="14">
        <v>0.25</v>
      </c>
      <c r="Y41" s="14">
        <v>0.26</v>
      </c>
      <c r="Z41" s="14">
        <v>0.21</v>
      </c>
      <c r="AA41" s="14">
        <v>0.26</v>
      </c>
      <c r="AB41" s="14">
        <v>0.21</v>
      </c>
      <c r="AC41" s="14">
        <v>0.37</v>
      </c>
      <c r="AD41" s="14">
        <v>0.28999999999999998</v>
      </c>
      <c r="AE41" s="14">
        <v>0.3</v>
      </c>
      <c r="AF41" s="14">
        <v>0.28999999999999998</v>
      </c>
    </row>
    <row r="42" spans="1:32" x14ac:dyDescent="0.35">
      <c r="A42" s="31"/>
      <c r="B42" s="11" t="s">
        <v>407</v>
      </c>
      <c r="C42" s="12">
        <v>48</v>
      </c>
      <c r="D42" s="12">
        <v>0</v>
      </c>
      <c r="E42" s="12">
        <v>3</v>
      </c>
      <c r="F42" s="12">
        <v>1</v>
      </c>
      <c r="G42" s="12">
        <v>0</v>
      </c>
      <c r="H42" s="12">
        <v>1</v>
      </c>
      <c r="I42" s="12">
        <v>1</v>
      </c>
      <c r="J42" s="12">
        <v>0</v>
      </c>
      <c r="K42" s="12">
        <v>10</v>
      </c>
      <c r="L42" s="12">
        <v>3</v>
      </c>
      <c r="M42" s="12">
        <v>2</v>
      </c>
      <c r="N42" s="12">
        <v>2</v>
      </c>
      <c r="O42" s="12">
        <v>3</v>
      </c>
      <c r="P42" s="12">
        <v>3</v>
      </c>
      <c r="Q42" s="12">
        <v>0</v>
      </c>
      <c r="R42" s="12">
        <v>1</v>
      </c>
      <c r="S42" s="12">
        <v>4</v>
      </c>
      <c r="T42" s="12">
        <v>5</v>
      </c>
      <c r="U42" s="12">
        <v>4</v>
      </c>
      <c r="V42" s="12">
        <v>0</v>
      </c>
      <c r="W42" s="12">
        <v>0</v>
      </c>
      <c r="X42" s="12">
        <v>4</v>
      </c>
      <c r="Y42" s="12">
        <v>12</v>
      </c>
      <c r="Z42" s="12">
        <v>1</v>
      </c>
      <c r="AA42" s="12">
        <v>1</v>
      </c>
      <c r="AB42" s="12">
        <v>7</v>
      </c>
      <c r="AC42" s="12">
        <v>0</v>
      </c>
      <c r="AD42" s="12">
        <v>0</v>
      </c>
      <c r="AE42" s="12">
        <v>1</v>
      </c>
      <c r="AF42" s="12">
        <v>0</v>
      </c>
    </row>
    <row r="43" spans="1:32" x14ac:dyDescent="0.35">
      <c r="A43" s="31"/>
      <c r="B43" s="13" t="s">
        <v>408</v>
      </c>
      <c r="C43" s="15" t="s">
        <v>333</v>
      </c>
      <c r="D43" s="15" t="s">
        <v>333</v>
      </c>
      <c r="E43" s="15" t="s">
        <v>333</v>
      </c>
      <c r="F43" s="15" t="s">
        <v>333</v>
      </c>
      <c r="G43" s="15" t="s">
        <v>333</v>
      </c>
      <c r="H43" s="15" t="s">
        <v>333</v>
      </c>
      <c r="I43" s="15" t="s">
        <v>333</v>
      </c>
      <c r="J43" s="15" t="s">
        <v>333</v>
      </c>
      <c r="K43" s="14">
        <v>0.01</v>
      </c>
      <c r="L43" s="15" t="s">
        <v>333</v>
      </c>
      <c r="M43" s="15" t="s">
        <v>333</v>
      </c>
      <c r="N43" s="15" t="s">
        <v>333</v>
      </c>
      <c r="O43" s="15" t="s">
        <v>333</v>
      </c>
      <c r="P43" s="15" t="s">
        <v>333</v>
      </c>
      <c r="Q43" s="15" t="s">
        <v>333</v>
      </c>
      <c r="R43" s="15" t="s">
        <v>333</v>
      </c>
      <c r="S43" s="15" t="s">
        <v>333</v>
      </c>
      <c r="T43" s="14">
        <v>0.01</v>
      </c>
      <c r="U43" s="14">
        <v>0.01</v>
      </c>
      <c r="V43" s="15" t="s">
        <v>333</v>
      </c>
      <c r="W43" s="15" t="s">
        <v>333</v>
      </c>
      <c r="X43" s="15" t="s">
        <v>333</v>
      </c>
      <c r="Y43" s="14">
        <v>0.01</v>
      </c>
      <c r="Z43" s="15" t="s">
        <v>333</v>
      </c>
      <c r="AA43" s="15" t="s">
        <v>333</v>
      </c>
      <c r="AB43" s="14">
        <v>0.01</v>
      </c>
      <c r="AC43" s="15" t="s">
        <v>333</v>
      </c>
      <c r="AD43" s="15" t="s">
        <v>333</v>
      </c>
      <c r="AE43" s="15" t="s">
        <v>333</v>
      </c>
      <c r="AF43" s="15" t="s">
        <v>333</v>
      </c>
    </row>
    <row r="44" spans="1:32" x14ac:dyDescent="0.35">
      <c r="A44" s="31"/>
      <c r="B44" s="11" t="s">
        <v>452</v>
      </c>
      <c r="C44" s="12">
        <v>191</v>
      </c>
      <c r="D44" s="12">
        <v>3</v>
      </c>
      <c r="E44" s="12">
        <v>1</v>
      </c>
      <c r="F44" s="12">
        <v>7</v>
      </c>
      <c r="G44" s="12">
        <v>4</v>
      </c>
      <c r="H44" s="12">
        <v>3</v>
      </c>
      <c r="I44" s="12">
        <v>4</v>
      </c>
      <c r="J44" s="12">
        <v>1</v>
      </c>
      <c r="K44" s="12">
        <v>5</v>
      </c>
      <c r="L44" s="12">
        <v>6</v>
      </c>
      <c r="M44" s="12">
        <v>0</v>
      </c>
      <c r="N44" s="12">
        <v>21</v>
      </c>
      <c r="O44" s="12">
        <v>21</v>
      </c>
      <c r="P44" s="12">
        <v>0</v>
      </c>
      <c r="Q44" s="12">
        <v>2</v>
      </c>
      <c r="R44" s="12">
        <v>4</v>
      </c>
      <c r="S44" s="12">
        <v>8</v>
      </c>
      <c r="T44" s="12">
        <v>9</v>
      </c>
      <c r="U44" s="12">
        <v>2</v>
      </c>
      <c r="V44" s="12">
        <v>0</v>
      </c>
      <c r="W44" s="12">
        <v>1</v>
      </c>
      <c r="X44" s="12">
        <v>6</v>
      </c>
      <c r="Y44" s="12">
        <v>0</v>
      </c>
      <c r="Z44" s="12">
        <v>3</v>
      </c>
      <c r="AA44" s="12">
        <v>0</v>
      </c>
      <c r="AB44" s="12">
        <v>0</v>
      </c>
      <c r="AC44" s="12">
        <v>8</v>
      </c>
      <c r="AD44" s="12">
        <v>1</v>
      </c>
      <c r="AE44" s="12">
        <v>8</v>
      </c>
      <c r="AF44" s="12">
        <v>2</v>
      </c>
    </row>
    <row r="45" spans="1:32" x14ac:dyDescent="0.35">
      <c r="A45" s="31"/>
      <c r="B45" s="13" t="s">
        <v>453</v>
      </c>
      <c r="C45" s="14">
        <v>0.01</v>
      </c>
      <c r="D45" s="15" t="s">
        <v>333</v>
      </c>
      <c r="E45" s="15" t="s">
        <v>333</v>
      </c>
      <c r="F45" s="14">
        <v>0.01</v>
      </c>
      <c r="G45" s="15" t="s">
        <v>333</v>
      </c>
      <c r="H45" s="15" t="s">
        <v>333</v>
      </c>
      <c r="I45" s="15" t="s">
        <v>333</v>
      </c>
      <c r="J45" s="15" t="s">
        <v>333</v>
      </c>
      <c r="K45" s="14">
        <v>0.01</v>
      </c>
      <c r="L45" s="14">
        <v>0.01</v>
      </c>
      <c r="M45" s="15" t="s">
        <v>333</v>
      </c>
      <c r="N45" s="14">
        <v>0.02</v>
      </c>
      <c r="O45" s="14">
        <v>0.02</v>
      </c>
      <c r="P45" s="15" t="s">
        <v>333</v>
      </c>
      <c r="Q45" s="15" t="s">
        <v>333</v>
      </c>
      <c r="R45" s="14">
        <v>0.01</v>
      </c>
      <c r="S45" s="14">
        <v>0.01</v>
      </c>
      <c r="T45" s="14">
        <v>0.01</v>
      </c>
      <c r="U45" s="15" t="s">
        <v>333</v>
      </c>
      <c r="V45" s="15" t="s">
        <v>333</v>
      </c>
      <c r="W45" s="15" t="s">
        <v>333</v>
      </c>
      <c r="X45" s="14">
        <v>0.01</v>
      </c>
      <c r="Y45" s="15" t="s">
        <v>333</v>
      </c>
      <c r="Z45" s="15" t="s">
        <v>333</v>
      </c>
      <c r="AA45" s="15" t="s">
        <v>333</v>
      </c>
      <c r="AB45" s="15" t="s">
        <v>333</v>
      </c>
      <c r="AC45" s="14">
        <v>0.01</v>
      </c>
      <c r="AD45" s="15" t="s">
        <v>333</v>
      </c>
      <c r="AE45" s="14">
        <v>0.01</v>
      </c>
      <c r="AF45" s="15" t="s">
        <v>333</v>
      </c>
    </row>
    <row r="46" spans="1:32" x14ac:dyDescent="0.35">
      <c r="A46" s="31"/>
      <c r="B46" s="11" t="s">
        <v>344</v>
      </c>
      <c r="C46" s="12">
        <v>173</v>
      </c>
      <c r="D46" s="12">
        <v>1</v>
      </c>
      <c r="E46" s="12">
        <v>2</v>
      </c>
      <c r="F46" s="12">
        <v>6</v>
      </c>
      <c r="G46" s="12">
        <v>2</v>
      </c>
      <c r="H46" s="12">
        <v>2</v>
      </c>
      <c r="I46" s="12">
        <v>3</v>
      </c>
      <c r="J46" s="12">
        <v>1</v>
      </c>
      <c r="K46" s="12">
        <v>8</v>
      </c>
      <c r="L46" s="12">
        <v>3</v>
      </c>
      <c r="M46" s="12">
        <v>1</v>
      </c>
      <c r="N46" s="12">
        <v>21</v>
      </c>
      <c r="O46" s="12">
        <v>9</v>
      </c>
      <c r="P46" s="12">
        <v>1</v>
      </c>
      <c r="Q46" s="12">
        <v>4</v>
      </c>
      <c r="R46" s="12">
        <v>0</v>
      </c>
      <c r="S46" s="12">
        <v>41</v>
      </c>
      <c r="T46" s="12">
        <v>11</v>
      </c>
      <c r="U46" s="12">
        <v>5</v>
      </c>
      <c r="V46" s="12">
        <v>1</v>
      </c>
      <c r="W46" s="12">
        <v>1</v>
      </c>
      <c r="X46" s="12">
        <v>3</v>
      </c>
      <c r="Y46" s="12">
        <v>7</v>
      </c>
      <c r="Z46" s="12">
        <v>7</v>
      </c>
      <c r="AA46" s="12">
        <v>10</v>
      </c>
      <c r="AB46" s="12">
        <v>4</v>
      </c>
      <c r="AC46" s="12">
        <v>4</v>
      </c>
      <c r="AD46" s="12">
        <v>1</v>
      </c>
      <c r="AE46" s="12">
        <v>14</v>
      </c>
      <c r="AF46" s="12">
        <v>1</v>
      </c>
    </row>
    <row r="47" spans="1:32" x14ac:dyDescent="0.35">
      <c r="A47" s="31"/>
      <c r="B47" s="13" t="s">
        <v>357</v>
      </c>
      <c r="C47" s="14">
        <v>0.01</v>
      </c>
      <c r="D47" s="15" t="s">
        <v>333</v>
      </c>
      <c r="E47" s="15" t="s">
        <v>333</v>
      </c>
      <c r="F47" s="14">
        <v>0.01</v>
      </c>
      <c r="G47" s="15" t="s">
        <v>333</v>
      </c>
      <c r="H47" s="15" t="s">
        <v>333</v>
      </c>
      <c r="I47" s="15" t="s">
        <v>333</v>
      </c>
      <c r="J47" s="15" t="s">
        <v>333</v>
      </c>
      <c r="K47" s="14">
        <v>0.01</v>
      </c>
      <c r="L47" s="15" t="s">
        <v>333</v>
      </c>
      <c r="M47" s="15" t="s">
        <v>333</v>
      </c>
      <c r="N47" s="14">
        <v>0.02</v>
      </c>
      <c r="O47" s="14">
        <v>0.01</v>
      </c>
      <c r="P47" s="15" t="s">
        <v>333</v>
      </c>
      <c r="Q47" s="15" t="s">
        <v>333</v>
      </c>
      <c r="R47" s="15" t="s">
        <v>333</v>
      </c>
      <c r="S47" s="14">
        <v>0.04</v>
      </c>
      <c r="T47" s="14">
        <v>0.01</v>
      </c>
      <c r="U47" s="14">
        <v>0.01</v>
      </c>
      <c r="V47" s="15" t="s">
        <v>333</v>
      </c>
      <c r="W47" s="15" t="s">
        <v>333</v>
      </c>
      <c r="X47" s="15" t="s">
        <v>333</v>
      </c>
      <c r="Y47" s="14">
        <v>0.01</v>
      </c>
      <c r="Z47" s="14">
        <v>0.01</v>
      </c>
      <c r="AA47" s="14">
        <v>0.01</v>
      </c>
      <c r="AB47" s="15" t="s">
        <v>333</v>
      </c>
      <c r="AC47" s="15" t="s">
        <v>333</v>
      </c>
      <c r="AD47" s="15" t="s">
        <v>333</v>
      </c>
      <c r="AE47" s="14">
        <v>0.01</v>
      </c>
      <c r="AF47" s="15" t="s">
        <v>333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41</v>
      </c>
      <c r="C3" s="30"/>
      <c r="D3" s="30"/>
      <c r="E3" s="30"/>
      <c r="F3" s="30"/>
      <c r="H3" s="30" t="s">
        <v>42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457</v>
      </c>
      <c r="C12" s="12">
        <v>3554</v>
      </c>
      <c r="D12" s="12">
        <v>201</v>
      </c>
      <c r="E12" s="12">
        <v>70</v>
      </c>
      <c r="F12" s="12">
        <v>74</v>
      </c>
      <c r="G12" s="12">
        <v>93</v>
      </c>
      <c r="H12" s="12">
        <v>102</v>
      </c>
      <c r="I12" s="12">
        <v>145</v>
      </c>
      <c r="J12" s="12">
        <v>44</v>
      </c>
      <c r="K12" s="12">
        <v>80</v>
      </c>
      <c r="L12" s="12">
        <v>171</v>
      </c>
      <c r="M12" s="12">
        <v>58</v>
      </c>
      <c r="N12" s="12">
        <v>186</v>
      </c>
      <c r="O12" s="12">
        <v>176</v>
      </c>
      <c r="P12" s="12">
        <v>118</v>
      </c>
      <c r="Q12" s="12">
        <v>162</v>
      </c>
      <c r="R12" s="12">
        <v>50</v>
      </c>
      <c r="S12" s="12">
        <v>45</v>
      </c>
      <c r="T12" s="12">
        <v>62</v>
      </c>
      <c r="U12" s="12">
        <v>73</v>
      </c>
      <c r="V12" s="12">
        <v>86</v>
      </c>
      <c r="W12" s="12">
        <v>55</v>
      </c>
      <c r="X12" s="12">
        <v>152</v>
      </c>
      <c r="Y12" s="12">
        <v>171</v>
      </c>
      <c r="Z12" s="12">
        <v>118</v>
      </c>
      <c r="AA12" s="12">
        <v>176</v>
      </c>
      <c r="AB12" s="12">
        <v>74</v>
      </c>
      <c r="AC12" s="12">
        <v>114</v>
      </c>
      <c r="AD12" s="12">
        <v>84</v>
      </c>
      <c r="AE12" s="12">
        <v>127</v>
      </c>
      <c r="AF12" s="12">
        <v>166</v>
      </c>
    </row>
    <row r="13" spans="1:32" ht="21.5" x14ac:dyDescent="0.35">
      <c r="A13" s="31"/>
      <c r="B13" s="13" t="s">
        <v>458</v>
      </c>
      <c r="C13" s="14">
        <v>0.13</v>
      </c>
      <c r="D13" s="14">
        <v>0.2</v>
      </c>
      <c r="E13" s="14">
        <v>7.0000000000000007E-2</v>
      </c>
      <c r="F13" s="14">
        <v>7.0000000000000007E-2</v>
      </c>
      <c r="G13" s="14">
        <v>0.09</v>
      </c>
      <c r="H13" s="14">
        <v>0.08</v>
      </c>
      <c r="I13" s="14">
        <v>0.09</v>
      </c>
      <c r="J13" s="14">
        <v>0.15</v>
      </c>
      <c r="K13" s="14">
        <v>0.08</v>
      </c>
      <c r="L13" s="14">
        <v>0.17</v>
      </c>
      <c r="M13" s="14">
        <v>0.06</v>
      </c>
      <c r="N13" s="14">
        <v>0.19</v>
      </c>
      <c r="O13" s="14">
        <v>0.18</v>
      </c>
      <c r="P13" s="14">
        <v>0.12</v>
      </c>
      <c r="Q13" s="14">
        <v>0.16</v>
      </c>
      <c r="R13" s="14">
        <v>0.1</v>
      </c>
      <c r="S13" s="14">
        <v>0.04</v>
      </c>
      <c r="T13" s="14">
        <v>0.06</v>
      </c>
      <c r="U13" s="14">
        <v>0.14000000000000001</v>
      </c>
      <c r="V13" s="14">
        <v>0.09</v>
      </c>
      <c r="W13" s="14">
        <v>0.11</v>
      </c>
      <c r="X13" s="14">
        <v>0.15</v>
      </c>
      <c r="Y13" s="14">
        <v>0.17</v>
      </c>
      <c r="Z13" s="14">
        <v>0.12</v>
      </c>
      <c r="AA13" s="14">
        <v>0.17</v>
      </c>
      <c r="AB13" s="14">
        <v>7.0000000000000007E-2</v>
      </c>
      <c r="AC13" s="14">
        <v>0.11</v>
      </c>
      <c r="AD13" s="14">
        <v>0.08</v>
      </c>
      <c r="AE13" s="14">
        <v>0.13</v>
      </c>
      <c r="AF13" s="14">
        <v>0.16</v>
      </c>
    </row>
    <row r="14" spans="1:32" ht="31.5" x14ac:dyDescent="0.35">
      <c r="A14" s="31"/>
      <c r="B14" s="11" t="s">
        <v>459</v>
      </c>
      <c r="C14" s="12">
        <v>2978</v>
      </c>
      <c r="D14" s="12">
        <v>151</v>
      </c>
      <c r="E14" s="12">
        <v>87</v>
      </c>
      <c r="F14" s="12">
        <v>72</v>
      </c>
      <c r="G14" s="12">
        <v>94</v>
      </c>
      <c r="H14" s="12">
        <v>82</v>
      </c>
      <c r="I14" s="12">
        <v>99</v>
      </c>
      <c r="J14" s="12">
        <v>16</v>
      </c>
      <c r="K14" s="12">
        <v>51</v>
      </c>
      <c r="L14" s="12">
        <v>120</v>
      </c>
      <c r="M14" s="12">
        <v>150</v>
      </c>
      <c r="N14" s="12">
        <v>99</v>
      </c>
      <c r="O14" s="12">
        <v>144</v>
      </c>
      <c r="P14" s="12">
        <v>139</v>
      </c>
      <c r="Q14" s="12">
        <v>145</v>
      </c>
      <c r="R14" s="12">
        <v>38</v>
      </c>
      <c r="S14" s="12">
        <v>89</v>
      </c>
      <c r="T14" s="12">
        <v>75</v>
      </c>
      <c r="U14" s="12">
        <v>76</v>
      </c>
      <c r="V14" s="12">
        <v>152</v>
      </c>
      <c r="W14" s="12">
        <v>95</v>
      </c>
      <c r="X14" s="12">
        <v>134</v>
      </c>
      <c r="Y14" s="12">
        <v>164</v>
      </c>
      <c r="Z14" s="12">
        <v>114</v>
      </c>
      <c r="AA14" s="12">
        <v>148</v>
      </c>
      <c r="AB14" s="12">
        <v>122</v>
      </c>
      <c r="AC14" s="12">
        <v>87</v>
      </c>
      <c r="AD14" s="12">
        <v>100</v>
      </c>
      <c r="AE14" s="12">
        <v>95</v>
      </c>
      <c r="AF14" s="12">
        <v>92</v>
      </c>
    </row>
    <row r="15" spans="1:32" ht="31.5" x14ac:dyDescent="0.35">
      <c r="A15" s="31"/>
      <c r="B15" s="13" t="s">
        <v>460</v>
      </c>
      <c r="C15" s="14">
        <v>0.11</v>
      </c>
      <c r="D15" s="14">
        <v>0.15</v>
      </c>
      <c r="E15" s="14">
        <v>0.08</v>
      </c>
      <c r="F15" s="14">
        <v>7.0000000000000007E-2</v>
      </c>
      <c r="G15" s="14">
        <v>0.09</v>
      </c>
      <c r="H15" s="14">
        <v>7.0000000000000007E-2</v>
      </c>
      <c r="I15" s="14">
        <v>0.06</v>
      </c>
      <c r="J15" s="14">
        <v>0.06</v>
      </c>
      <c r="K15" s="14">
        <v>0.05</v>
      </c>
      <c r="L15" s="14">
        <v>0.12</v>
      </c>
      <c r="M15" s="14">
        <v>0.15</v>
      </c>
      <c r="N15" s="14">
        <v>0.1</v>
      </c>
      <c r="O15" s="14">
        <v>0.14000000000000001</v>
      </c>
      <c r="P15" s="14">
        <v>0.14000000000000001</v>
      </c>
      <c r="Q15" s="14">
        <v>0.14000000000000001</v>
      </c>
      <c r="R15" s="14">
        <v>0.08</v>
      </c>
      <c r="S15" s="14">
        <v>0.09</v>
      </c>
      <c r="T15" s="14">
        <v>7.0000000000000007E-2</v>
      </c>
      <c r="U15" s="14">
        <v>0.15</v>
      </c>
      <c r="V15" s="14">
        <v>0.15</v>
      </c>
      <c r="W15" s="14">
        <v>0.19</v>
      </c>
      <c r="X15" s="14">
        <v>0.13</v>
      </c>
      <c r="Y15" s="14">
        <v>0.16</v>
      </c>
      <c r="Z15" s="14">
        <v>0.11</v>
      </c>
      <c r="AA15" s="14">
        <v>0.14000000000000001</v>
      </c>
      <c r="AB15" s="14">
        <v>0.12</v>
      </c>
      <c r="AC15" s="14">
        <v>0.09</v>
      </c>
      <c r="AD15" s="14">
        <v>0.1</v>
      </c>
      <c r="AE15" s="14">
        <v>0.09</v>
      </c>
      <c r="AF15" s="14">
        <v>0.09</v>
      </c>
    </row>
    <row r="16" spans="1:32" ht="31.5" x14ac:dyDescent="0.35">
      <c r="A16" s="31"/>
      <c r="B16" s="11" t="s">
        <v>461</v>
      </c>
      <c r="C16" s="12">
        <v>3769</v>
      </c>
      <c r="D16" s="12">
        <v>176</v>
      </c>
      <c r="E16" s="12">
        <v>135</v>
      </c>
      <c r="F16" s="12">
        <v>84</v>
      </c>
      <c r="G16" s="12">
        <v>149</v>
      </c>
      <c r="H16" s="12">
        <v>159</v>
      </c>
      <c r="I16" s="12">
        <v>197</v>
      </c>
      <c r="J16" s="12">
        <v>37</v>
      </c>
      <c r="K16" s="12">
        <v>109</v>
      </c>
      <c r="L16" s="12">
        <v>113</v>
      </c>
      <c r="M16" s="12">
        <v>98</v>
      </c>
      <c r="N16" s="12">
        <v>130</v>
      </c>
      <c r="O16" s="12">
        <v>169</v>
      </c>
      <c r="P16" s="12">
        <v>171</v>
      </c>
      <c r="Q16" s="12">
        <v>156</v>
      </c>
      <c r="R16" s="12">
        <v>18</v>
      </c>
      <c r="S16" s="12">
        <v>67</v>
      </c>
      <c r="T16" s="12">
        <v>134</v>
      </c>
      <c r="U16" s="12">
        <v>58</v>
      </c>
      <c r="V16" s="12">
        <v>143</v>
      </c>
      <c r="W16" s="12">
        <v>57</v>
      </c>
      <c r="X16" s="12">
        <v>194</v>
      </c>
      <c r="Y16" s="12">
        <v>157</v>
      </c>
      <c r="Z16" s="12">
        <v>146</v>
      </c>
      <c r="AA16" s="12">
        <v>151</v>
      </c>
      <c r="AB16" s="12">
        <v>123</v>
      </c>
      <c r="AC16" s="12">
        <v>226</v>
      </c>
      <c r="AD16" s="12">
        <v>152</v>
      </c>
      <c r="AE16" s="12">
        <v>157</v>
      </c>
      <c r="AF16" s="12">
        <v>144</v>
      </c>
    </row>
    <row r="17" spans="1:32" ht="21.5" x14ac:dyDescent="0.35">
      <c r="A17" s="31"/>
      <c r="B17" s="13" t="s">
        <v>462</v>
      </c>
      <c r="C17" s="14">
        <v>0.14000000000000001</v>
      </c>
      <c r="D17" s="14">
        <v>0.17</v>
      </c>
      <c r="E17" s="14">
        <v>0.13</v>
      </c>
      <c r="F17" s="14">
        <v>0.08</v>
      </c>
      <c r="G17" s="14">
        <v>0.15</v>
      </c>
      <c r="H17" s="14">
        <v>0.13</v>
      </c>
      <c r="I17" s="14">
        <v>0.13</v>
      </c>
      <c r="J17" s="14">
        <v>0.13</v>
      </c>
      <c r="K17" s="14">
        <v>0.11</v>
      </c>
      <c r="L17" s="14">
        <v>0.11</v>
      </c>
      <c r="M17" s="14">
        <v>0.1</v>
      </c>
      <c r="N17" s="14">
        <v>0.13</v>
      </c>
      <c r="O17" s="14">
        <v>0.17</v>
      </c>
      <c r="P17" s="14">
        <v>0.17</v>
      </c>
      <c r="Q17" s="14">
        <v>0.15</v>
      </c>
      <c r="R17" s="14">
        <v>0.04</v>
      </c>
      <c r="S17" s="14">
        <v>7.0000000000000007E-2</v>
      </c>
      <c r="T17" s="14">
        <v>0.13</v>
      </c>
      <c r="U17" s="14">
        <v>0.11</v>
      </c>
      <c r="V17" s="14">
        <v>0.14000000000000001</v>
      </c>
      <c r="W17" s="14">
        <v>0.11</v>
      </c>
      <c r="X17" s="14">
        <v>0.19</v>
      </c>
      <c r="Y17" s="14">
        <v>0.16</v>
      </c>
      <c r="Z17" s="14">
        <v>0.14000000000000001</v>
      </c>
      <c r="AA17" s="14">
        <v>0.15</v>
      </c>
      <c r="AB17" s="14">
        <v>0.12</v>
      </c>
      <c r="AC17" s="14">
        <v>0.22</v>
      </c>
      <c r="AD17" s="14">
        <v>0.15</v>
      </c>
      <c r="AE17" s="14">
        <v>0.16</v>
      </c>
      <c r="AF17" s="14">
        <v>0.14000000000000001</v>
      </c>
    </row>
    <row r="18" spans="1:32" ht="31.5" x14ac:dyDescent="0.35">
      <c r="A18" s="31"/>
      <c r="B18" s="11" t="s">
        <v>463</v>
      </c>
      <c r="C18" s="12">
        <v>5037</v>
      </c>
      <c r="D18" s="12">
        <v>186</v>
      </c>
      <c r="E18" s="12">
        <v>229</v>
      </c>
      <c r="F18" s="12">
        <v>230</v>
      </c>
      <c r="G18" s="12">
        <v>184</v>
      </c>
      <c r="H18" s="12">
        <v>201</v>
      </c>
      <c r="I18" s="12">
        <v>261</v>
      </c>
      <c r="J18" s="12">
        <v>60</v>
      </c>
      <c r="K18" s="12">
        <v>133</v>
      </c>
      <c r="L18" s="12">
        <v>183</v>
      </c>
      <c r="M18" s="12">
        <v>209</v>
      </c>
      <c r="N18" s="12">
        <v>184</v>
      </c>
      <c r="O18" s="12">
        <v>166</v>
      </c>
      <c r="P18" s="12">
        <v>220</v>
      </c>
      <c r="Q18" s="12">
        <v>248</v>
      </c>
      <c r="R18" s="12">
        <v>100</v>
      </c>
      <c r="S18" s="12">
        <v>165</v>
      </c>
      <c r="T18" s="12">
        <v>252</v>
      </c>
      <c r="U18" s="12">
        <v>92</v>
      </c>
      <c r="V18" s="12">
        <v>149</v>
      </c>
      <c r="W18" s="12">
        <v>60</v>
      </c>
      <c r="X18" s="12">
        <v>195</v>
      </c>
      <c r="Y18" s="12">
        <v>174</v>
      </c>
      <c r="Z18" s="12">
        <v>207</v>
      </c>
      <c r="AA18" s="12">
        <v>193</v>
      </c>
      <c r="AB18" s="12">
        <v>245</v>
      </c>
      <c r="AC18" s="12">
        <v>202</v>
      </c>
      <c r="AD18" s="12">
        <v>267</v>
      </c>
      <c r="AE18" s="12">
        <v>137</v>
      </c>
      <c r="AF18" s="12">
        <v>129</v>
      </c>
    </row>
    <row r="19" spans="1:32" ht="31.5" x14ac:dyDescent="0.35">
      <c r="A19" s="31"/>
      <c r="B19" s="13" t="s">
        <v>464</v>
      </c>
      <c r="C19" s="14">
        <v>0.19</v>
      </c>
      <c r="D19" s="14">
        <v>0.18</v>
      </c>
      <c r="E19" s="14">
        <v>0.22</v>
      </c>
      <c r="F19" s="14">
        <v>0.23</v>
      </c>
      <c r="G19" s="14">
        <v>0.18</v>
      </c>
      <c r="H19" s="14">
        <v>0.16</v>
      </c>
      <c r="I19" s="14">
        <v>0.17</v>
      </c>
      <c r="J19" s="14">
        <v>0.2</v>
      </c>
      <c r="K19" s="14">
        <v>0.13</v>
      </c>
      <c r="L19" s="14">
        <v>0.18</v>
      </c>
      <c r="M19" s="14">
        <v>0.21</v>
      </c>
      <c r="N19" s="14">
        <v>0.18</v>
      </c>
      <c r="O19" s="14">
        <v>0.17</v>
      </c>
      <c r="P19" s="14">
        <v>0.22</v>
      </c>
      <c r="Q19" s="14">
        <v>0.24</v>
      </c>
      <c r="R19" s="14">
        <v>0.2</v>
      </c>
      <c r="S19" s="14">
        <v>0.16</v>
      </c>
      <c r="T19" s="14">
        <v>0.25</v>
      </c>
      <c r="U19" s="14">
        <v>0.18</v>
      </c>
      <c r="V19" s="14">
        <v>0.15</v>
      </c>
      <c r="W19" s="14">
        <v>0.12</v>
      </c>
      <c r="X19" s="14">
        <v>0.19</v>
      </c>
      <c r="Y19" s="14">
        <v>0.17</v>
      </c>
      <c r="Z19" s="14">
        <v>0.2</v>
      </c>
      <c r="AA19" s="14">
        <v>0.19</v>
      </c>
      <c r="AB19" s="14">
        <v>0.23</v>
      </c>
      <c r="AC19" s="14">
        <v>0.2</v>
      </c>
      <c r="AD19" s="14">
        <v>0.27</v>
      </c>
      <c r="AE19" s="14">
        <v>0.14000000000000001</v>
      </c>
      <c r="AF19" s="14">
        <v>0.13</v>
      </c>
    </row>
    <row r="20" spans="1:32" ht="31.5" x14ac:dyDescent="0.35">
      <c r="A20" s="31"/>
      <c r="B20" s="11" t="s">
        <v>465</v>
      </c>
      <c r="C20" s="12">
        <v>2648</v>
      </c>
      <c r="D20" s="12">
        <v>114</v>
      </c>
      <c r="E20" s="12">
        <v>99</v>
      </c>
      <c r="F20" s="12">
        <v>85</v>
      </c>
      <c r="G20" s="12">
        <v>86</v>
      </c>
      <c r="H20" s="12">
        <v>73</v>
      </c>
      <c r="I20" s="12">
        <v>90</v>
      </c>
      <c r="J20" s="12">
        <v>17</v>
      </c>
      <c r="K20" s="12">
        <v>72</v>
      </c>
      <c r="L20" s="12">
        <v>107</v>
      </c>
      <c r="M20" s="12">
        <v>128</v>
      </c>
      <c r="N20" s="12">
        <v>114</v>
      </c>
      <c r="O20" s="12">
        <v>97</v>
      </c>
      <c r="P20" s="12">
        <v>154</v>
      </c>
      <c r="Q20" s="12">
        <v>146</v>
      </c>
      <c r="R20" s="12">
        <v>49</v>
      </c>
      <c r="S20" s="12">
        <v>49</v>
      </c>
      <c r="T20" s="12">
        <v>84</v>
      </c>
      <c r="U20" s="12">
        <v>66</v>
      </c>
      <c r="V20" s="12">
        <v>142</v>
      </c>
      <c r="W20" s="12">
        <v>58</v>
      </c>
      <c r="X20" s="12">
        <v>67</v>
      </c>
      <c r="Y20" s="12">
        <v>108</v>
      </c>
      <c r="Z20" s="12">
        <v>113</v>
      </c>
      <c r="AA20" s="12">
        <v>125</v>
      </c>
      <c r="AB20" s="12">
        <v>136</v>
      </c>
      <c r="AC20" s="12">
        <v>95</v>
      </c>
      <c r="AD20" s="12">
        <v>103</v>
      </c>
      <c r="AE20" s="12">
        <v>44</v>
      </c>
      <c r="AF20" s="12">
        <v>65</v>
      </c>
    </row>
    <row r="21" spans="1:32" ht="31.5" x14ac:dyDescent="0.35">
      <c r="A21" s="31"/>
      <c r="B21" s="13" t="s">
        <v>466</v>
      </c>
      <c r="C21" s="14">
        <v>0.1</v>
      </c>
      <c r="D21" s="14">
        <v>0.11</v>
      </c>
      <c r="E21" s="14">
        <v>0.1</v>
      </c>
      <c r="F21" s="14">
        <v>0.08</v>
      </c>
      <c r="G21" s="14">
        <v>0.08</v>
      </c>
      <c r="H21" s="14">
        <v>0.06</v>
      </c>
      <c r="I21" s="14">
        <v>0.06</v>
      </c>
      <c r="J21" s="14">
        <v>0.06</v>
      </c>
      <c r="K21" s="14">
        <v>7.0000000000000007E-2</v>
      </c>
      <c r="L21" s="14">
        <v>0.11</v>
      </c>
      <c r="M21" s="14">
        <v>0.13</v>
      </c>
      <c r="N21" s="14">
        <v>0.11</v>
      </c>
      <c r="O21" s="14">
        <v>0.1</v>
      </c>
      <c r="P21" s="14">
        <v>0.15</v>
      </c>
      <c r="Q21" s="14">
        <v>0.14000000000000001</v>
      </c>
      <c r="R21" s="14">
        <v>0.1</v>
      </c>
      <c r="S21" s="14">
        <v>0.05</v>
      </c>
      <c r="T21" s="14">
        <v>0.08</v>
      </c>
      <c r="U21" s="14">
        <v>0.13</v>
      </c>
      <c r="V21" s="14">
        <v>0.14000000000000001</v>
      </c>
      <c r="W21" s="14">
        <v>0.12</v>
      </c>
      <c r="X21" s="14">
        <v>7.0000000000000007E-2</v>
      </c>
      <c r="Y21" s="14">
        <v>0.11</v>
      </c>
      <c r="Z21" s="14">
        <v>0.11</v>
      </c>
      <c r="AA21" s="14">
        <v>0.12</v>
      </c>
      <c r="AB21" s="14">
        <v>0.13</v>
      </c>
      <c r="AC21" s="14">
        <v>0.09</v>
      </c>
      <c r="AD21" s="14">
        <v>0.1</v>
      </c>
      <c r="AE21" s="14">
        <v>0.04</v>
      </c>
      <c r="AF21" s="14">
        <v>0.06</v>
      </c>
    </row>
    <row r="22" spans="1:32" ht="31.5" x14ac:dyDescent="0.35">
      <c r="A22" s="31"/>
      <c r="B22" s="11" t="s">
        <v>467</v>
      </c>
      <c r="C22" s="12">
        <v>6012</v>
      </c>
      <c r="D22" s="12">
        <v>258</v>
      </c>
      <c r="E22" s="12">
        <v>194</v>
      </c>
      <c r="F22" s="12">
        <v>195</v>
      </c>
      <c r="G22" s="12">
        <v>313</v>
      </c>
      <c r="H22" s="12">
        <v>295</v>
      </c>
      <c r="I22" s="12">
        <v>373</v>
      </c>
      <c r="J22" s="12">
        <v>77</v>
      </c>
      <c r="K22" s="12">
        <v>223</v>
      </c>
      <c r="L22" s="12">
        <v>252</v>
      </c>
      <c r="M22" s="12">
        <v>245</v>
      </c>
      <c r="N22" s="12">
        <v>220</v>
      </c>
      <c r="O22" s="12">
        <v>205</v>
      </c>
      <c r="P22" s="12">
        <v>235</v>
      </c>
      <c r="Q22" s="12">
        <v>189</v>
      </c>
      <c r="R22" s="12">
        <v>174</v>
      </c>
      <c r="S22" s="12">
        <v>295</v>
      </c>
      <c r="T22" s="12">
        <v>290</v>
      </c>
      <c r="U22" s="12">
        <v>121</v>
      </c>
      <c r="V22" s="12">
        <v>237</v>
      </c>
      <c r="W22" s="12">
        <v>145</v>
      </c>
      <c r="X22" s="12">
        <v>305</v>
      </c>
      <c r="Y22" s="12">
        <v>219</v>
      </c>
      <c r="Z22" s="12">
        <v>189</v>
      </c>
      <c r="AA22" s="12">
        <v>325</v>
      </c>
      <c r="AB22" s="12">
        <v>237</v>
      </c>
      <c r="AC22" s="12">
        <v>242</v>
      </c>
      <c r="AD22" s="12">
        <v>245</v>
      </c>
      <c r="AE22" s="12">
        <v>279</v>
      </c>
      <c r="AF22" s="12">
        <v>367</v>
      </c>
    </row>
    <row r="23" spans="1:32" ht="31.5" x14ac:dyDescent="0.35">
      <c r="A23" s="31"/>
      <c r="B23" s="13" t="s">
        <v>468</v>
      </c>
      <c r="C23" s="14">
        <v>0.23</v>
      </c>
      <c r="D23" s="14">
        <v>0.25</v>
      </c>
      <c r="E23" s="14">
        <v>0.19</v>
      </c>
      <c r="F23" s="14">
        <v>0.19</v>
      </c>
      <c r="G23" s="14">
        <v>0.31</v>
      </c>
      <c r="H23" s="14">
        <v>0.24</v>
      </c>
      <c r="I23" s="14">
        <v>0.24</v>
      </c>
      <c r="J23" s="14">
        <v>0.26</v>
      </c>
      <c r="K23" s="14">
        <v>0.22</v>
      </c>
      <c r="L23" s="14">
        <v>0.25</v>
      </c>
      <c r="M23" s="14">
        <v>0.24</v>
      </c>
      <c r="N23" s="14">
        <v>0.22</v>
      </c>
      <c r="O23" s="14">
        <v>0.21</v>
      </c>
      <c r="P23" s="14">
        <v>0.23</v>
      </c>
      <c r="Q23" s="14">
        <v>0.18</v>
      </c>
      <c r="R23" s="14">
        <v>0.35</v>
      </c>
      <c r="S23" s="14">
        <v>0.28999999999999998</v>
      </c>
      <c r="T23" s="14">
        <v>0.28999999999999998</v>
      </c>
      <c r="U23" s="14">
        <v>0.24</v>
      </c>
      <c r="V23" s="14">
        <v>0.23</v>
      </c>
      <c r="W23" s="14">
        <v>0.28999999999999998</v>
      </c>
      <c r="X23" s="14">
        <v>0.3</v>
      </c>
      <c r="Y23" s="14">
        <v>0.22</v>
      </c>
      <c r="Z23" s="14">
        <v>0.19</v>
      </c>
      <c r="AA23" s="14">
        <v>0.32</v>
      </c>
      <c r="AB23" s="14">
        <v>0.22</v>
      </c>
      <c r="AC23" s="14">
        <v>0.24</v>
      </c>
      <c r="AD23" s="14">
        <v>0.24</v>
      </c>
      <c r="AE23" s="14">
        <v>0.28000000000000003</v>
      </c>
      <c r="AF23" s="14">
        <v>0.36</v>
      </c>
    </row>
    <row r="24" spans="1:32" ht="21.5" x14ac:dyDescent="0.35">
      <c r="A24" s="31"/>
      <c r="B24" s="11" t="s">
        <v>469</v>
      </c>
      <c r="C24" s="12">
        <v>1949</v>
      </c>
      <c r="D24" s="12">
        <v>90</v>
      </c>
      <c r="E24" s="12">
        <v>80</v>
      </c>
      <c r="F24" s="12">
        <v>49</v>
      </c>
      <c r="G24" s="12">
        <v>75</v>
      </c>
      <c r="H24" s="12">
        <v>46</v>
      </c>
      <c r="I24" s="12">
        <v>60</v>
      </c>
      <c r="J24" s="12">
        <v>13</v>
      </c>
      <c r="K24" s="12">
        <v>121</v>
      </c>
      <c r="L24" s="12">
        <v>96</v>
      </c>
      <c r="M24" s="12">
        <v>54</v>
      </c>
      <c r="N24" s="12">
        <v>53</v>
      </c>
      <c r="O24" s="12">
        <v>99</v>
      </c>
      <c r="P24" s="12">
        <v>94</v>
      </c>
      <c r="Q24" s="12">
        <v>87</v>
      </c>
      <c r="R24" s="12">
        <v>36</v>
      </c>
      <c r="S24" s="12">
        <v>58</v>
      </c>
      <c r="T24" s="12">
        <v>44</v>
      </c>
      <c r="U24" s="12">
        <v>32</v>
      </c>
      <c r="V24" s="12">
        <v>105</v>
      </c>
      <c r="W24" s="12">
        <v>61</v>
      </c>
      <c r="X24" s="12">
        <v>102</v>
      </c>
      <c r="Y24" s="12">
        <v>74</v>
      </c>
      <c r="Z24" s="12">
        <v>87</v>
      </c>
      <c r="AA24" s="12">
        <v>44</v>
      </c>
      <c r="AB24" s="12">
        <v>157</v>
      </c>
      <c r="AC24" s="12">
        <v>46</v>
      </c>
      <c r="AD24" s="12">
        <v>83</v>
      </c>
      <c r="AE24" s="12">
        <v>66</v>
      </c>
      <c r="AF24" s="12">
        <v>33</v>
      </c>
    </row>
    <row r="25" spans="1:32" ht="21.5" x14ac:dyDescent="0.35">
      <c r="A25" s="31"/>
      <c r="B25" s="13" t="s">
        <v>470</v>
      </c>
      <c r="C25" s="14">
        <v>7.0000000000000007E-2</v>
      </c>
      <c r="D25" s="14">
        <v>0.09</v>
      </c>
      <c r="E25" s="14">
        <v>0.08</v>
      </c>
      <c r="F25" s="14">
        <v>0.05</v>
      </c>
      <c r="G25" s="14">
        <v>7.0000000000000007E-2</v>
      </c>
      <c r="H25" s="14">
        <v>0.04</v>
      </c>
      <c r="I25" s="14">
        <v>0.04</v>
      </c>
      <c r="J25" s="14">
        <v>0.05</v>
      </c>
      <c r="K25" s="14">
        <v>0.12</v>
      </c>
      <c r="L25" s="14">
        <v>0.1</v>
      </c>
      <c r="M25" s="14">
        <v>0.05</v>
      </c>
      <c r="N25" s="14">
        <v>0.05</v>
      </c>
      <c r="O25" s="14">
        <v>0.1</v>
      </c>
      <c r="P25" s="14">
        <v>0.09</v>
      </c>
      <c r="Q25" s="14">
        <v>0.08</v>
      </c>
      <c r="R25" s="14">
        <v>7.0000000000000007E-2</v>
      </c>
      <c r="S25" s="14">
        <v>0.06</v>
      </c>
      <c r="T25" s="14">
        <v>0.04</v>
      </c>
      <c r="U25" s="14">
        <v>0.06</v>
      </c>
      <c r="V25" s="14">
        <v>0.1</v>
      </c>
      <c r="W25" s="14">
        <v>0.12</v>
      </c>
      <c r="X25" s="14">
        <v>0.1</v>
      </c>
      <c r="Y25" s="14">
        <v>7.0000000000000007E-2</v>
      </c>
      <c r="Z25" s="14">
        <v>0.09</v>
      </c>
      <c r="AA25" s="14">
        <v>0.04</v>
      </c>
      <c r="AB25" s="14">
        <v>0.15</v>
      </c>
      <c r="AC25" s="14">
        <v>0.05</v>
      </c>
      <c r="AD25" s="14">
        <v>0.08</v>
      </c>
      <c r="AE25" s="14">
        <v>7.0000000000000007E-2</v>
      </c>
      <c r="AF25" s="14">
        <v>0.03</v>
      </c>
    </row>
    <row r="26" spans="1:32" x14ac:dyDescent="0.35">
      <c r="A26" s="31"/>
      <c r="B26" s="11" t="s">
        <v>471</v>
      </c>
      <c r="C26" s="12">
        <v>3946</v>
      </c>
      <c r="D26" s="12">
        <v>113</v>
      </c>
      <c r="E26" s="12">
        <v>352</v>
      </c>
      <c r="F26" s="12">
        <v>246</v>
      </c>
      <c r="G26" s="12">
        <v>139</v>
      </c>
      <c r="H26" s="12">
        <v>88</v>
      </c>
      <c r="I26" s="12">
        <v>114</v>
      </c>
      <c r="J26" s="12">
        <v>25</v>
      </c>
      <c r="K26" s="12">
        <v>330</v>
      </c>
      <c r="L26" s="12">
        <v>253</v>
      </c>
      <c r="M26" s="12">
        <v>142</v>
      </c>
      <c r="N26" s="12">
        <v>105</v>
      </c>
      <c r="O26" s="12">
        <v>120</v>
      </c>
      <c r="P26" s="12">
        <v>213</v>
      </c>
      <c r="Q26" s="12">
        <v>183</v>
      </c>
      <c r="R26" s="12">
        <v>44</v>
      </c>
      <c r="S26" s="12">
        <v>194</v>
      </c>
      <c r="T26" s="12">
        <v>211</v>
      </c>
      <c r="U26" s="12">
        <v>99</v>
      </c>
      <c r="V26" s="12">
        <v>230</v>
      </c>
      <c r="W26" s="12">
        <v>55</v>
      </c>
      <c r="X26" s="12">
        <v>79</v>
      </c>
      <c r="Y26" s="12">
        <v>109</v>
      </c>
      <c r="Z26" s="12">
        <v>290</v>
      </c>
      <c r="AA26" s="12">
        <v>107</v>
      </c>
      <c r="AB26" s="12">
        <v>265</v>
      </c>
      <c r="AC26" s="12">
        <v>125</v>
      </c>
      <c r="AD26" s="12">
        <v>255</v>
      </c>
      <c r="AE26" s="12">
        <v>158</v>
      </c>
      <c r="AF26" s="12">
        <v>153</v>
      </c>
    </row>
    <row r="27" spans="1:32" x14ac:dyDescent="0.35">
      <c r="A27" s="31"/>
      <c r="B27" s="13" t="s">
        <v>472</v>
      </c>
      <c r="C27" s="14">
        <v>0.15</v>
      </c>
      <c r="D27" s="14">
        <v>0.11</v>
      </c>
      <c r="E27" s="14">
        <v>0.34</v>
      </c>
      <c r="F27" s="14">
        <v>0.24</v>
      </c>
      <c r="G27" s="14">
        <v>0.14000000000000001</v>
      </c>
      <c r="H27" s="14">
        <v>7.0000000000000007E-2</v>
      </c>
      <c r="I27" s="14">
        <v>7.0000000000000007E-2</v>
      </c>
      <c r="J27" s="14">
        <v>0.08</v>
      </c>
      <c r="K27" s="14">
        <v>0.33</v>
      </c>
      <c r="L27" s="14">
        <v>0.25</v>
      </c>
      <c r="M27" s="14">
        <v>0.14000000000000001</v>
      </c>
      <c r="N27" s="14">
        <v>0.11</v>
      </c>
      <c r="O27" s="14">
        <v>0.12</v>
      </c>
      <c r="P27" s="14">
        <v>0.21</v>
      </c>
      <c r="Q27" s="14">
        <v>0.18</v>
      </c>
      <c r="R27" s="14">
        <v>0.09</v>
      </c>
      <c r="S27" s="14">
        <v>0.19</v>
      </c>
      <c r="T27" s="14">
        <v>0.21</v>
      </c>
      <c r="U27" s="14">
        <v>0.19</v>
      </c>
      <c r="V27" s="14">
        <v>0.23</v>
      </c>
      <c r="W27" s="14">
        <v>0.11</v>
      </c>
      <c r="X27" s="14">
        <v>0.08</v>
      </c>
      <c r="Y27" s="14">
        <v>0.11</v>
      </c>
      <c r="Z27" s="14">
        <v>0.28000000000000003</v>
      </c>
      <c r="AA27" s="14">
        <v>0.1</v>
      </c>
      <c r="AB27" s="14">
        <v>0.25</v>
      </c>
      <c r="AC27" s="14">
        <v>0.12</v>
      </c>
      <c r="AD27" s="14">
        <v>0.25</v>
      </c>
      <c r="AE27" s="14">
        <v>0.16</v>
      </c>
      <c r="AF27" s="14">
        <v>0.15</v>
      </c>
    </row>
    <row r="28" spans="1:32" ht="21.5" x14ac:dyDescent="0.35">
      <c r="A28" s="31"/>
      <c r="B28" s="11" t="s">
        <v>473</v>
      </c>
      <c r="C28" s="12">
        <v>5941</v>
      </c>
      <c r="D28" s="12">
        <v>208</v>
      </c>
      <c r="E28" s="12">
        <v>182</v>
      </c>
      <c r="F28" s="12">
        <v>304</v>
      </c>
      <c r="G28" s="12">
        <v>293</v>
      </c>
      <c r="H28" s="12">
        <v>326</v>
      </c>
      <c r="I28" s="12">
        <v>412</v>
      </c>
      <c r="J28" s="12">
        <v>86</v>
      </c>
      <c r="K28" s="12">
        <v>283</v>
      </c>
      <c r="L28" s="12">
        <v>261</v>
      </c>
      <c r="M28" s="12">
        <v>246</v>
      </c>
      <c r="N28" s="12">
        <v>154</v>
      </c>
      <c r="O28" s="12">
        <v>225</v>
      </c>
      <c r="P28" s="12">
        <v>263</v>
      </c>
      <c r="Q28" s="12">
        <v>221</v>
      </c>
      <c r="R28" s="12">
        <v>91</v>
      </c>
      <c r="S28" s="12">
        <v>301</v>
      </c>
      <c r="T28" s="12">
        <v>218</v>
      </c>
      <c r="U28" s="12">
        <v>94</v>
      </c>
      <c r="V28" s="12">
        <v>239</v>
      </c>
      <c r="W28" s="12">
        <v>94</v>
      </c>
      <c r="X28" s="12">
        <v>251</v>
      </c>
      <c r="Y28" s="12">
        <v>276</v>
      </c>
      <c r="Z28" s="12">
        <v>161</v>
      </c>
      <c r="AA28" s="12">
        <v>224</v>
      </c>
      <c r="AB28" s="12">
        <v>203</v>
      </c>
      <c r="AC28" s="12">
        <v>217</v>
      </c>
      <c r="AD28" s="12">
        <v>245</v>
      </c>
      <c r="AE28" s="12">
        <v>214</v>
      </c>
      <c r="AF28" s="12">
        <v>365</v>
      </c>
    </row>
    <row r="29" spans="1:32" ht="21.5" x14ac:dyDescent="0.35">
      <c r="A29" s="31"/>
      <c r="B29" s="13" t="s">
        <v>474</v>
      </c>
      <c r="C29" s="14">
        <v>0.22</v>
      </c>
      <c r="D29" s="14">
        <v>0.2</v>
      </c>
      <c r="E29" s="14">
        <v>0.17</v>
      </c>
      <c r="F29" s="14">
        <v>0.3</v>
      </c>
      <c r="G29" s="14">
        <v>0.28999999999999998</v>
      </c>
      <c r="H29" s="14">
        <v>0.26</v>
      </c>
      <c r="I29" s="14">
        <v>0.27</v>
      </c>
      <c r="J29" s="14">
        <v>0.28999999999999998</v>
      </c>
      <c r="K29" s="14">
        <v>0.28000000000000003</v>
      </c>
      <c r="L29" s="14">
        <v>0.26</v>
      </c>
      <c r="M29" s="14">
        <v>0.25</v>
      </c>
      <c r="N29" s="14">
        <v>0.15</v>
      </c>
      <c r="O29" s="14">
        <v>0.23</v>
      </c>
      <c r="P29" s="14">
        <v>0.26</v>
      </c>
      <c r="Q29" s="14">
        <v>0.21</v>
      </c>
      <c r="R29" s="14">
        <v>0.18</v>
      </c>
      <c r="S29" s="14">
        <v>0.28999999999999998</v>
      </c>
      <c r="T29" s="14">
        <v>0.21</v>
      </c>
      <c r="U29" s="14">
        <v>0.19</v>
      </c>
      <c r="V29" s="14">
        <v>0.24</v>
      </c>
      <c r="W29" s="14">
        <v>0.19</v>
      </c>
      <c r="X29" s="14">
        <v>0.25</v>
      </c>
      <c r="Y29" s="14">
        <v>0.27</v>
      </c>
      <c r="Z29" s="14">
        <v>0.16</v>
      </c>
      <c r="AA29" s="14">
        <v>0.22</v>
      </c>
      <c r="AB29" s="14">
        <v>0.19</v>
      </c>
      <c r="AC29" s="14">
        <v>0.21</v>
      </c>
      <c r="AD29" s="14">
        <v>0.24</v>
      </c>
      <c r="AE29" s="14">
        <v>0.21</v>
      </c>
      <c r="AF29" s="14">
        <v>0.36</v>
      </c>
    </row>
    <row r="30" spans="1:32" ht="41.5" x14ac:dyDescent="0.35">
      <c r="A30" s="31"/>
      <c r="B30" s="11" t="s">
        <v>475</v>
      </c>
      <c r="C30" s="12">
        <v>4054</v>
      </c>
      <c r="D30" s="12">
        <v>155</v>
      </c>
      <c r="E30" s="12">
        <v>160</v>
      </c>
      <c r="F30" s="12">
        <v>143</v>
      </c>
      <c r="G30" s="12">
        <v>154</v>
      </c>
      <c r="H30" s="12">
        <v>153</v>
      </c>
      <c r="I30" s="12">
        <v>199</v>
      </c>
      <c r="J30" s="12">
        <v>46</v>
      </c>
      <c r="K30" s="12">
        <v>95</v>
      </c>
      <c r="L30" s="12">
        <v>110</v>
      </c>
      <c r="M30" s="12">
        <v>216</v>
      </c>
      <c r="N30" s="12">
        <v>185</v>
      </c>
      <c r="O30" s="12">
        <v>144</v>
      </c>
      <c r="P30" s="12">
        <v>178</v>
      </c>
      <c r="Q30" s="12">
        <v>176</v>
      </c>
      <c r="R30" s="12">
        <v>119</v>
      </c>
      <c r="S30" s="12">
        <v>86</v>
      </c>
      <c r="T30" s="12">
        <v>104</v>
      </c>
      <c r="U30" s="12">
        <v>65</v>
      </c>
      <c r="V30" s="12">
        <v>129</v>
      </c>
      <c r="W30" s="12">
        <v>90</v>
      </c>
      <c r="X30" s="12">
        <v>123</v>
      </c>
      <c r="Y30" s="12">
        <v>144</v>
      </c>
      <c r="Z30" s="12">
        <v>161</v>
      </c>
      <c r="AA30" s="12">
        <v>271</v>
      </c>
      <c r="AB30" s="12">
        <v>120</v>
      </c>
      <c r="AC30" s="12">
        <v>128</v>
      </c>
      <c r="AD30" s="12">
        <v>157</v>
      </c>
      <c r="AE30" s="12">
        <v>193</v>
      </c>
      <c r="AF30" s="12">
        <v>167</v>
      </c>
    </row>
    <row r="31" spans="1:32" ht="31.5" x14ac:dyDescent="0.35">
      <c r="A31" s="31"/>
      <c r="B31" s="13" t="s">
        <v>476</v>
      </c>
      <c r="C31" s="14">
        <v>0.15</v>
      </c>
      <c r="D31" s="14">
        <v>0.15</v>
      </c>
      <c r="E31" s="14">
        <v>0.15</v>
      </c>
      <c r="F31" s="14">
        <v>0.14000000000000001</v>
      </c>
      <c r="G31" s="14">
        <v>0.15</v>
      </c>
      <c r="H31" s="14">
        <v>0.12</v>
      </c>
      <c r="I31" s="14">
        <v>0.13</v>
      </c>
      <c r="J31" s="14">
        <v>0.15</v>
      </c>
      <c r="K31" s="14">
        <v>0.09</v>
      </c>
      <c r="L31" s="14">
        <v>0.11</v>
      </c>
      <c r="M31" s="14">
        <v>0.21</v>
      </c>
      <c r="N31" s="14">
        <v>0.19</v>
      </c>
      <c r="O31" s="14">
        <v>0.14000000000000001</v>
      </c>
      <c r="P31" s="14">
        <v>0.18</v>
      </c>
      <c r="Q31" s="14">
        <v>0.17</v>
      </c>
      <c r="R31" s="14">
        <v>0.24</v>
      </c>
      <c r="S31" s="14">
        <v>0.08</v>
      </c>
      <c r="T31" s="14">
        <v>0.1</v>
      </c>
      <c r="U31" s="14">
        <v>0.13</v>
      </c>
      <c r="V31" s="14">
        <v>0.13</v>
      </c>
      <c r="W31" s="14">
        <v>0.18</v>
      </c>
      <c r="X31" s="14">
        <v>0.12</v>
      </c>
      <c r="Y31" s="14">
        <v>0.14000000000000001</v>
      </c>
      <c r="Z31" s="14">
        <v>0.16</v>
      </c>
      <c r="AA31" s="14">
        <v>0.26</v>
      </c>
      <c r="AB31" s="14">
        <v>0.11</v>
      </c>
      <c r="AC31" s="14">
        <v>0.13</v>
      </c>
      <c r="AD31" s="14">
        <v>0.16</v>
      </c>
      <c r="AE31" s="14">
        <v>0.19</v>
      </c>
      <c r="AF31" s="14">
        <v>0.16</v>
      </c>
    </row>
    <row r="32" spans="1:32" x14ac:dyDescent="0.35">
      <c r="A32" s="31"/>
      <c r="B32" s="11" t="s">
        <v>477</v>
      </c>
      <c r="C32" s="12">
        <v>8642</v>
      </c>
      <c r="D32" s="12">
        <v>336</v>
      </c>
      <c r="E32" s="12">
        <v>194</v>
      </c>
      <c r="F32" s="12">
        <v>274</v>
      </c>
      <c r="G32" s="12">
        <v>441</v>
      </c>
      <c r="H32" s="12">
        <v>589</v>
      </c>
      <c r="I32" s="12">
        <v>707</v>
      </c>
      <c r="J32" s="12">
        <v>118</v>
      </c>
      <c r="K32" s="12">
        <v>188</v>
      </c>
      <c r="L32" s="12">
        <v>240</v>
      </c>
      <c r="M32" s="12">
        <v>288</v>
      </c>
      <c r="N32" s="12">
        <v>332</v>
      </c>
      <c r="O32" s="12">
        <v>288</v>
      </c>
      <c r="P32" s="12">
        <v>148</v>
      </c>
      <c r="Q32" s="12">
        <v>320</v>
      </c>
      <c r="R32" s="12">
        <v>154</v>
      </c>
      <c r="S32" s="12">
        <v>225</v>
      </c>
      <c r="T32" s="12">
        <v>229</v>
      </c>
      <c r="U32" s="12">
        <v>169</v>
      </c>
      <c r="V32" s="12">
        <v>298</v>
      </c>
      <c r="W32" s="12">
        <v>121</v>
      </c>
      <c r="X32" s="12">
        <v>365</v>
      </c>
      <c r="Y32" s="12">
        <v>317</v>
      </c>
      <c r="Z32" s="12">
        <v>244</v>
      </c>
      <c r="AA32" s="12">
        <v>249</v>
      </c>
      <c r="AB32" s="12">
        <v>257</v>
      </c>
      <c r="AC32" s="12">
        <v>195</v>
      </c>
      <c r="AD32" s="12">
        <v>207</v>
      </c>
      <c r="AE32" s="12">
        <v>360</v>
      </c>
      <c r="AF32" s="12">
        <v>487</v>
      </c>
    </row>
    <row r="33" spans="1:32" x14ac:dyDescent="0.35">
      <c r="A33" s="31"/>
      <c r="B33" s="13" t="s">
        <v>478</v>
      </c>
      <c r="C33" s="14">
        <v>0.33</v>
      </c>
      <c r="D33" s="14">
        <v>0.33</v>
      </c>
      <c r="E33" s="14">
        <v>0.19</v>
      </c>
      <c r="F33" s="14">
        <v>0.27</v>
      </c>
      <c r="G33" s="14">
        <v>0.43</v>
      </c>
      <c r="H33" s="14">
        <v>0.48</v>
      </c>
      <c r="I33" s="14">
        <v>0.46</v>
      </c>
      <c r="J33" s="14">
        <v>0.4</v>
      </c>
      <c r="K33" s="14">
        <v>0.19</v>
      </c>
      <c r="L33" s="14">
        <v>0.24</v>
      </c>
      <c r="M33" s="14">
        <v>0.28999999999999998</v>
      </c>
      <c r="N33" s="14">
        <v>0.33</v>
      </c>
      <c r="O33" s="14">
        <v>0.28999999999999998</v>
      </c>
      <c r="P33" s="14">
        <v>0.15</v>
      </c>
      <c r="Q33" s="14">
        <v>0.31</v>
      </c>
      <c r="R33" s="14">
        <v>0.31</v>
      </c>
      <c r="S33" s="14">
        <v>0.22</v>
      </c>
      <c r="T33" s="14">
        <v>0.23</v>
      </c>
      <c r="U33" s="14">
        <v>0.33</v>
      </c>
      <c r="V33" s="14">
        <v>0.28999999999999998</v>
      </c>
      <c r="W33" s="14">
        <v>0.24</v>
      </c>
      <c r="X33" s="14">
        <v>0.36</v>
      </c>
      <c r="Y33" s="14">
        <v>0.32</v>
      </c>
      <c r="Z33" s="14">
        <v>0.24</v>
      </c>
      <c r="AA33" s="14">
        <v>0.24</v>
      </c>
      <c r="AB33" s="14">
        <v>0.24</v>
      </c>
      <c r="AC33" s="14">
        <v>0.19</v>
      </c>
      <c r="AD33" s="14">
        <v>0.21</v>
      </c>
      <c r="AE33" s="14">
        <v>0.36</v>
      </c>
      <c r="AF33" s="14">
        <v>0.48</v>
      </c>
    </row>
    <row r="34" spans="1:32" x14ac:dyDescent="0.35">
      <c r="A34" s="31"/>
      <c r="B34" s="11" t="s">
        <v>479</v>
      </c>
      <c r="C34" s="12">
        <v>5902</v>
      </c>
      <c r="D34" s="12">
        <v>215</v>
      </c>
      <c r="E34" s="12">
        <v>293</v>
      </c>
      <c r="F34" s="12">
        <v>175</v>
      </c>
      <c r="G34" s="12">
        <v>212</v>
      </c>
      <c r="H34" s="12">
        <v>372</v>
      </c>
      <c r="I34" s="12">
        <v>443</v>
      </c>
      <c r="J34" s="12">
        <v>71</v>
      </c>
      <c r="K34" s="12">
        <v>162</v>
      </c>
      <c r="L34" s="12">
        <v>201</v>
      </c>
      <c r="M34" s="12">
        <v>394</v>
      </c>
      <c r="N34" s="12">
        <v>252</v>
      </c>
      <c r="O34" s="12">
        <v>164</v>
      </c>
      <c r="P34" s="12">
        <v>232</v>
      </c>
      <c r="Q34" s="12">
        <v>171</v>
      </c>
      <c r="R34" s="12">
        <v>166</v>
      </c>
      <c r="S34" s="12">
        <v>208</v>
      </c>
      <c r="T34" s="12">
        <v>134</v>
      </c>
      <c r="U34" s="12">
        <v>100</v>
      </c>
      <c r="V34" s="12">
        <v>176</v>
      </c>
      <c r="W34" s="12">
        <v>149</v>
      </c>
      <c r="X34" s="12">
        <v>251</v>
      </c>
      <c r="Y34" s="12">
        <v>253</v>
      </c>
      <c r="Z34" s="12">
        <v>193</v>
      </c>
      <c r="AA34" s="12">
        <v>190</v>
      </c>
      <c r="AB34" s="12">
        <v>234</v>
      </c>
      <c r="AC34" s="12">
        <v>291</v>
      </c>
      <c r="AD34" s="12">
        <v>219</v>
      </c>
      <c r="AE34" s="12">
        <v>332</v>
      </c>
      <c r="AF34" s="12">
        <v>248</v>
      </c>
    </row>
    <row r="35" spans="1:32" x14ac:dyDescent="0.35">
      <c r="A35" s="31"/>
      <c r="B35" s="13" t="s">
        <v>480</v>
      </c>
      <c r="C35" s="14">
        <v>0.22</v>
      </c>
      <c r="D35" s="14">
        <v>0.21</v>
      </c>
      <c r="E35" s="14">
        <v>0.28000000000000003</v>
      </c>
      <c r="F35" s="14">
        <v>0.17</v>
      </c>
      <c r="G35" s="14">
        <v>0.21</v>
      </c>
      <c r="H35" s="14">
        <v>0.3</v>
      </c>
      <c r="I35" s="14">
        <v>0.28999999999999998</v>
      </c>
      <c r="J35" s="14">
        <v>0.24</v>
      </c>
      <c r="K35" s="14">
        <v>0.16</v>
      </c>
      <c r="L35" s="14">
        <v>0.2</v>
      </c>
      <c r="M35" s="14">
        <v>0.39</v>
      </c>
      <c r="N35" s="14">
        <v>0.25</v>
      </c>
      <c r="O35" s="14">
        <v>0.16</v>
      </c>
      <c r="P35" s="14">
        <v>0.23</v>
      </c>
      <c r="Q35" s="14">
        <v>0.17</v>
      </c>
      <c r="R35" s="14">
        <v>0.33</v>
      </c>
      <c r="S35" s="14">
        <v>0.2</v>
      </c>
      <c r="T35" s="14">
        <v>0.13</v>
      </c>
      <c r="U35" s="14">
        <v>0.2</v>
      </c>
      <c r="V35" s="14">
        <v>0.17</v>
      </c>
      <c r="W35" s="14">
        <v>0.3</v>
      </c>
      <c r="X35" s="14">
        <v>0.25</v>
      </c>
      <c r="Y35" s="14">
        <v>0.25</v>
      </c>
      <c r="Z35" s="14">
        <v>0.19</v>
      </c>
      <c r="AA35" s="14">
        <v>0.18</v>
      </c>
      <c r="AB35" s="14">
        <v>0.22</v>
      </c>
      <c r="AC35" s="14">
        <v>0.28999999999999998</v>
      </c>
      <c r="AD35" s="14">
        <v>0.22</v>
      </c>
      <c r="AE35" s="14">
        <v>0.33</v>
      </c>
      <c r="AF35" s="14">
        <v>0.24</v>
      </c>
    </row>
    <row r="36" spans="1:32" ht="41.5" x14ac:dyDescent="0.35">
      <c r="A36" s="31"/>
      <c r="B36" s="11" t="s">
        <v>481</v>
      </c>
      <c r="C36" s="12">
        <v>3750</v>
      </c>
      <c r="D36" s="12">
        <v>130</v>
      </c>
      <c r="E36" s="12">
        <v>266</v>
      </c>
      <c r="F36" s="12">
        <v>251</v>
      </c>
      <c r="G36" s="12">
        <v>166</v>
      </c>
      <c r="H36" s="12">
        <v>122</v>
      </c>
      <c r="I36" s="12">
        <v>151</v>
      </c>
      <c r="J36" s="12">
        <v>29</v>
      </c>
      <c r="K36" s="12">
        <v>261</v>
      </c>
      <c r="L36" s="12">
        <v>157</v>
      </c>
      <c r="M36" s="12">
        <v>197</v>
      </c>
      <c r="N36" s="12">
        <v>111</v>
      </c>
      <c r="O36" s="12">
        <v>111</v>
      </c>
      <c r="P36" s="12">
        <v>182</v>
      </c>
      <c r="Q36" s="12">
        <v>178</v>
      </c>
      <c r="R36" s="12">
        <v>109</v>
      </c>
      <c r="S36" s="12">
        <v>165</v>
      </c>
      <c r="T36" s="12">
        <v>166</v>
      </c>
      <c r="U36" s="12">
        <v>50</v>
      </c>
      <c r="V36" s="12">
        <v>207</v>
      </c>
      <c r="W36" s="12">
        <v>80</v>
      </c>
      <c r="X36" s="12">
        <v>142</v>
      </c>
      <c r="Y36" s="12">
        <v>181</v>
      </c>
      <c r="Z36" s="12">
        <v>158</v>
      </c>
      <c r="AA36" s="12">
        <v>130</v>
      </c>
      <c r="AB36" s="12">
        <v>242</v>
      </c>
      <c r="AC36" s="12">
        <v>158</v>
      </c>
      <c r="AD36" s="12">
        <v>234</v>
      </c>
      <c r="AE36" s="12">
        <v>101</v>
      </c>
      <c r="AF36" s="12">
        <v>83</v>
      </c>
    </row>
    <row r="37" spans="1:32" ht="41.5" x14ac:dyDescent="0.35">
      <c r="A37" s="31"/>
      <c r="B37" s="13" t="s">
        <v>482</v>
      </c>
      <c r="C37" s="14">
        <v>0.14000000000000001</v>
      </c>
      <c r="D37" s="14">
        <v>0.13</v>
      </c>
      <c r="E37" s="14">
        <v>0.26</v>
      </c>
      <c r="F37" s="14">
        <v>0.25</v>
      </c>
      <c r="G37" s="14">
        <v>0.16</v>
      </c>
      <c r="H37" s="14">
        <v>0.1</v>
      </c>
      <c r="I37" s="14">
        <v>0.1</v>
      </c>
      <c r="J37" s="14">
        <v>0.1</v>
      </c>
      <c r="K37" s="14">
        <v>0.26</v>
      </c>
      <c r="L37" s="14">
        <v>0.16</v>
      </c>
      <c r="M37" s="14">
        <v>0.2</v>
      </c>
      <c r="N37" s="14">
        <v>0.11</v>
      </c>
      <c r="O37" s="14">
        <v>0.11</v>
      </c>
      <c r="P37" s="14">
        <v>0.18</v>
      </c>
      <c r="Q37" s="14">
        <v>0.17</v>
      </c>
      <c r="R37" s="14">
        <v>0.22</v>
      </c>
      <c r="S37" s="14">
        <v>0.16</v>
      </c>
      <c r="T37" s="14">
        <v>0.16</v>
      </c>
      <c r="U37" s="14">
        <v>0.1</v>
      </c>
      <c r="V37" s="14">
        <v>0.2</v>
      </c>
      <c r="W37" s="14">
        <v>0.16</v>
      </c>
      <c r="X37" s="14">
        <v>0.14000000000000001</v>
      </c>
      <c r="Y37" s="14">
        <v>0.18</v>
      </c>
      <c r="Z37" s="14">
        <v>0.15</v>
      </c>
      <c r="AA37" s="14">
        <v>0.13</v>
      </c>
      <c r="AB37" s="14">
        <v>0.23</v>
      </c>
      <c r="AC37" s="14">
        <v>0.16</v>
      </c>
      <c r="AD37" s="14">
        <v>0.23</v>
      </c>
      <c r="AE37" s="14">
        <v>0.1</v>
      </c>
      <c r="AF37" s="14">
        <v>0.08</v>
      </c>
    </row>
    <row r="38" spans="1:32" ht="21.5" x14ac:dyDescent="0.35">
      <c r="A38" s="31"/>
      <c r="B38" s="11" t="s">
        <v>483</v>
      </c>
      <c r="C38" s="12">
        <v>1395</v>
      </c>
      <c r="D38" s="12">
        <v>46</v>
      </c>
      <c r="E38" s="12">
        <v>55</v>
      </c>
      <c r="F38" s="12">
        <v>19</v>
      </c>
      <c r="G38" s="12">
        <v>38</v>
      </c>
      <c r="H38" s="12">
        <v>62</v>
      </c>
      <c r="I38" s="12">
        <v>74</v>
      </c>
      <c r="J38" s="12">
        <v>13</v>
      </c>
      <c r="K38" s="12">
        <v>48</v>
      </c>
      <c r="L38" s="12">
        <v>57</v>
      </c>
      <c r="M38" s="12">
        <v>41</v>
      </c>
      <c r="N38" s="12">
        <v>48</v>
      </c>
      <c r="O38" s="12">
        <v>37</v>
      </c>
      <c r="P38" s="12">
        <v>44</v>
      </c>
      <c r="Q38" s="12">
        <v>83</v>
      </c>
      <c r="R38" s="12">
        <v>9</v>
      </c>
      <c r="S38" s="12">
        <v>18</v>
      </c>
      <c r="T38" s="12">
        <v>32</v>
      </c>
      <c r="U38" s="12">
        <v>27</v>
      </c>
      <c r="V38" s="12">
        <v>70</v>
      </c>
      <c r="W38" s="12">
        <v>27</v>
      </c>
      <c r="X38" s="12">
        <v>39</v>
      </c>
      <c r="Y38" s="12">
        <v>92</v>
      </c>
      <c r="Z38" s="12">
        <v>78</v>
      </c>
      <c r="AA38" s="12">
        <v>45</v>
      </c>
      <c r="AB38" s="12">
        <v>70</v>
      </c>
      <c r="AC38" s="12">
        <v>23</v>
      </c>
      <c r="AD38" s="12">
        <v>44</v>
      </c>
      <c r="AE38" s="12">
        <v>15</v>
      </c>
      <c r="AF38" s="12">
        <v>45</v>
      </c>
    </row>
    <row r="39" spans="1:32" ht="21.5" x14ac:dyDescent="0.35">
      <c r="A39" s="31"/>
      <c r="B39" s="13" t="s">
        <v>484</v>
      </c>
      <c r="C39" s="14">
        <v>0.05</v>
      </c>
      <c r="D39" s="14">
        <v>0.04</v>
      </c>
      <c r="E39" s="14">
        <v>0.05</v>
      </c>
      <c r="F39" s="14">
        <v>0.02</v>
      </c>
      <c r="G39" s="14">
        <v>0.04</v>
      </c>
      <c r="H39" s="14">
        <v>0.05</v>
      </c>
      <c r="I39" s="14">
        <v>0.05</v>
      </c>
      <c r="J39" s="14">
        <v>0.04</v>
      </c>
      <c r="K39" s="14">
        <v>0.05</v>
      </c>
      <c r="L39" s="14">
        <v>0.06</v>
      </c>
      <c r="M39" s="14">
        <v>0.04</v>
      </c>
      <c r="N39" s="14">
        <v>0.05</v>
      </c>
      <c r="O39" s="14">
        <v>0.04</v>
      </c>
      <c r="P39" s="14">
        <v>0.04</v>
      </c>
      <c r="Q39" s="14">
        <v>0.08</v>
      </c>
      <c r="R39" s="14">
        <v>0.02</v>
      </c>
      <c r="S39" s="14">
        <v>0.02</v>
      </c>
      <c r="T39" s="14">
        <v>0.03</v>
      </c>
      <c r="U39" s="14">
        <v>0.05</v>
      </c>
      <c r="V39" s="14">
        <v>7.0000000000000007E-2</v>
      </c>
      <c r="W39" s="14">
        <v>0.05</v>
      </c>
      <c r="X39" s="14">
        <v>0.04</v>
      </c>
      <c r="Y39" s="14">
        <v>0.09</v>
      </c>
      <c r="Z39" s="14">
        <v>0.08</v>
      </c>
      <c r="AA39" s="14">
        <v>0.04</v>
      </c>
      <c r="AB39" s="14">
        <v>7.0000000000000007E-2</v>
      </c>
      <c r="AC39" s="14">
        <v>0.02</v>
      </c>
      <c r="AD39" s="14">
        <v>0.04</v>
      </c>
      <c r="AE39" s="14">
        <v>0.01</v>
      </c>
      <c r="AF39" s="14">
        <v>0.04</v>
      </c>
    </row>
    <row r="40" spans="1:32" x14ac:dyDescent="0.35">
      <c r="A40" s="31"/>
      <c r="B40" s="11" t="s">
        <v>485</v>
      </c>
      <c r="C40" s="12">
        <v>12208</v>
      </c>
      <c r="D40" s="12">
        <v>421</v>
      </c>
      <c r="E40" s="12">
        <v>492</v>
      </c>
      <c r="F40" s="12">
        <v>518</v>
      </c>
      <c r="G40" s="12">
        <v>443</v>
      </c>
      <c r="H40" s="12">
        <v>685</v>
      </c>
      <c r="I40" s="12">
        <v>854</v>
      </c>
      <c r="J40" s="12">
        <v>169</v>
      </c>
      <c r="K40" s="12">
        <v>546</v>
      </c>
      <c r="L40" s="12">
        <v>397</v>
      </c>
      <c r="M40" s="12">
        <v>495</v>
      </c>
      <c r="N40" s="12">
        <v>382</v>
      </c>
      <c r="O40" s="12">
        <v>537</v>
      </c>
      <c r="P40" s="12">
        <v>441</v>
      </c>
      <c r="Q40" s="12">
        <v>450</v>
      </c>
      <c r="R40" s="12">
        <v>223</v>
      </c>
      <c r="S40" s="12">
        <v>547</v>
      </c>
      <c r="T40" s="12">
        <v>618</v>
      </c>
      <c r="U40" s="12">
        <v>255</v>
      </c>
      <c r="V40" s="12">
        <v>428</v>
      </c>
      <c r="W40" s="12">
        <v>215</v>
      </c>
      <c r="X40" s="12">
        <v>390</v>
      </c>
      <c r="Y40" s="12">
        <v>457</v>
      </c>
      <c r="Z40" s="12">
        <v>394</v>
      </c>
      <c r="AA40" s="12">
        <v>462</v>
      </c>
      <c r="AB40" s="12">
        <v>346</v>
      </c>
      <c r="AC40" s="12">
        <v>572</v>
      </c>
      <c r="AD40" s="12">
        <v>442</v>
      </c>
      <c r="AE40" s="12">
        <v>479</v>
      </c>
      <c r="AF40" s="12">
        <v>399</v>
      </c>
    </row>
    <row r="41" spans="1:32" x14ac:dyDescent="0.35">
      <c r="A41" s="31"/>
      <c r="B41" s="13" t="s">
        <v>486</v>
      </c>
      <c r="C41" s="14">
        <v>0.46</v>
      </c>
      <c r="D41" s="14">
        <v>0.41</v>
      </c>
      <c r="E41" s="14">
        <v>0.47</v>
      </c>
      <c r="F41" s="14">
        <v>0.51</v>
      </c>
      <c r="G41" s="14">
        <v>0.44</v>
      </c>
      <c r="H41" s="14">
        <v>0.56000000000000005</v>
      </c>
      <c r="I41" s="14">
        <v>0.56000000000000005</v>
      </c>
      <c r="J41" s="14">
        <v>0.57000000000000006</v>
      </c>
      <c r="K41" s="14">
        <v>0.54</v>
      </c>
      <c r="L41" s="14">
        <v>0.4</v>
      </c>
      <c r="M41" s="14">
        <v>0.49</v>
      </c>
      <c r="N41" s="14">
        <v>0.38</v>
      </c>
      <c r="O41" s="14">
        <v>0.54</v>
      </c>
      <c r="P41" s="14">
        <v>0.44</v>
      </c>
      <c r="Q41" s="14">
        <v>0.43</v>
      </c>
      <c r="R41" s="14">
        <v>0.44</v>
      </c>
      <c r="S41" s="14">
        <v>0.54</v>
      </c>
      <c r="T41" s="14">
        <v>0.61</v>
      </c>
      <c r="U41" s="14">
        <v>0.5</v>
      </c>
      <c r="V41" s="14">
        <v>0.42</v>
      </c>
      <c r="W41" s="14">
        <v>0.43</v>
      </c>
      <c r="X41" s="14">
        <v>0.39</v>
      </c>
      <c r="Y41" s="14">
        <v>0.46</v>
      </c>
      <c r="Z41" s="14">
        <v>0.39</v>
      </c>
      <c r="AA41" s="14">
        <v>0.45</v>
      </c>
      <c r="AB41" s="14">
        <v>0.33</v>
      </c>
      <c r="AC41" s="14">
        <v>0.56000000000000005</v>
      </c>
      <c r="AD41" s="14">
        <v>0.44</v>
      </c>
      <c r="AE41" s="14">
        <v>0.48</v>
      </c>
      <c r="AF41" s="14">
        <v>0.39</v>
      </c>
    </row>
    <row r="42" spans="1:32" x14ac:dyDescent="0.35">
      <c r="A42" s="31"/>
      <c r="B42" s="11" t="s">
        <v>407</v>
      </c>
      <c r="C42" s="12">
        <v>82</v>
      </c>
      <c r="D42" s="12">
        <v>0</v>
      </c>
      <c r="E42" s="12">
        <v>5</v>
      </c>
      <c r="F42" s="12">
        <v>1</v>
      </c>
      <c r="G42" s="12">
        <v>2</v>
      </c>
      <c r="H42" s="12">
        <v>1</v>
      </c>
      <c r="I42" s="12">
        <v>1</v>
      </c>
      <c r="J42" s="12">
        <v>0</v>
      </c>
      <c r="K42" s="12">
        <v>14</v>
      </c>
      <c r="L42" s="12">
        <v>4</v>
      </c>
      <c r="M42" s="12">
        <v>4</v>
      </c>
      <c r="N42" s="12">
        <v>5</v>
      </c>
      <c r="O42" s="12">
        <v>5</v>
      </c>
      <c r="P42" s="12">
        <v>4</v>
      </c>
      <c r="Q42" s="12">
        <v>0</v>
      </c>
      <c r="R42" s="12">
        <v>1</v>
      </c>
      <c r="S42" s="12">
        <v>8</v>
      </c>
      <c r="T42" s="12">
        <v>7</v>
      </c>
      <c r="U42" s="12">
        <v>5</v>
      </c>
      <c r="V42" s="12">
        <v>0</v>
      </c>
      <c r="W42" s="12">
        <v>0</v>
      </c>
      <c r="X42" s="12">
        <v>6</v>
      </c>
      <c r="Y42" s="12">
        <v>21</v>
      </c>
      <c r="Z42" s="12">
        <v>1</v>
      </c>
      <c r="AA42" s="12">
        <v>1</v>
      </c>
      <c r="AB42" s="12">
        <v>10</v>
      </c>
      <c r="AC42" s="12">
        <v>0</v>
      </c>
      <c r="AD42" s="12">
        <v>0</v>
      </c>
      <c r="AE42" s="12">
        <v>2</v>
      </c>
      <c r="AF42" s="12">
        <v>0</v>
      </c>
    </row>
    <row r="43" spans="1:32" x14ac:dyDescent="0.35">
      <c r="A43" s="31"/>
      <c r="B43" s="13" t="s">
        <v>408</v>
      </c>
      <c r="C43" s="15" t="s">
        <v>333</v>
      </c>
      <c r="D43" s="15" t="s">
        <v>333</v>
      </c>
      <c r="E43" s="15" t="s">
        <v>333</v>
      </c>
      <c r="F43" s="15" t="s">
        <v>333</v>
      </c>
      <c r="G43" s="15" t="s">
        <v>333</v>
      </c>
      <c r="H43" s="15" t="s">
        <v>333</v>
      </c>
      <c r="I43" s="15" t="s">
        <v>333</v>
      </c>
      <c r="J43" s="15" t="s">
        <v>333</v>
      </c>
      <c r="K43" s="14">
        <v>0.01</v>
      </c>
      <c r="L43" s="15" t="s">
        <v>333</v>
      </c>
      <c r="M43" s="15" t="s">
        <v>333</v>
      </c>
      <c r="N43" s="14">
        <v>0.01</v>
      </c>
      <c r="O43" s="14">
        <v>0.01</v>
      </c>
      <c r="P43" s="15" t="s">
        <v>333</v>
      </c>
      <c r="Q43" s="15" t="s">
        <v>333</v>
      </c>
      <c r="R43" s="15" t="s">
        <v>333</v>
      </c>
      <c r="S43" s="14">
        <v>0.01</v>
      </c>
      <c r="T43" s="14">
        <v>0.01</v>
      </c>
      <c r="U43" s="14">
        <v>0.01</v>
      </c>
      <c r="V43" s="15" t="s">
        <v>333</v>
      </c>
      <c r="W43" s="15" t="s">
        <v>333</v>
      </c>
      <c r="X43" s="14">
        <v>0.01</v>
      </c>
      <c r="Y43" s="14">
        <v>0.02</v>
      </c>
      <c r="Z43" s="15" t="s">
        <v>333</v>
      </c>
      <c r="AA43" s="15" t="s">
        <v>333</v>
      </c>
      <c r="AB43" s="14">
        <v>0.01</v>
      </c>
      <c r="AC43" s="15" t="s">
        <v>333</v>
      </c>
      <c r="AD43" s="15" t="s">
        <v>333</v>
      </c>
      <c r="AE43" s="15" t="s">
        <v>333</v>
      </c>
      <c r="AF43" s="15" t="s">
        <v>333</v>
      </c>
    </row>
    <row r="44" spans="1:32" x14ac:dyDescent="0.35">
      <c r="A44" s="31"/>
      <c r="B44" s="11" t="s">
        <v>452</v>
      </c>
      <c r="C44" s="12">
        <v>128</v>
      </c>
      <c r="D44" s="12">
        <v>1</v>
      </c>
      <c r="E44" s="12">
        <v>5</v>
      </c>
      <c r="F44" s="12">
        <v>10</v>
      </c>
      <c r="G44" s="12">
        <v>0</v>
      </c>
      <c r="H44" s="12">
        <v>8</v>
      </c>
      <c r="I44" s="12">
        <v>9</v>
      </c>
      <c r="J44" s="12">
        <v>1</v>
      </c>
      <c r="K44" s="12">
        <v>4</v>
      </c>
      <c r="L44" s="12">
        <v>3</v>
      </c>
      <c r="M44" s="12">
        <v>2</v>
      </c>
      <c r="N44" s="12">
        <v>7</v>
      </c>
      <c r="O44" s="12">
        <v>7</v>
      </c>
      <c r="P44" s="12">
        <v>1</v>
      </c>
      <c r="Q44" s="12">
        <v>6</v>
      </c>
      <c r="R44" s="12">
        <v>3</v>
      </c>
      <c r="S44" s="12">
        <v>6</v>
      </c>
      <c r="T44" s="12">
        <v>3</v>
      </c>
      <c r="U44" s="12">
        <v>2</v>
      </c>
      <c r="V44" s="12">
        <v>0</v>
      </c>
      <c r="W44" s="12">
        <v>0</v>
      </c>
      <c r="X44" s="12">
        <v>9</v>
      </c>
      <c r="Y44" s="12">
        <v>2</v>
      </c>
      <c r="Z44" s="12">
        <v>2</v>
      </c>
      <c r="AA44" s="12">
        <v>2</v>
      </c>
      <c r="AB44" s="12">
        <v>2</v>
      </c>
      <c r="AC44" s="12">
        <v>3</v>
      </c>
      <c r="AD44" s="12">
        <v>0</v>
      </c>
      <c r="AE44" s="12">
        <v>3</v>
      </c>
      <c r="AF44" s="12">
        <v>0</v>
      </c>
    </row>
    <row r="45" spans="1:32" x14ac:dyDescent="0.35">
      <c r="A45" s="31"/>
      <c r="B45" s="13" t="s">
        <v>453</v>
      </c>
      <c r="C45" s="15" t="s">
        <v>333</v>
      </c>
      <c r="D45" s="15" t="s">
        <v>333</v>
      </c>
      <c r="E45" s="15" t="s">
        <v>333</v>
      </c>
      <c r="F45" s="14">
        <v>0.01</v>
      </c>
      <c r="G45" s="15" t="s">
        <v>333</v>
      </c>
      <c r="H45" s="14">
        <v>0.01</v>
      </c>
      <c r="I45" s="14">
        <v>0.01</v>
      </c>
      <c r="J45" s="15" t="s">
        <v>333</v>
      </c>
      <c r="K45" s="15" t="s">
        <v>333</v>
      </c>
      <c r="L45" s="15" t="s">
        <v>333</v>
      </c>
      <c r="M45" s="15" t="s">
        <v>333</v>
      </c>
      <c r="N45" s="14">
        <v>0.01</v>
      </c>
      <c r="O45" s="14">
        <v>0.01</v>
      </c>
      <c r="P45" s="15" t="s">
        <v>333</v>
      </c>
      <c r="Q45" s="14">
        <v>0.01</v>
      </c>
      <c r="R45" s="14">
        <v>0.01</v>
      </c>
      <c r="S45" s="14">
        <v>0.01</v>
      </c>
      <c r="T45" s="15" t="s">
        <v>333</v>
      </c>
      <c r="U45" s="15" t="s">
        <v>333</v>
      </c>
      <c r="V45" s="15" t="s">
        <v>333</v>
      </c>
      <c r="W45" s="15" t="s">
        <v>333</v>
      </c>
      <c r="X45" s="14">
        <v>0.01</v>
      </c>
      <c r="Y45" s="15" t="s">
        <v>333</v>
      </c>
      <c r="Z45" s="15" t="s">
        <v>333</v>
      </c>
      <c r="AA45" s="15" t="s">
        <v>333</v>
      </c>
      <c r="AB45" s="15" t="s">
        <v>333</v>
      </c>
      <c r="AC45" s="15" t="s">
        <v>333</v>
      </c>
      <c r="AD45" s="15" t="s">
        <v>333</v>
      </c>
      <c r="AE45" s="15" t="s">
        <v>333</v>
      </c>
      <c r="AF45" s="15" t="s">
        <v>333</v>
      </c>
    </row>
    <row r="46" spans="1:32" x14ac:dyDescent="0.35">
      <c r="A46" s="31"/>
      <c r="B46" s="11" t="s">
        <v>344</v>
      </c>
      <c r="C46" s="12">
        <v>150</v>
      </c>
      <c r="D46" s="12">
        <v>3</v>
      </c>
      <c r="E46" s="12">
        <v>3</v>
      </c>
      <c r="F46" s="12">
        <v>22</v>
      </c>
      <c r="G46" s="12">
        <v>6</v>
      </c>
      <c r="H46" s="12">
        <v>7</v>
      </c>
      <c r="I46" s="12">
        <v>7</v>
      </c>
      <c r="J46" s="12">
        <v>1</v>
      </c>
      <c r="K46" s="12">
        <v>7</v>
      </c>
      <c r="L46" s="12">
        <v>6</v>
      </c>
      <c r="M46" s="12">
        <v>2</v>
      </c>
      <c r="N46" s="12">
        <v>17</v>
      </c>
      <c r="O46" s="12">
        <v>3</v>
      </c>
      <c r="P46" s="12">
        <v>9</v>
      </c>
      <c r="Q46" s="12">
        <v>5</v>
      </c>
      <c r="R46" s="12">
        <v>4</v>
      </c>
      <c r="S46" s="12">
        <v>9</v>
      </c>
      <c r="T46" s="12">
        <v>12</v>
      </c>
      <c r="U46" s="12">
        <v>2</v>
      </c>
      <c r="V46" s="12">
        <v>3</v>
      </c>
      <c r="W46" s="12">
        <v>0</v>
      </c>
      <c r="X46" s="12">
        <v>2</v>
      </c>
      <c r="Y46" s="12">
        <v>0</v>
      </c>
      <c r="Z46" s="12">
        <v>0</v>
      </c>
      <c r="AA46" s="12">
        <v>12</v>
      </c>
      <c r="AB46" s="12">
        <v>6</v>
      </c>
      <c r="AC46" s="12">
        <v>3</v>
      </c>
      <c r="AD46" s="12">
        <v>1</v>
      </c>
      <c r="AE46" s="12">
        <v>3</v>
      </c>
      <c r="AF46" s="12">
        <v>0</v>
      </c>
    </row>
    <row r="47" spans="1:32" x14ac:dyDescent="0.35">
      <c r="A47" s="31"/>
      <c r="B47" s="13" t="s">
        <v>357</v>
      </c>
      <c r="C47" s="14">
        <v>0.01</v>
      </c>
      <c r="D47" s="15" t="s">
        <v>333</v>
      </c>
      <c r="E47" s="15" t="s">
        <v>333</v>
      </c>
      <c r="F47" s="14">
        <v>0.02</v>
      </c>
      <c r="G47" s="14">
        <v>0.01</v>
      </c>
      <c r="H47" s="14">
        <v>0.01</v>
      </c>
      <c r="I47" s="15" t="s">
        <v>333</v>
      </c>
      <c r="J47" s="15" t="s">
        <v>333</v>
      </c>
      <c r="K47" s="14">
        <v>0.01</v>
      </c>
      <c r="L47" s="14">
        <v>0.01</v>
      </c>
      <c r="M47" s="15" t="s">
        <v>333</v>
      </c>
      <c r="N47" s="14">
        <v>0.02</v>
      </c>
      <c r="O47" s="15" t="s">
        <v>333</v>
      </c>
      <c r="P47" s="14">
        <v>0.01</v>
      </c>
      <c r="Q47" s="14">
        <v>0.01</v>
      </c>
      <c r="R47" s="14">
        <v>0.01</v>
      </c>
      <c r="S47" s="14">
        <v>0.01</v>
      </c>
      <c r="T47" s="14">
        <v>0.01</v>
      </c>
      <c r="U47" s="15" t="s">
        <v>333</v>
      </c>
      <c r="V47" s="15" t="s">
        <v>333</v>
      </c>
      <c r="W47" s="15" t="s">
        <v>333</v>
      </c>
      <c r="X47" s="15" t="s">
        <v>333</v>
      </c>
      <c r="Y47" s="15" t="s">
        <v>333</v>
      </c>
      <c r="Z47" s="15" t="s">
        <v>333</v>
      </c>
      <c r="AA47" s="14">
        <v>0.01</v>
      </c>
      <c r="AB47" s="14">
        <v>0.01</v>
      </c>
      <c r="AC47" s="15" t="s">
        <v>333</v>
      </c>
      <c r="AD47" s="15" t="s">
        <v>333</v>
      </c>
      <c r="AE47" s="15" t="s">
        <v>333</v>
      </c>
      <c r="AF47" s="15" t="s">
        <v>333</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489</v>
      </c>
      <c r="C3" s="30"/>
      <c r="D3" s="30"/>
      <c r="E3" s="30"/>
      <c r="F3" s="30"/>
      <c r="H3" s="30" t="s">
        <v>490</v>
      </c>
      <c r="I3" s="30"/>
      <c r="J3" s="30"/>
      <c r="K3" s="30"/>
      <c r="L3" s="30"/>
    </row>
    <row r="4" spans="1:32" ht="27" customHeight="1" x14ac:dyDescent="0.35">
      <c r="B4" s="30" t="s">
        <v>491</v>
      </c>
      <c r="C4" s="30"/>
      <c r="D4" s="30"/>
      <c r="E4" s="30"/>
      <c r="F4" s="30"/>
      <c r="H4" s="30" t="s">
        <v>491</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492</v>
      </c>
      <c r="C12" s="12">
        <v>17923</v>
      </c>
      <c r="D12" s="12">
        <v>765</v>
      </c>
      <c r="E12" s="12">
        <v>581</v>
      </c>
      <c r="F12" s="12">
        <v>494</v>
      </c>
      <c r="G12" s="12">
        <v>769</v>
      </c>
      <c r="H12" s="12">
        <v>929</v>
      </c>
      <c r="I12" s="12">
        <v>1099</v>
      </c>
      <c r="J12" s="12">
        <v>170</v>
      </c>
      <c r="K12" s="12">
        <v>562</v>
      </c>
      <c r="L12" s="12">
        <v>830</v>
      </c>
      <c r="M12" s="12">
        <v>771</v>
      </c>
      <c r="N12" s="12">
        <v>810</v>
      </c>
      <c r="O12" s="12">
        <v>696</v>
      </c>
      <c r="P12" s="12">
        <v>649</v>
      </c>
      <c r="Q12" s="12">
        <v>703</v>
      </c>
      <c r="R12" s="12">
        <v>456</v>
      </c>
      <c r="S12" s="12">
        <v>779</v>
      </c>
      <c r="T12" s="12">
        <v>811</v>
      </c>
      <c r="U12" s="12">
        <v>417</v>
      </c>
      <c r="V12" s="12">
        <v>620</v>
      </c>
      <c r="W12" s="12">
        <v>385</v>
      </c>
      <c r="X12" s="12">
        <v>742</v>
      </c>
      <c r="Y12" s="12">
        <v>542</v>
      </c>
      <c r="Z12" s="12">
        <v>436</v>
      </c>
      <c r="AA12" s="12">
        <v>818</v>
      </c>
      <c r="AB12" s="12">
        <v>454</v>
      </c>
      <c r="AC12" s="12">
        <v>755</v>
      </c>
      <c r="AD12" s="12">
        <v>597</v>
      </c>
      <c r="AE12" s="12">
        <v>791</v>
      </c>
      <c r="AF12" s="12">
        <v>839</v>
      </c>
    </row>
    <row r="13" spans="1:32" x14ac:dyDescent="0.35">
      <c r="A13" s="31"/>
      <c r="B13" s="13" t="s">
        <v>493</v>
      </c>
      <c r="C13" s="14">
        <v>0.68</v>
      </c>
      <c r="D13" s="14">
        <v>0.75</v>
      </c>
      <c r="E13" s="14">
        <v>0.56000000000000005</v>
      </c>
      <c r="F13" s="14">
        <v>0.48</v>
      </c>
      <c r="G13" s="14">
        <v>0.76</v>
      </c>
      <c r="H13" s="14">
        <v>0.75</v>
      </c>
      <c r="I13" s="14">
        <v>0.72</v>
      </c>
      <c r="J13" s="14">
        <v>0.57000000000000006</v>
      </c>
      <c r="K13" s="14">
        <v>0.56000000000000005</v>
      </c>
      <c r="L13" s="14">
        <v>0.83000000000000007</v>
      </c>
      <c r="M13" s="14">
        <v>0.77</v>
      </c>
      <c r="N13" s="14">
        <v>0.81</v>
      </c>
      <c r="O13" s="14">
        <v>0.70000000000000007</v>
      </c>
      <c r="P13" s="14">
        <v>0.65</v>
      </c>
      <c r="Q13" s="14">
        <v>0.68</v>
      </c>
      <c r="R13" s="14">
        <v>0.91</v>
      </c>
      <c r="S13" s="14">
        <v>0.76</v>
      </c>
      <c r="T13" s="14">
        <v>0.8</v>
      </c>
      <c r="U13" s="14">
        <v>0.82000000000000006</v>
      </c>
      <c r="V13" s="14">
        <v>0.61</v>
      </c>
      <c r="W13" s="14">
        <v>0.77</v>
      </c>
      <c r="X13" s="14">
        <v>0.74</v>
      </c>
      <c r="Y13" s="14">
        <v>0.54</v>
      </c>
      <c r="Z13" s="14">
        <v>0.43</v>
      </c>
      <c r="AA13" s="14">
        <v>0.8</v>
      </c>
      <c r="AB13" s="14">
        <v>0.43</v>
      </c>
      <c r="AC13" s="14">
        <v>0.75</v>
      </c>
      <c r="AD13" s="14">
        <v>0.59</v>
      </c>
      <c r="AE13" s="14">
        <v>0.79</v>
      </c>
      <c r="AF13" s="14">
        <v>0.82000000000000006</v>
      </c>
    </row>
    <row r="14" spans="1:32" x14ac:dyDescent="0.35">
      <c r="A14" s="31"/>
      <c r="B14" s="11" t="s">
        <v>494</v>
      </c>
      <c r="C14" s="12">
        <v>3026</v>
      </c>
      <c r="D14" s="12">
        <v>117</v>
      </c>
      <c r="E14" s="12">
        <v>177</v>
      </c>
      <c r="F14" s="12">
        <v>190</v>
      </c>
      <c r="G14" s="12">
        <v>45</v>
      </c>
      <c r="H14" s="12">
        <v>107</v>
      </c>
      <c r="I14" s="12">
        <v>138</v>
      </c>
      <c r="J14" s="12">
        <v>31</v>
      </c>
      <c r="K14" s="12">
        <v>145</v>
      </c>
      <c r="L14" s="12">
        <v>54</v>
      </c>
      <c r="M14" s="12">
        <v>91</v>
      </c>
      <c r="N14" s="12">
        <v>45</v>
      </c>
      <c r="O14" s="12">
        <v>91</v>
      </c>
      <c r="P14" s="12">
        <v>201</v>
      </c>
      <c r="Q14" s="12">
        <v>134</v>
      </c>
      <c r="R14" s="12">
        <v>18</v>
      </c>
      <c r="S14" s="12">
        <v>89</v>
      </c>
      <c r="T14" s="12">
        <v>57</v>
      </c>
      <c r="U14" s="12">
        <v>20</v>
      </c>
      <c r="V14" s="12">
        <v>214</v>
      </c>
      <c r="W14" s="12">
        <v>67</v>
      </c>
      <c r="X14" s="12">
        <v>114</v>
      </c>
      <c r="Y14" s="12">
        <v>193</v>
      </c>
      <c r="Z14" s="12">
        <v>205</v>
      </c>
      <c r="AA14" s="12">
        <v>56</v>
      </c>
      <c r="AB14" s="12">
        <v>299</v>
      </c>
      <c r="AC14" s="12">
        <v>57</v>
      </c>
      <c r="AD14" s="12">
        <v>145</v>
      </c>
      <c r="AE14" s="12">
        <v>38</v>
      </c>
      <c r="AF14" s="12">
        <v>25</v>
      </c>
    </row>
    <row r="15" spans="1:32" x14ac:dyDescent="0.35">
      <c r="A15" s="31"/>
      <c r="B15" s="13" t="s">
        <v>495</v>
      </c>
      <c r="C15" s="14">
        <v>0.11</v>
      </c>
      <c r="D15" s="14">
        <v>0.11</v>
      </c>
      <c r="E15" s="14">
        <v>0.17</v>
      </c>
      <c r="F15" s="14">
        <v>0.19</v>
      </c>
      <c r="G15" s="14">
        <v>0.04</v>
      </c>
      <c r="H15" s="14">
        <v>0.09</v>
      </c>
      <c r="I15" s="14">
        <v>0.09</v>
      </c>
      <c r="J15" s="14">
        <v>0.11</v>
      </c>
      <c r="K15" s="14">
        <v>0.14000000000000001</v>
      </c>
      <c r="L15" s="14">
        <v>0.05</v>
      </c>
      <c r="M15" s="14">
        <v>0.09</v>
      </c>
      <c r="N15" s="14">
        <v>0.05</v>
      </c>
      <c r="O15" s="14">
        <v>0.09</v>
      </c>
      <c r="P15" s="14">
        <v>0.2</v>
      </c>
      <c r="Q15" s="14">
        <v>0.13</v>
      </c>
      <c r="R15" s="14">
        <v>0.04</v>
      </c>
      <c r="S15" s="14">
        <v>0.09</v>
      </c>
      <c r="T15" s="14">
        <v>0.06</v>
      </c>
      <c r="U15" s="14">
        <v>0.04</v>
      </c>
      <c r="V15" s="14">
        <v>0.21</v>
      </c>
      <c r="W15" s="14">
        <v>0.13</v>
      </c>
      <c r="X15" s="14">
        <v>0.11</v>
      </c>
      <c r="Y15" s="14">
        <v>0.19</v>
      </c>
      <c r="Z15" s="14">
        <v>0.2</v>
      </c>
      <c r="AA15" s="14">
        <v>0.05</v>
      </c>
      <c r="AB15" s="14">
        <v>0.28000000000000003</v>
      </c>
      <c r="AC15" s="14">
        <v>0.06</v>
      </c>
      <c r="AD15" s="14">
        <v>0.15</v>
      </c>
      <c r="AE15" s="14">
        <v>0.04</v>
      </c>
      <c r="AF15" s="14">
        <v>0.02</v>
      </c>
    </row>
    <row r="16" spans="1:32" x14ac:dyDescent="0.35">
      <c r="A16" s="31"/>
      <c r="B16" s="11" t="s">
        <v>496</v>
      </c>
      <c r="C16" s="12">
        <v>4930</v>
      </c>
      <c r="D16" s="12">
        <v>140</v>
      </c>
      <c r="E16" s="12">
        <v>242</v>
      </c>
      <c r="F16" s="12">
        <v>308</v>
      </c>
      <c r="G16" s="12">
        <v>175</v>
      </c>
      <c r="H16" s="12">
        <v>184</v>
      </c>
      <c r="I16" s="12">
        <v>279</v>
      </c>
      <c r="J16" s="12">
        <v>95</v>
      </c>
      <c r="K16" s="12">
        <v>275</v>
      </c>
      <c r="L16" s="12">
        <v>108</v>
      </c>
      <c r="M16" s="12">
        <v>130</v>
      </c>
      <c r="N16" s="12">
        <v>104</v>
      </c>
      <c r="O16" s="12">
        <v>196</v>
      </c>
      <c r="P16" s="12">
        <v>135</v>
      </c>
      <c r="Q16" s="12">
        <v>174</v>
      </c>
      <c r="R16" s="12">
        <v>14</v>
      </c>
      <c r="S16" s="12">
        <v>111</v>
      </c>
      <c r="T16" s="12">
        <v>116</v>
      </c>
      <c r="U16" s="12">
        <v>59</v>
      </c>
      <c r="V16" s="12">
        <v>174</v>
      </c>
      <c r="W16" s="12">
        <v>44</v>
      </c>
      <c r="X16" s="12">
        <v>150</v>
      </c>
      <c r="Y16" s="12">
        <v>259</v>
      </c>
      <c r="Z16" s="12">
        <v>357</v>
      </c>
      <c r="AA16" s="12">
        <v>107</v>
      </c>
      <c r="AB16" s="12">
        <v>257</v>
      </c>
      <c r="AC16" s="12">
        <v>197</v>
      </c>
      <c r="AD16" s="12">
        <v>255</v>
      </c>
      <c r="AE16" s="12">
        <v>163</v>
      </c>
      <c r="AF16" s="12">
        <v>152</v>
      </c>
    </row>
    <row r="17" spans="1:32" x14ac:dyDescent="0.35">
      <c r="A17" s="31"/>
      <c r="B17" s="13" t="s">
        <v>497</v>
      </c>
      <c r="C17" s="14">
        <v>0.19</v>
      </c>
      <c r="D17" s="14">
        <v>0.14000000000000001</v>
      </c>
      <c r="E17" s="14">
        <v>0.23</v>
      </c>
      <c r="F17" s="14">
        <v>0.3</v>
      </c>
      <c r="G17" s="14">
        <v>0.17</v>
      </c>
      <c r="H17" s="14">
        <v>0.15</v>
      </c>
      <c r="I17" s="14">
        <v>0.18</v>
      </c>
      <c r="J17" s="14">
        <v>0.32</v>
      </c>
      <c r="K17" s="14">
        <v>0.27</v>
      </c>
      <c r="L17" s="14">
        <v>0.11</v>
      </c>
      <c r="M17" s="14">
        <v>0.13</v>
      </c>
      <c r="N17" s="14">
        <v>0.1</v>
      </c>
      <c r="O17" s="14">
        <v>0.19</v>
      </c>
      <c r="P17" s="14">
        <v>0.13</v>
      </c>
      <c r="Q17" s="14">
        <v>0.17</v>
      </c>
      <c r="R17" s="14">
        <v>0.03</v>
      </c>
      <c r="S17" s="14">
        <v>0.11</v>
      </c>
      <c r="T17" s="14">
        <v>0.11</v>
      </c>
      <c r="U17" s="14">
        <v>0.11</v>
      </c>
      <c r="V17" s="14">
        <v>0.17</v>
      </c>
      <c r="W17" s="14">
        <v>0.09</v>
      </c>
      <c r="X17" s="14">
        <v>0.15</v>
      </c>
      <c r="Y17" s="14">
        <v>0.26</v>
      </c>
      <c r="Z17" s="14">
        <v>0.35</v>
      </c>
      <c r="AA17" s="14">
        <v>0.1</v>
      </c>
      <c r="AB17" s="14">
        <v>0.25</v>
      </c>
      <c r="AC17" s="14">
        <v>0.19</v>
      </c>
      <c r="AD17" s="14">
        <v>0.25</v>
      </c>
      <c r="AE17" s="14">
        <v>0.16</v>
      </c>
      <c r="AF17" s="14">
        <v>0.15</v>
      </c>
    </row>
    <row r="18" spans="1:32" x14ac:dyDescent="0.35">
      <c r="A18" s="31"/>
      <c r="B18" s="11" t="s">
        <v>344</v>
      </c>
      <c r="C18" s="12">
        <v>532</v>
      </c>
      <c r="D18" s="12">
        <v>3</v>
      </c>
      <c r="E18" s="12">
        <v>39</v>
      </c>
      <c r="F18" s="12">
        <v>26</v>
      </c>
      <c r="G18" s="12">
        <v>29</v>
      </c>
      <c r="H18" s="12">
        <v>13</v>
      </c>
      <c r="I18" s="12">
        <v>14</v>
      </c>
      <c r="J18" s="12">
        <v>1</v>
      </c>
      <c r="K18" s="12">
        <v>27</v>
      </c>
      <c r="L18" s="12">
        <v>13</v>
      </c>
      <c r="M18" s="12">
        <v>12</v>
      </c>
      <c r="N18" s="12">
        <v>41</v>
      </c>
      <c r="O18" s="12">
        <v>18</v>
      </c>
      <c r="P18" s="12">
        <v>19</v>
      </c>
      <c r="Q18" s="12">
        <v>24</v>
      </c>
      <c r="R18" s="12">
        <v>12</v>
      </c>
      <c r="S18" s="12">
        <v>41</v>
      </c>
      <c r="T18" s="12">
        <v>32</v>
      </c>
      <c r="U18" s="12">
        <v>14</v>
      </c>
      <c r="V18" s="12">
        <v>6</v>
      </c>
      <c r="W18" s="12">
        <v>5</v>
      </c>
      <c r="X18" s="12">
        <v>4</v>
      </c>
      <c r="Y18" s="12">
        <v>9</v>
      </c>
      <c r="Z18" s="12">
        <v>20</v>
      </c>
      <c r="AA18" s="12">
        <v>48</v>
      </c>
      <c r="AB18" s="12">
        <v>46</v>
      </c>
      <c r="AC18" s="12">
        <v>5</v>
      </c>
      <c r="AD18" s="12">
        <v>7</v>
      </c>
      <c r="AE18" s="12">
        <v>15</v>
      </c>
      <c r="AF18" s="12">
        <v>4</v>
      </c>
    </row>
    <row r="19" spans="1:32" x14ac:dyDescent="0.35">
      <c r="A19" s="31"/>
      <c r="B19" s="13" t="s">
        <v>357</v>
      </c>
      <c r="C19" s="14">
        <v>0.02</v>
      </c>
      <c r="D19" s="15" t="s">
        <v>333</v>
      </c>
      <c r="E19" s="14">
        <v>0.04</v>
      </c>
      <c r="F19" s="14">
        <v>0.03</v>
      </c>
      <c r="G19" s="14">
        <v>0.03</v>
      </c>
      <c r="H19" s="14">
        <v>0.01</v>
      </c>
      <c r="I19" s="14">
        <v>0.01</v>
      </c>
      <c r="J19" s="15" t="s">
        <v>333</v>
      </c>
      <c r="K19" s="14">
        <v>0.03</v>
      </c>
      <c r="L19" s="14">
        <v>0.01</v>
      </c>
      <c r="M19" s="14">
        <v>0.01</v>
      </c>
      <c r="N19" s="14">
        <v>0.04</v>
      </c>
      <c r="O19" s="14">
        <v>0.02</v>
      </c>
      <c r="P19" s="14">
        <v>0.02</v>
      </c>
      <c r="Q19" s="14">
        <v>0.02</v>
      </c>
      <c r="R19" s="14">
        <v>0.02</v>
      </c>
      <c r="S19" s="14">
        <v>0.04</v>
      </c>
      <c r="T19" s="14">
        <v>0.03</v>
      </c>
      <c r="U19" s="14">
        <v>0.03</v>
      </c>
      <c r="V19" s="14">
        <v>0.01</v>
      </c>
      <c r="W19" s="14">
        <v>0.01</v>
      </c>
      <c r="X19" s="15" t="s">
        <v>333</v>
      </c>
      <c r="Y19" s="14">
        <v>0.01</v>
      </c>
      <c r="Z19" s="14">
        <v>0.02</v>
      </c>
      <c r="AA19" s="14">
        <v>0.05</v>
      </c>
      <c r="AB19" s="14">
        <v>0.04</v>
      </c>
      <c r="AC19" s="15" t="s">
        <v>333</v>
      </c>
      <c r="AD19" s="14">
        <v>0.01</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498</v>
      </c>
      <c r="C3" s="30"/>
      <c r="D3" s="30"/>
      <c r="E3" s="30"/>
      <c r="F3" s="30"/>
      <c r="H3" s="30" t="s">
        <v>499</v>
      </c>
      <c r="I3" s="30"/>
      <c r="J3" s="30"/>
      <c r="K3" s="30"/>
      <c r="L3" s="30"/>
    </row>
    <row r="4" spans="1:32" ht="27" customHeight="1" x14ac:dyDescent="0.35">
      <c r="B4" s="30" t="s">
        <v>500</v>
      </c>
      <c r="C4" s="30"/>
      <c r="D4" s="30"/>
      <c r="E4" s="30"/>
      <c r="F4" s="30"/>
      <c r="H4" s="30" t="s">
        <v>501</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13418</v>
      </c>
      <c r="D12" s="12">
        <v>537</v>
      </c>
      <c r="E12" s="12">
        <v>428</v>
      </c>
      <c r="F12" s="12">
        <v>315</v>
      </c>
      <c r="G12" s="12">
        <v>806</v>
      </c>
      <c r="H12" s="12">
        <v>757</v>
      </c>
      <c r="I12" s="12">
        <v>906</v>
      </c>
      <c r="J12" s="12">
        <v>149</v>
      </c>
      <c r="K12" s="12">
        <v>401</v>
      </c>
      <c r="L12" s="12">
        <v>641</v>
      </c>
      <c r="M12" s="12">
        <v>566</v>
      </c>
      <c r="N12" s="12">
        <v>689</v>
      </c>
      <c r="O12" s="12">
        <v>548</v>
      </c>
      <c r="P12" s="12">
        <v>427</v>
      </c>
      <c r="Q12" s="12">
        <v>441</v>
      </c>
      <c r="R12" s="12">
        <v>415</v>
      </c>
      <c r="S12" s="12">
        <v>641</v>
      </c>
      <c r="T12" s="12">
        <v>543</v>
      </c>
      <c r="U12" s="12">
        <v>339</v>
      </c>
      <c r="V12" s="12">
        <v>370</v>
      </c>
      <c r="W12" s="12">
        <v>333</v>
      </c>
      <c r="X12" s="12">
        <v>538</v>
      </c>
      <c r="Y12" s="12">
        <v>407</v>
      </c>
      <c r="Z12" s="12">
        <v>245</v>
      </c>
      <c r="AA12" s="12">
        <v>447</v>
      </c>
      <c r="AB12" s="12">
        <v>319</v>
      </c>
      <c r="AC12" s="12">
        <v>587</v>
      </c>
      <c r="AD12" s="12">
        <v>458</v>
      </c>
      <c r="AE12" s="12">
        <v>552</v>
      </c>
      <c r="AF12" s="12">
        <v>695</v>
      </c>
    </row>
    <row r="13" spans="1:32" x14ac:dyDescent="0.35">
      <c r="A13" s="31"/>
      <c r="B13" s="13" t="s">
        <v>503</v>
      </c>
      <c r="C13" s="14">
        <v>0.51</v>
      </c>
      <c r="D13" s="14">
        <v>0.52</v>
      </c>
      <c r="E13" s="14">
        <v>0.41</v>
      </c>
      <c r="F13" s="14">
        <v>0.31</v>
      </c>
      <c r="G13" s="14">
        <v>0.79</v>
      </c>
      <c r="H13" s="14">
        <v>0.62</v>
      </c>
      <c r="I13" s="14">
        <v>0.59</v>
      </c>
      <c r="J13" s="14">
        <v>0.5</v>
      </c>
      <c r="K13" s="14">
        <v>0.4</v>
      </c>
      <c r="L13" s="14">
        <v>0.64</v>
      </c>
      <c r="M13" s="14">
        <v>0.56000000000000005</v>
      </c>
      <c r="N13" s="14">
        <v>0.69000000000000006</v>
      </c>
      <c r="O13" s="14">
        <v>0.55000000000000004</v>
      </c>
      <c r="P13" s="14">
        <v>0.43</v>
      </c>
      <c r="Q13" s="14">
        <v>0.42</v>
      </c>
      <c r="R13" s="14">
        <v>0.83000000000000007</v>
      </c>
      <c r="S13" s="14">
        <v>0.63</v>
      </c>
      <c r="T13" s="14">
        <v>0.53</v>
      </c>
      <c r="U13" s="14">
        <v>0.67</v>
      </c>
      <c r="V13" s="14">
        <v>0.37</v>
      </c>
      <c r="W13" s="14">
        <v>0.66</v>
      </c>
      <c r="X13" s="14">
        <v>0.54</v>
      </c>
      <c r="Y13" s="14">
        <v>0.41</v>
      </c>
      <c r="Z13" s="14">
        <v>0.24</v>
      </c>
      <c r="AA13" s="14">
        <v>0.43</v>
      </c>
      <c r="AB13" s="14">
        <v>0.3</v>
      </c>
      <c r="AC13" s="14">
        <v>0.57999999999999996</v>
      </c>
      <c r="AD13" s="14">
        <v>0.46</v>
      </c>
      <c r="AE13" s="14">
        <v>0.55000000000000004</v>
      </c>
      <c r="AF13" s="14">
        <v>0.68</v>
      </c>
    </row>
    <row r="14" spans="1:32" x14ac:dyDescent="0.35">
      <c r="A14" s="31"/>
      <c r="B14" s="11" t="s">
        <v>504</v>
      </c>
      <c r="C14" s="12">
        <v>10260</v>
      </c>
      <c r="D14" s="12">
        <v>407</v>
      </c>
      <c r="E14" s="12">
        <v>419</v>
      </c>
      <c r="F14" s="12">
        <v>547</v>
      </c>
      <c r="G14" s="12">
        <v>183</v>
      </c>
      <c r="H14" s="12">
        <v>387</v>
      </c>
      <c r="I14" s="12">
        <v>494</v>
      </c>
      <c r="J14" s="12">
        <v>107</v>
      </c>
      <c r="K14" s="12">
        <v>471</v>
      </c>
      <c r="L14" s="12">
        <v>294</v>
      </c>
      <c r="M14" s="12">
        <v>365</v>
      </c>
      <c r="N14" s="12">
        <v>245</v>
      </c>
      <c r="O14" s="12">
        <v>363</v>
      </c>
      <c r="P14" s="12">
        <v>475</v>
      </c>
      <c r="Q14" s="12">
        <v>489</v>
      </c>
      <c r="R14" s="12">
        <v>58</v>
      </c>
      <c r="S14" s="12">
        <v>289</v>
      </c>
      <c r="T14" s="12">
        <v>379</v>
      </c>
      <c r="U14" s="12">
        <v>141</v>
      </c>
      <c r="V14" s="12">
        <v>521</v>
      </c>
      <c r="W14" s="12">
        <v>144</v>
      </c>
      <c r="X14" s="12">
        <v>365</v>
      </c>
      <c r="Y14" s="12">
        <v>424</v>
      </c>
      <c r="Z14" s="12">
        <v>627</v>
      </c>
      <c r="AA14" s="12">
        <v>491</v>
      </c>
      <c r="AB14" s="12">
        <v>451</v>
      </c>
      <c r="AC14" s="12">
        <v>346</v>
      </c>
      <c r="AD14" s="12">
        <v>425</v>
      </c>
      <c r="AE14" s="12">
        <v>367</v>
      </c>
      <c r="AF14" s="12">
        <v>269</v>
      </c>
    </row>
    <row r="15" spans="1:32" x14ac:dyDescent="0.35">
      <c r="A15" s="31"/>
      <c r="B15" s="13" t="s">
        <v>505</v>
      </c>
      <c r="C15" s="14">
        <v>0.39</v>
      </c>
      <c r="D15" s="14">
        <v>0.4</v>
      </c>
      <c r="E15" s="14">
        <v>0.4</v>
      </c>
      <c r="F15" s="14">
        <v>0.54</v>
      </c>
      <c r="G15" s="14">
        <v>0.18</v>
      </c>
      <c r="H15" s="14">
        <v>0.31</v>
      </c>
      <c r="I15" s="14">
        <v>0.32</v>
      </c>
      <c r="J15" s="14">
        <v>0.36</v>
      </c>
      <c r="K15" s="14">
        <v>0.47</v>
      </c>
      <c r="L15" s="14">
        <v>0.28999999999999998</v>
      </c>
      <c r="M15" s="14">
        <v>0.36</v>
      </c>
      <c r="N15" s="14">
        <v>0.25</v>
      </c>
      <c r="O15" s="14">
        <v>0.36</v>
      </c>
      <c r="P15" s="14">
        <v>0.47</v>
      </c>
      <c r="Q15" s="14">
        <v>0.47</v>
      </c>
      <c r="R15" s="14">
        <v>0.12</v>
      </c>
      <c r="S15" s="14">
        <v>0.28000000000000003</v>
      </c>
      <c r="T15" s="14">
        <v>0.37</v>
      </c>
      <c r="U15" s="14">
        <v>0.28000000000000003</v>
      </c>
      <c r="V15" s="14">
        <v>0.51</v>
      </c>
      <c r="W15" s="14">
        <v>0.28999999999999998</v>
      </c>
      <c r="X15" s="14">
        <v>0.36</v>
      </c>
      <c r="Y15" s="14">
        <v>0.42</v>
      </c>
      <c r="Z15" s="14">
        <v>0.62</v>
      </c>
      <c r="AA15" s="14">
        <v>0.48</v>
      </c>
      <c r="AB15" s="14">
        <v>0.43</v>
      </c>
      <c r="AC15" s="14">
        <v>0.34</v>
      </c>
      <c r="AD15" s="14">
        <v>0.42</v>
      </c>
      <c r="AE15" s="14">
        <v>0.37</v>
      </c>
      <c r="AF15" s="14">
        <v>0.26</v>
      </c>
    </row>
    <row r="16" spans="1:32" x14ac:dyDescent="0.35">
      <c r="A16" s="31"/>
      <c r="B16" s="11" t="s">
        <v>506</v>
      </c>
      <c r="C16" s="12">
        <v>1789</v>
      </c>
      <c r="D16" s="12">
        <v>58</v>
      </c>
      <c r="E16" s="12">
        <v>121</v>
      </c>
      <c r="F16" s="12">
        <v>119</v>
      </c>
      <c r="G16" s="12">
        <v>9</v>
      </c>
      <c r="H16" s="12">
        <v>54</v>
      </c>
      <c r="I16" s="12">
        <v>82</v>
      </c>
      <c r="J16" s="12">
        <v>28</v>
      </c>
      <c r="K16" s="12">
        <v>81</v>
      </c>
      <c r="L16" s="12">
        <v>35</v>
      </c>
      <c r="M16" s="12">
        <v>46</v>
      </c>
      <c r="N16" s="12">
        <v>32</v>
      </c>
      <c r="O16" s="12">
        <v>50</v>
      </c>
      <c r="P16" s="12">
        <v>79</v>
      </c>
      <c r="Q16" s="12">
        <v>71</v>
      </c>
      <c r="R16" s="12">
        <v>21</v>
      </c>
      <c r="S16" s="12">
        <v>58</v>
      </c>
      <c r="T16" s="12">
        <v>43</v>
      </c>
      <c r="U16" s="12">
        <v>13</v>
      </c>
      <c r="V16" s="12">
        <v>94</v>
      </c>
      <c r="W16" s="12">
        <v>18</v>
      </c>
      <c r="X16" s="12">
        <v>81</v>
      </c>
      <c r="Y16" s="12">
        <v>101</v>
      </c>
      <c r="Z16" s="12">
        <v>113</v>
      </c>
      <c r="AA16" s="12">
        <v>42</v>
      </c>
      <c r="AB16" s="12">
        <v>215</v>
      </c>
      <c r="AC16" s="12">
        <v>66</v>
      </c>
      <c r="AD16" s="12">
        <v>82</v>
      </c>
      <c r="AE16" s="12">
        <v>64</v>
      </c>
      <c r="AF16" s="12">
        <v>34</v>
      </c>
    </row>
    <row r="17" spans="1:32" x14ac:dyDescent="0.35">
      <c r="A17" s="31"/>
      <c r="B17" s="13" t="s">
        <v>507</v>
      </c>
      <c r="C17" s="14">
        <v>7.0000000000000007E-2</v>
      </c>
      <c r="D17" s="14">
        <v>0.06</v>
      </c>
      <c r="E17" s="14">
        <v>0.12</v>
      </c>
      <c r="F17" s="14">
        <v>0.12</v>
      </c>
      <c r="G17" s="14">
        <v>0.01</v>
      </c>
      <c r="H17" s="14">
        <v>0.04</v>
      </c>
      <c r="I17" s="14">
        <v>0.06</v>
      </c>
      <c r="J17" s="14">
        <v>0.09</v>
      </c>
      <c r="K17" s="14">
        <v>0.08</v>
      </c>
      <c r="L17" s="14">
        <v>0.04</v>
      </c>
      <c r="M17" s="14">
        <v>0.05</v>
      </c>
      <c r="N17" s="14">
        <v>0.03</v>
      </c>
      <c r="O17" s="14">
        <v>0.05</v>
      </c>
      <c r="P17" s="14">
        <v>0.08</v>
      </c>
      <c r="Q17" s="14">
        <v>7.0000000000000007E-2</v>
      </c>
      <c r="R17" s="14">
        <v>0.04</v>
      </c>
      <c r="S17" s="14">
        <v>0.06</v>
      </c>
      <c r="T17" s="14">
        <v>0.04</v>
      </c>
      <c r="U17" s="14">
        <v>0.02</v>
      </c>
      <c r="V17" s="14">
        <v>0.09</v>
      </c>
      <c r="W17" s="14">
        <v>0.03</v>
      </c>
      <c r="X17" s="14">
        <v>0.08</v>
      </c>
      <c r="Y17" s="14">
        <v>0.1</v>
      </c>
      <c r="Z17" s="14">
        <v>0.11</v>
      </c>
      <c r="AA17" s="14">
        <v>0.04</v>
      </c>
      <c r="AB17" s="14">
        <v>0.2</v>
      </c>
      <c r="AC17" s="14">
        <v>7.0000000000000007E-2</v>
      </c>
      <c r="AD17" s="14">
        <v>0.08</v>
      </c>
      <c r="AE17" s="14">
        <v>0.06</v>
      </c>
      <c r="AF17" s="14">
        <v>0.03</v>
      </c>
    </row>
    <row r="18" spans="1:32" x14ac:dyDescent="0.35">
      <c r="A18" s="31"/>
      <c r="B18" s="11" t="s">
        <v>508</v>
      </c>
      <c r="C18" s="12">
        <v>477</v>
      </c>
      <c r="D18" s="12">
        <v>18</v>
      </c>
      <c r="E18" s="12">
        <v>23</v>
      </c>
      <c r="F18" s="12">
        <v>22</v>
      </c>
      <c r="G18" s="12">
        <v>4</v>
      </c>
      <c r="H18" s="12">
        <v>22</v>
      </c>
      <c r="I18" s="12">
        <v>33</v>
      </c>
      <c r="J18" s="12">
        <v>11</v>
      </c>
      <c r="K18" s="12">
        <v>29</v>
      </c>
      <c r="L18" s="12">
        <v>10</v>
      </c>
      <c r="M18" s="12">
        <v>16</v>
      </c>
      <c r="N18" s="12">
        <v>14</v>
      </c>
      <c r="O18" s="12">
        <v>17</v>
      </c>
      <c r="P18" s="12">
        <v>10</v>
      </c>
      <c r="Q18" s="12">
        <v>18</v>
      </c>
      <c r="R18" s="12">
        <v>2</v>
      </c>
      <c r="S18" s="12">
        <v>11</v>
      </c>
      <c r="T18" s="12">
        <v>7</v>
      </c>
      <c r="U18" s="12">
        <v>6</v>
      </c>
      <c r="V18" s="12">
        <v>18</v>
      </c>
      <c r="W18" s="12">
        <v>3</v>
      </c>
      <c r="X18" s="12">
        <v>23</v>
      </c>
      <c r="Y18" s="12">
        <v>35</v>
      </c>
      <c r="Z18" s="12">
        <v>9</v>
      </c>
      <c r="AA18" s="12">
        <v>6</v>
      </c>
      <c r="AB18" s="12">
        <v>47</v>
      </c>
      <c r="AC18" s="12">
        <v>13</v>
      </c>
      <c r="AD18" s="12">
        <v>20</v>
      </c>
      <c r="AE18" s="12">
        <v>12</v>
      </c>
      <c r="AF18" s="12">
        <v>15</v>
      </c>
    </row>
    <row r="19" spans="1:32" x14ac:dyDescent="0.35">
      <c r="A19" s="31"/>
      <c r="B19" s="13" t="s">
        <v>509</v>
      </c>
      <c r="C19" s="14">
        <v>0.02</v>
      </c>
      <c r="D19" s="14">
        <v>0.02</v>
      </c>
      <c r="E19" s="14">
        <v>0.02</v>
      </c>
      <c r="F19" s="14">
        <v>0.02</v>
      </c>
      <c r="G19" s="15" t="s">
        <v>333</v>
      </c>
      <c r="H19" s="14">
        <v>0.02</v>
      </c>
      <c r="I19" s="14">
        <v>0.02</v>
      </c>
      <c r="J19" s="14">
        <v>0.04</v>
      </c>
      <c r="K19" s="14">
        <v>0.03</v>
      </c>
      <c r="L19" s="14">
        <v>0.01</v>
      </c>
      <c r="M19" s="14">
        <v>0.02</v>
      </c>
      <c r="N19" s="14">
        <v>0.01</v>
      </c>
      <c r="O19" s="14">
        <v>0.02</v>
      </c>
      <c r="P19" s="14">
        <v>0.01</v>
      </c>
      <c r="Q19" s="14">
        <v>0.02</v>
      </c>
      <c r="R19" s="15" t="s">
        <v>333</v>
      </c>
      <c r="S19" s="14">
        <v>0.01</v>
      </c>
      <c r="T19" s="14">
        <v>0.01</v>
      </c>
      <c r="U19" s="14">
        <v>0.01</v>
      </c>
      <c r="V19" s="14">
        <v>0.02</v>
      </c>
      <c r="W19" s="14">
        <v>0.01</v>
      </c>
      <c r="X19" s="14">
        <v>0.02</v>
      </c>
      <c r="Y19" s="14">
        <v>0.03</v>
      </c>
      <c r="Z19" s="14">
        <v>0.01</v>
      </c>
      <c r="AA19" s="14">
        <v>0.01</v>
      </c>
      <c r="AB19" s="14">
        <v>0.05</v>
      </c>
      <c r="AC19" s="14">
        <v>0.01</v>
      </c>
      <c r="AD19" s="14">
        <v>0.02</v>
      </c>
      <c r="AE19" s="14">
        <v>0.01</v>
      </c>
      <c r="AF19" s="14">
        <v>0.02</v>
      </c>
    </row>
    <row r="20" spans="1:32" x14ac:dyDescent="0.35">
      <c r="A20" s="31"/>
      <c r="B20" s="11" t="s">
        <v>344</v>
      </c>
      <c r="C20" s="12">
        <v>466</v>
      </c>
      <c r="D20" s="12">
        <v>5</v>
      </c>
      <c r="E20" s="12">
        <v>49</v>
      </c>
      <c r="F20" s="12">
        <v>15</v>
      </c>
      <c r="G20" s="12">
        <v>16</v>
      </c>
      <c r="H20" s="12">
        <v>13</v>
      </c>
      <c r="I20" s="12">
        <v>16</v>
      </c>
      <c r="J20" s="12">
        <v>3</v>
      </c>
      <c r="K20" s="12">
        <v>27</v>
      </c>
      <c r="L20" s="12">
        <v>23</v>
      </c>
      <c r="M20" s="12">
        <v>11</v>
      </c>
      <c r="N20" s="12">
        <v>20</v>
      </c>
      <c r="O20" s="12">
        <v>22</v>
      </c>
      <c r="P20" s="12">
        <v>14</v>
      </c>
      <c r="Q20" s="12">
        <v>18</v>
      </c>
      <c r="R20" s="12">
        <v>4</v>
      </c>
      <c r="S20" s="12">
        <v>22</v>
      </c>
      <c r="T20" s="12">
        <v>46</v>
      </c>
      <c r="U20" s="12">
        <v>10</v>
      </c>
      <c r="V20" s="12">
        <v>11</v>
      </c>
      <c r="W20" s="12">
        <v>3</v>
      </c>
      <c r="X20" s="12">
        <v>2</v>
      </c>
      <c r="Y20" s="12">
        <v>36</v>
      </c>
      <c r="Z20" s="12">
        <v>25</v>
      </c>
      <c r="AA20" s="12">
        <v>44</v>
      </c>
      <c r="AB20" s="12">
        <v>23</v>
      </c>
      <c r="AC20" s="12">
        <v>1</v>
      </c>
      <c r="AD20" s="12">
        <v>19</v>
      </c>
      <c r="AE20" s="12">
        <v>12</v>
      </c>
      <c r="AF20" s="12">
        <v>7</v>
      </c>
    </row>
    <row r="21" spans="1:32" x14ac:dyDescent="0.35">
      <c r="A21" s="31"/>
      <c r="B21" s="13" t="s">
        <v>357</v>
      </c>
      <c r="C21" s="14">
        <v>0.01</v>
      </c>
      <c r="D21" s="15" t="s">
        <v>333</v>
      </c>
      <c r="E21" s="14">
        <v>0.05</v>
      </c>
      <c r="F21" s="14">
        <v>0.01</v>
      </c>
      <c r="G21" s="14">
        <v>0.02</v>
      </c>
      <c r="H21" s="14">
        <v>0.01</v>
      </c>
      <c r="I21" s="14">
        <v>0.01</v>
      </c>
      <c r="J21" s="14">
        <v>0.01</v>
      </c>
      <c r="K21" s="14">
        <v>0.02</v>
      </c>
      <c r="L21" s="14">
        <v>0.02</v>
      </c>
      <c r="M21" s="14">
        <v>0.01</v>
      </c>
      <c r="N21" s="14">
        <v>0.02</v>
      </c>
      <c r="O21" s="14">
        <v>0.02</v>
      </c>
      <c r="P21" s="14">
        <v>0.01</v>
      </c>
      <c r="Q21" s="14">
        <v>0.02</v>
      </c>
      <c r="R21" s="14">
        <v>0.01</v>
      </c>
      <c r="S21" s="14">
        <v>0.02</v>
      </c>
      <c r="T21" s="14">
        <v>0.05</v>
      </c>
      <c r="U21" s="14">
        <v>0.02</v>
      </c>
      <c r="V21" s="14">
        <v>0.01</v>
      </c>
      <c r="W21" s="14">
        <v>0.01</v>
      </c>
      <c r="X21" s="15" t="s">
        <v>333</v>
      </c>
      <c r="Y21" s="14">
        <v>0.04</v>
      </c>
      <c r="Z21" s="14">
        <v>0.02</v>
      </c>
      <c r="AA21" s="14">
        <v>0.04</v>
      </c>
      <c r="AB21" s="14">
        <v>0.02</v>
      </c>
      <c r="AC21" s="15" t="s">
        <v>333</v>
      </c>
      <c r="AD21" s="14">
        <v>0.02</v>
      </c>
      <c r="AE21" s="14">
        <v>0.01</v>
      </c>
      <c r="AF21" s="14">
        <v>0.01</v>
      </c>
    </row>
    <row r="22" spans="1:32" x14ac:dyDescent="0.35">
      <c r="A22" s="31"/>
      <c r="B22" s="11" t="s">
        <v>510</v>
      </c>
      <c r="C22" s="12">
        <v>23678</v>
      </c>
      <c r="D22" s="12">
        <v>944</v>
      </c>
      <c r="E22" s="12">
        <v>847</v>
      </c>
      <c r="F22" s="12">
        <v>862</v>
      </c>
      <c r="G22" s="12">
        <v>989</v>
      </c>
      <c r="H22" s="12">
        <v>1144</v>
      </c>
      <c r="I22" s="12">
        <v>1400</v>
      </c>
      <c r="J22" s="12">
        <v>256</v>
      </c>
      <c r="K22" s="12">
        <v>872</v>
      </c>
      <c r="L22" s="12">
        <v>935</v>
      </c>
      <c r="M22" s="12">
        <v>931</v>
      </c>
      <c r="N22" s="12">
        <v>934</v>
      </c>
      <c r="O22" s="12">
        <v>911</v>
      </c>
      <c r="P22" s="12">
        <v>902</v>
      </c>
      <c r="Q22" s="12">
        <v>930</v>
      </c>
      <c r="R22" s="12">
        <v>473</v>
      </c>
      <c r="S22" s="12">
        <v>930</v>
      </c>
      <c r="T22" s="12">
        <v>922</v>
      </c>
      <c r="U22" s="12">
        <v>480</v>
      </c>
      <c r="V22" s="12">
        <v>891</v>
      </c>
      <c r="W22" s="12">
        <v>477</v>
      </c>
      <c r="X22" s="12">
        <v>903</v>
      </c>
      <c r="Y22" s="12">
        <v>831</v>
      </c>
      <c r="Z22" s="12">
        <v>872</v>
      </c>
      <c r="AA22" s="12">
        <v>938</v>
      </c>
      <c r="AB22" s="12">
        <v>770</v>
      </c>
      <c r="AC22" s="12">
        <v>933</v>
      </c>
      <c r="AD22" s="12">
        <v>883</v>
      </c>
      <c r="AE22" s="12">
        <v>919</v>
      </c>
      <c r="AF22" s="12">
        <v>964</v>
      </c>
    </row>
    <row r="23" spans="1:32" x14ac:dyDescent="0.35">
      <c r="A23" s="31"/>
      <c r="B23" s="13" t="s">
        <v>511</v>
      </c>
      <c r="C23" s="14">
        <v>0.9</v>
      </c>
      <c r="D23" s="14">
        <v>0.92</v>
      </c>
      <c r="E23" s="14">
        <v>0.81</v>
      </c>
      <c r="F23" s="14">
        <v>0.85</v>
      </c>
      <c r="G23" s="14">
        <v>0.97</v>
      </c>
      <c r="H23" s="14">
        <v>0.93</v>
      </c>
      <c r="I23" s="14">
        <v>0.91</v>
      </c>
      <c r="J23" s="14">
        <v>0.86</v>
      </c>
      <c r="K23" s="14">
        <v>0.87</v>
      </c>
      <c r="L23" s="14">
        <v>0.93</v>
      </c>
      <c r="M23" s="14">
        <v>0.92</v>
      </c>
      <c r="N23" s="14">
        <v>0.94000000000000006</v>
      </c>
      <c r="O23" s="14">
        <v>0.91</v>
      </c>
      <c r="P23" s="14">
        <v>0.9</v>
      </c>
      <c r="Q23" s="14">
        <v>0.89</v>
      </c>
      <c r="R23" s="14">
        <v>0.95000000000000007</v>
      </c>
      <c r="S23" s="14">
        <v>0.91</v>
      </c>
      <c r="T23" s="14">
        <v>0.9</v>
      </c>
      <c r="U23" s="14">
        <v>0.95000000000000007</v>
      </c>
      <c r="V23" s="14">
        <v>0.88</v>
      </c>
      <c r="W23" s="14">
        <v>0.95000000000000007</v>
      </c>
      <c r="X23" s="14">
        <v>0.9</v>
      </c>
      <c r="Y23" s="14">
        <v>0.83000000000000007</v>
      </c>
      <c r="Z23" s="14">
        <v>0.86</v>
      </c>
      <c r="AA23" s="14">
        <v>0.91</v>
      </c>
      <c r="AB23" s="14">
        <v>0.73</v>
      </c>
      <c r="AC23" s="14">
        <v>0.92</v>
      </c>
      <c r="AD23" s="14">
        <v>0.88</v>
      </c>
      <c r="AE23" s="14">
        <v>0.92</v>
      </c>
      <c r="AF23" s="14">
        <v>0.94000000000000006</v>
      </c>
    </row>
    <row r="24" spans="1:32" x14ac:dyDescent="0.35">
      <c r="A24" s="31"/>
      <c r="B24" s="11" t="s">
        <v>512</v>
      </c>
      <c r="C24" s="12">
        <v>2266</v>
      </c>
      <c r="D24" s="12">
        <v>76</v>
      </c>
      <c r="E24" s="12">
        <v>144</v>
      </c>
      <c r="F24" s="12">
        <v>141</v>
      </c>
      <c r="G24" s="12">
        <v>13</v>
      </c>
      <c r="H24" s="12">
        <v>76</v>
      </c>
      <c r="I24" s="12">
        <v>115</v>
      </c>
      <c r="J24" s="12">
        <v>39</v>
      </c>
      <c r="K24" s="12">
        <v>110</v>
      </c>
      <c r="L24" s="12">
        <v>45</v>
      </c>
      <c r="M24" s="12">
        <v>62</v>
      </c>
      <c r="N24" s="12">
        <v>46</v>
      </c>
      <c r="O24" s="12">
        <v>67</v>
      </c>
      <c r="P24" s="12">
        <v>89</v>
      </c>
      <c r="Q24" s="12">
        <v>89</v>
      </c>
      <c r="R24" s="12">
        <v>23</v>
      </c>
      <c r="S24" s="12">
        <v>69</v>
      </c>
      <c r="T24" s="12">
        <v>50</v>
      </c>
      <c r="U24" s="12">
        <v>19</v>
      </c>
      <c r="V24" s="12">
        <v>112</v>
      </c>
      <c r="W24" s="12">
        <v>21</v>
      </c>
      <c r="X24" s="12">
        <v>104</v>
      </c>
      <c r="Y24" s="12">
        <v>136</v>
      </c>
      <c r="Z24" s="12">
        <v>122</v>
      </c>
      <c r="AA24" s="12">
        <v>48</v>
      </c>
      <c r="AB24" s="12">
        <v>262</v>
      </c>
      <c r="AC24" s="12">
        <v>79</v>
      </c>
      <c r="AD24" s="12">
        <v>102</v>
      </c>
      <c r="AE24" s="12">
        <v>76</v>
      </c>
      <c r="AF24" s="12">
        <v>49</v>
      </c>
    </row>
    <row r="25" spans="1:32" x14ac:dyDescent="0.35">
      <c r="A25" s="31"/>
      <c r="B25" s="13" t="s">
        <v>513</v>
      </c>
      <c r="C25" s="14">
        <v>0.09</v>
      </c>
      <c r="D25" s="14">
        <v>0.08</v>
      </c>
      <c r="E25" s="14">
        <v>0.14000000000000001</v>
      </c>
      <c r="F25" s="14">
        <v>0.14000000000000001</v>
      </c>
      <c r="G25" s="14">
        <v>0.01</v>
      </c>
      <c r="H25" s="14">
        <v>0.06</v>
      </c>
      <c r="I25" s="14">
        <v>0.08</v>
      </c>
      <c r="J25" s="14">
        <v>0.13</v>
      </c>
      <c r="K25" s="14">
        <v>0.11</v>
      </c>
      <c r="L25" s="14">
        <v>0.05</v>
      </c>
      <c r="M25" s="14">
        <v>7.0000000000000007E-2</v>
      </c>
      <c r="N25" s="14">
        <v>0.04</v>
      </c>
      <c r="O25" s="14">
        <v>7.0000000000000007E-2</v>
      </c>
      <c r="P25" s="14">
        <v>0.09</v>
      </c>
      <c r="Q25" s="14">
        <v>0.09</v>
      </c>
      <c r="R25" s="14">
        <v>0.04</v>
      </c>
      <c r="S25" s="14">
        <v>7.0000000000000007E-2</v>
      </c>
      <c r="T25" s="14">
        <v>0.05</v>
      </c>
      <c r="U25" s="14">
        <v>0.03</v>
      </c>
      <c r="V25" s="14">
        <v>0.11</v>
      </c>
      <c r="W25" s="14">
        <v>0.04</v>
      </c>
      <c r="X25" s="14">
        <v>0.1</v>
      </c>
      <c r="Y25" s="14">
        <v>0.13</v>
      </c>
      <c r="Z25" s="14">
        <v>0.12</v>
      </c>
      <c r="AA25" s="14">
        <v>0.05</v>
      </c>
      <c r="AB25" s="14">
        <v>0.25</v>
      </c>
      <c r="AC25" s="14">
        <v>0.08</v>
      </c>
      <c r="AD25" s="14">
        <v>0.1</v>
      </c>
      <c r="AE25" s="14">
        <v>7.0000000000000007E-2</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514</v>
      </c>
      <c r="C3" s="30"/>
      <c r="D3" s="30"/>
      <c r="E3" s="30"/>
      <c r="F3" s="30"/>
      <c r="H3" s="30" t="s">
        <v>515</v>
      </c>
      <c r="I3" s="30"/>
      <c r="J3" s="30"/>
      <c r="K3" s="30"/>
      <c r="L3" s="30"/>
    </row>
    <row r="4" spans="1:32" ht="27" customHeight="1" x14ac:dyDescent="0.35">
      <c r="B4" s="30" t="s">
        <v>516</v>
      </c>
      <c r="C4" s="30"/>
      <c r="D4" s="30"/>
      <c r="E4" s="30"/>
      <c r="F4" s="30"/>
      <c r="H4" s="30" t="s">
        <v>517</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8943</v>
      </c>
      <c r="D12" s="12">
        <v>310</v>
      </c>
      <c r="E12" s="12">
        <v>333</v>
      </c>
      <c r="F12" s="12">
        <v>232</v>
      </c>
      <c r="G12" s="12">
        <v>330</v>
      </c>
      <c r="H12" s="12">
        <v>347</v>
      </c>
      <c r="I12" s="12">
        <v>413</v>
      </c>
      <c r="J12" s="12">
        <v>67</v>
      </c>
      <c r="K12" s="12">
        <v>250</v>
      </c>
      <c r="L12" s="12">
        <v>499</v>
      </c>
      <c r="M12" s="12">
        <v>460</v>
      </c>
      <c r="N12" s="12">
        <v>506</v>
      </c>
      <c r="O12" s="12">
        <v>338</v>
      </c>
      <c r="P12" s="12">
        <v>403</v>
      </c>
      <c r="Q12" s="12">
        <v>387</v>
      </c>
      <c r="R12" s="12">
        <v>287</v>
      </c>
      <c r="S12" s="12">
        <v>417</v>
      </c>
      <c r="T12" s="12">
        <v>443</v>
      </c>
      <c r="U12" s="12">
        <v>213</v>
      </c>
      <c r="V12" s="12">
        <v>407</v>
      </c>
      <c r="W12" s="12">
        <v>310</v>
      </c>
      <c r="X12" s="12">
        <v>271</v>
      </c>
      <c r="Y12" s="12">
        <v>278</v>
      </c>
      <c r="Z12" s="12">
        <v>243</v>
      </c>
      <c r="AA12" s="12">
        <v>386</v>
      </c>
      <c r="AB12" s="12">
        <v>295</v>
      </c>
      <c r="AC12" s="12">
        <v>286</v>
      </c>
      <c r="AD12" s="12">
        <v>298</v>
      </c>
      <c r="AE12" s="12">
        <v>463</v>
      </c>
      <c r="AF12" s="12">
        <v>282</v>
      </c>
    </row>
    <row r="13" spans="1:32" x14ac:dyDescent="0.35">
      <c r="A13" s="31"/>
      <c r="B13" s="13" t="s">
        <v>503</v>
      </c>
      <c r="C13" s="14">
        <v>0.34</v>
      </c>
      <c r="D13" s="14">
        <v>0.3</v>
      </c>
      <c r="E13" s="14">
        <v>0.32</v>
      </c>
      <c r="F13" s="14">
        <v>0.23</v>
      </c>
      <c r="G13" s="14">
        <v>0.32</v>
      </c>
      <c r="H13" s="14">
        <v>0.28000000000000003</v>
      </c>
      <c r="I13" s="14">
        <v>0.27</v>
      </c>
      <c r="J13" s="14">
        <v>0.22</v>
      </c>
      <c r="K13" s="14">
        <v>0.25</v>
      </c>
      <c r="L13" s="14">
        <v>0.5</v>
      </c>
      <c r="M13" s="14">
        <v>0.46</v>
      </c>
      <c r="N13" s="14">
        <v>0.51</v>
      </c>
      <c r="O13" s="14">
        <v>0.34</v>
      </c>
      <c r="P13" s="14">
        <v>0.4</v>
      </c>
      <c r="Q13" s="14">
        <v>0.37</v>
      </c>
      <c r="R13" s="14">
        <v>0.57000000000000006</v>
      </c>
      <c r="S13" s="14">
        <v>0.41</v>
      </c>
      <c r="T13" s="14">
        <v>0.44</v>
      </c>
      <c r="U13" s="14">
        <v>0.42</v>
      </c>
      <c r="V13" s="14">
        <v>0.4</v>
      </c>
      <c r="W13" s="14">
        <v>0.62</v>
      </c>
      <c r="X13" s="14">
        <v>0.27</v>
      </c>
      <c r="Y13" s="14">
        <v>0.28000000000000003</v>
      </c>
      <c r="Z13" s="14">
        <v>0.24</v>
      </c>
      <c r="AA13" s="14">
        <v>0.37</v>
      </c>
      <c r="AB13" s="14">
        <v>0.28000000000000003</v>
      </c>
      <c r="AC13" s="14">
        <v>0.28000000000000003</v>
      </c>
      <c r="AD13" s="14">
        <v>0.3</v>
      </c>
      <c r="AE13" s="14">
        <v>0.46</v>
      </c>
      <c r="AF13" s="14">
        <v>0.28000000000000003</v>
      </c>
    </row>
    <row r="14" spans="1:32" x14ac:dyDescent="0.35">
      <c r="A14" s="31"/>
      <c r="B14" s="11" t="s">
        <v>504</v>
      </c>
      <c r="C14" s="12">
        <v>11305</v>
      </c>
      <c r="D14" s="12">
        <v>494</v>
      </c>
      <c r="E14" s="12">
        <v>386</v>
      </c>
      <c r="F14" s="12">
        <v>426</v>
      </c>
      <c r="G14" s="12">
        <v>439</v>
      </c>
      <c r="H14" s="12">
        <v>555</v>
      </c>
      <c r="I14" s="12">
        <v>664</v>
      </c>
      <c r="J14" s="12">
        <v>109</v>
      </c>
      <c r="K14" s="12">
        <v>441</v>
      </c>
      <c r="L14" s="12">
        <v>347</v>
      </c>
      <c r="M14" s="12">
        <v>348</v>
      </c>
      <c r="N14" s="12">
        <v>316</v>
      </c>
      <c r="O14" s="12">
        <v>400</v>
      </c>
      <c r="P14" s="12">
        <v>467</v>
      </c>
      <c r="Q14" s="12">
        <v>499</v>
      </c>
      <c r="R14" s="12">
        <v>141</v>
      </c>
      <c r="S14" s="12">
        <v>368</v>
      </c>
      <c r="T14" s="12">
        <v>407</v>
      </c>
      <c r="U14" s="12">
        <v>185</v>
      </c>
      <c r="V14" s="12">
        <v>426</v>
      </c>
      <c r="W14" s="12">
        <v>153</v>
      </c>
      <c r="X14" s="12">
        <v>464</v>
      </c>
      <c r="Y14" s="12">
        <v>376</v>
      </c>
      <c r="Z14" s="12">
        <v>567</v>
      </c>
      <c r="AA14" s="12">
        <v>502</v>
      </c>
      <c r="AB14" s="12">
        <v>419</v>
      </c>
      <c r="AC14" s="12">
        <v>386</v>
      </c>
      <c r="AD14" s="12">
        <v>414</v>
      </c>
      <c r="AE14" s="12">
        <v>438</v>
      </c>
      <c r="AF14" s="12">
        <v>483</v>
      </c>
    </row>
    <row r="15" spans="1:32" x14ac:dyDescent="0.35">
      <c r="A15" s="31"/>
      <c r="B15" s="13" t="s">
        <v>505</v>
      </c>
      <c r="C15" s="14">
        <v>0.43</v>
      </c>
      <c r="D15" s="14">
        <v>0.48</v>
      </c>
      <c r="E15" s="14">
        <v>0.37</v>
      </c>
      <c r="F15" s="14">
        <v>0.42</v>
      </c>
      <c r="G15" s="14">
        <v>0.43</v>
      </c>
      <c r="H15" s="14">
        <v>0.45</v>
      </c>
      <c r="I15" s="14">
        <v>0.43</v>
      </c>
      <c r="J15" s="14">
        <v>0.37</v>
      </c>
      <c r="K15" s="14">
        <v>0.44</v>
      </c>
      <c r="L15" s="14">
        <v>0.35</v>
      </c>
      <c r="M15" s="14">
        <v>0.35</v>
      </c>
      <c r="N15" s="14">
        <v>0.31</v>
      </c>
      <c r="O15" s="14">
        <v>0.4</v>
      </c>
      <c r="P15" s="14">
        <v>0.47</v>
      </c>
      <c r="Q15" s="14">
        <v>0.48</v>
      </c>
      <c r="R15" s="14">
        <v>0.28000000000000003</v>
      </c>
      <c r="S15" s="14">
        <v>0.36</v>
      </c>
      <c r="T15" s="14">
        <v>0.4</v>
      </c>
      <c r="U15" s="14">
        <v>0.36</v>
      </c>
      <c r="V15" s="14">
        <v>0.42</v>
      </c>
      <c r="W15" s="14">
        <v>0.31</v>
      </c>
      <c r="X15" s="14">
        <v>0.46</v>
      </c>
      <c r="Y15" s="14">
        <v>0.37</v>
      </c>
      <c r="Z15" s="14">
        <v>0.56000000000000005</v>
      </c>
      <c r="AA15" s="14">
        <v>0.49</v>
      </c>
      <c r="AB15" s="14">
        <v>0.4</v>
      </c>
      <c r="AC15" s="14">
        <v>0.38</v>
      </c>
      <c r="AD15" s="14">
        <v>0.41</v>
      </c>
      <c r="AE15" s="14">
        <v>0.44</v>
      </c>
      <c r="AF15" s="14">
        <v>0.47</v>
      </c>
    </row>
    <row r="16" spans="1:32" x14ac:dyDescent="0.35">
      <c r="A16" s="31"/>
      <c r="B16" s="11" t="s">
        <v>506</v>
      </c>
      <c r="C16" s="12">
        <v>3432</v>
      </c>
      <c r="D16" s="12">
        <v>158</v>
      </c>
      <c r="E16" s="12">
        <v>156</v>
      </c>
      <c r="F16" s="12">
        <v>221</v>
      </c>
      <c r="G16" s="12">
        <v>102</v>
      </c>
      <c r="H16" s="12">
        <v>183</v>
      </c>
      <c r="I16" s="12">
        <v>248</v>
      </c>
      <c r="J16" s="12">
        <v>66</v>
      </c>
      <c r="K16" s="12">
        <v>178</v>
      </c>
      <c r="L16" s="12">
        <v>70</v>
      </c>
      <c r="M16" s="12">
        <v>119</v>
      </c>
      <c r="N16" s="12">
        <v>89</v>
      </c>
      <c r="O16" s="12">
        <v>131</v>
      </c>
      <c r="P16" s="12">
        <v>97</v>
      </c>
      <c r="Q16" s="12">
        <v>83</v>
      </c>
      <c r="R16" s="12">
        <v>43</v>
      </c>
      <c r="S16" s="12">
        <v>136</v>
      </c>
      <c r="T16" s="12">
        <v>83</v>
      </c>
      <c r="U16" s="12">
        <v>46</v>
      </c>
      <c r="V16" s="12">
        <v>129</v>
      </c>
      <c r="W16" s="12">
        <v>19</v>
      </c>
      <c r="X16" s="12">
        <v>189</v>
      </c>
      <c r="Y16" s="12">
        <v>174</v>
      </c>
      <c r="Z16" s="12">
        <v>125</v>
      </c>
      <c r="AA16" s="12">
        <v>62</v>
      </c>
      <c r="AB16" s="12">
        <v>204</v>
      </c>
      <c r="AC16" s="12">
        <v>233</v>
      </c>
      <c r="AD16" s="12">
        <v>136</v>
      </c>
      <c r="AE16" s="12">
        <v>66</v>
      </c>
      <c r="AF16" s="12">
        <v>172</v>
      </c>
    </row>
    <row r="17" spans="1:32" x14ac:dyDescent="0.35">
      <c r="A17" s="31"/>
      <c r="B17" s="13" t="s">
        <v>507</v>
      </c>
      <c r="C17" s="14">
        <v>0.13</v>
      </c>
      <c r="D17" s="14">
        <v>0.16</v>
      </c>
      <c r="E17" s="14">
        <v>0.15</v>
      </c>
      <c r="F17" s="14">
        <v>0.22</v>
      </c>
      <c r="G17" s="14">
        <v>0.1</v>
      </c>
      <c r="H17" s="14">
        <v>0.15</v>
      </c>
      <c r="I17" s="14">
        <v>0.16</v>
      </c>
      <c r="J17" s="14">
        <v>0.22</v>
      </c>
      <c r="K17" s="14">
        <v>0.17</v>
      </c>
      <c r="L17" s="14">
        <v>7.0000000000000007E-2</v>
      </c>
      <c r="M17" s="14">
        <v>0.12</v>
      </c>
      <c r="N17" s="14">
        <v>0.09</v>
      </c>
      <c r="O17" s="14">
        <v>0.13</v>
      </c>
      <c r="P17" s="14">
        <v>0.1</v>
      </c>
      <c r="Q17" s="14">
        <v>0.08</v>
      </c>
      <c r="R17" s="14">
        <v>0.09</v>
      </c>
      <c r="S17" s="14">
        <v>0.13</v>
      </c>
      <c r="T17" s="14">
        <v>0.08</v>
      </c>
      <c r="U17" s="14">
        <v>0.09</v>
      </c>
      <c r="V17" s="14">
        <v>0.13</v>
      </c>
      <c r="W17" s="14">
        <v>0.04</v>
      </c>
      <c r="X17" s="14">
        <v>0.19</v>
      </c>
      <c r="Y17" s="14">
        <v>0.17</v>
      </c>
      <c r="Z17" s="14">
        <v>0.12</v>
      </c>
      <c r="AA17" s="14">
        <v>0.06</v>
      </c>
      <c r="AB17" s="14">
        <v>0.19</v>
      </c>
      <c r="AC17" s="14">
        <v>0.23</v>
      </c>
      <c r="AD17" s="14">
        <v>0.13</v>
      </c>
      <c r="AE17" s="14">
        <v>7.0000000000000007E-2</v>
      </c>
      <c r="AF17" s="14">
        <v>0.17</v>
      </c>
    </row>
    <row r="18" spans="1:32" x14ac:dyDescent="0.35">
      <c r="A18" s="31"/>
      <c r="B18" s="11" t="s">
        <v>508</v>
      </c>
      <c r="C18" s="12">
        <v>1410</v>
      </c>
      <c r="D18" s="12">
        <v>28</v>
      </c>
      <c r="E18" s="12">
        <v>59</v>
      </c>
      <c r="F18" s="12">
        <v>86</v>
      </c>
      <c r="G18" s="12">
        <v>56</v>
      </c>
      <c r="H18" s="12">
        <v>94</v>
      </c>
      <c r="I18" s="12">
        <v>136</v>
      </c>
      <c r="J18" s="12">
        <v>42</v>
      </c>
      <c r="K18" s="12">
        <v>71</v>
      </c>
      <c r="L18" s="12">
        <v>26</v>
      </c>
      <c r="M18" s="12">
        <v>46</v>
      </c>
      <c r="N18" s="12">
        <v>31</v>
      </c>
      <c r="O18" s="12">
        <v>57</v>
      </c>
      <c r="P18" s="12">
        <v>14</v>
      </c>
      <c r="Q18" s="12">
        <v>28</v>
      </c>
      <c r="R18" s="12">
        <v>15</v>
      </c>
      <c r="S18" s="12">
        <v>45</v>
      </c>
      <c r="T18" s="12">
        <v>13</v>
      </c>
      <c r="U18" s="12">
        <v>46</v>
      </c>
      <c r="V18" s="12">
        <v>26</v>
      </c>
      <c r="W18" s="12">
        <v>7</v>
      </c>
      <c r="X18" s="12">
        <v>51</v>
      </c>
      <c r="Y18" s="12">
        <v>127</v>
      </c>
      <c r="Z18" s="12">
        <v>34</v>
      </c>
      <c r="AA18" s="12">
        <v>16</v>
      </c>
      <c r="AB18" s="12">
        <v>88</v>
      </c>
      <c r="AC18" s="12">
        <v>80</v>
      </c>
      <c r="AD18" s="12">
        <v>95</v>
      </c>
      <c r="AE18" s="12">
        <v>15</v>
      </c>
      <c r="AF18" s="12">
        <v>52</v>
      </c>
    </row>
    <row r="19" spans="1:32" x14ac:dyDescent="0.35">
      <c r="A19" s="31"/>
      <c r="B19" s="13" t="s">
        <v>509</v>
      </c>
      <c r="C19" s="14">
        <v>0.05</v>
      </c>
      <c r="D19" s="14">
        <v>0.03</v>
      </c>
      <c r="E19" s="14">
        <v>0.06</v>
      </c>
      <c r="F19" s="14">
        <v>0.08</v>
      </c>
      <c r="G19" s="14">
        <v>0.06</v>
      </c>
      <c r="H19" s="14">
        <v>0.08</v>
      </c>
      <c r="I19" s="14">
        <v>0.09</v>
      </c>
      <c r="J19" s="14">
        <v>0.14000000000000001</v>
      </c>
      <c r="K19" s="14">
        <v>7.0000000000000007E-2</v>
      </c>
      <c r="L19" s="14">
        <v>0.02</v>
      </c>
      <c r="M19" s="14">
        <v>0.04</v>
      </c>
      <c r="N19" s="14">
        <v>0.03</v>
      </c>
      <c r="O19" s="14">
        <v>0.06</v>
      </c>
      <c r="P19" s="14">
        <v>0.01</v>
      </c>
      <c r="Q19" s="14">
        <v>0.03</v>
      </c>
      <c r="R19" s="14">
        <v>0.03</v>
      </c>
      <c r="S19" s="14">
        <v>0.05</v>
      </c>
      <c r="T19" s="14">
        <v>0.01</v>
      </c>
      <c r="U19" s="14">
        <v>0.09</v>
      </c>
      <c r="V19" s="14">
        <v>0.03</v>
      </c>
      <c r="W19" s="14">
        <v>0.01</v>
      </c>
      <c r="X19" s="14">
        <v>0.05</v>
      </c>
      <c r="Y19" s="14">
        <v>0.13</v>
      </c>
      <c r="Z19" s="14">
        <v>0.03</v>
      </c>
      <c r="AA19" s="14">
        <v>0.02</v>
      </c>
      <c r="AB19" s="14">
        <v>0.08</v>
      </c>
      <c r="AC19" s="14">
        <v>0.08</v>
      </c>
      <c r="AD19" s="14">
        <v>0.1</v>
      </c>
      <c r="AE19" s="14">
        <v>0.01</v>
      </c>
      <c r="AF19" s="14">
        <v>0.05</v>
      </c>
    </row>
    <row r="20" spans="1:32" x14ac:dyDescent="0.35">
      <c r="A20" s="31"/>
      <c r="B20" s="11" t="s">
        <v>344</v>
      </c>
      <c r="C20" s="12">
        <v>1320</v>
      </c>
      <c r="D20" s="12">
        <v>34</v>
      </c>
      <c r="E20" s="12">
        <v>105</v>
      </c>
      <c r="F20" s="12">
        <v>54</v>
      </c>
      <c r="G20" s="12">
        <v>89</v>
      </c>
      <c r="H20" s="12">
        <v>54</v>
      </c>
      <c r="I20" s="12">
        <v>69</v>
      </c>
      <c r="J20" s="12">
        <v>15</v>
      </c>
      <c r="K20" s="12">
        <v>69</v>
      </c>
      <c r="L20" s="12">
        <v>62</v>
      </c>
      <c r="M20" s="12">
        <v>31</v>
      </c>
      <c r="N20" s="12">
        <v>58</v>
      </c>
      <c r="O20" s="12">
        <v>73</v>
      </c>
      <c r="P20" s="12">
        <v>23</v>
      </c>
      <c r="Q20" s="12">
        <v>38</v>
      </c>
      <c r="R20" s="12">
        <v>15</v>
      </c>
      <c r="S20" s="12">
        <v>54</v>
      </c>
      <c r="T20" s="12">
        <v>71</v>
      </c>
      <c r="U20" s="12">
        <v>20</v>
      </c>
      <c r="V20" s="12">
        <v>26</v>
      </c>
      <c r="W20" s="12">
        <v>12</v>
      </c>
      <c r="X20" s="12">
        <v>34</v>
      </c>
      <c r="Y20" s="12">
        <v>48</v>
      </c>
      <c r="Z20" s="12">
        <v>49</v>
      </c>
      <c r="AA20" s="12">
        <v>63</v>
      </c>
      <c r="AB20" s="12">
        <v>51</v>
      </c>
      <c r="AC20" s="12">
        <v>29</v>
      </c>
      <c r="AD20" s="12">
        <v>62</v>
      </c>
      <c r="AE20" s="12">
        <v>24</v>
      </c>
      <c r="AF20" s="12">
        <v>31</v>
      </c>
    </row>
    <row r="21" spans="1:32" x14ac:dyDescent="0.35">
      <c r="A21" s="31"/>
      <c r="B21" s="13" t="s">
        <v>357</v>
      </c>
      <c r="C21" s="14">
        <v>0.05</v>
      </c>
      <c r="D21" s="14">
        <v>0.03</v>
      </c>
      <c r="E21" s="14">
        <v>0.1</v>
      </c>
      <c r="F21" s="14">
        <v>0.05</v>
      </c>
      <c r="G21" s="14">
        <v>0.09</v>
      </c>
      <c r="H21" s="14">
        <v>0.04</v>
      </c>
      <c r="I21" s="14">
        <v>0.05</v>
      </c>
      <c r="J21" s="14">
        <v>0.05</v>
      </c>
      <c r="K21" s="14">
        <v>7.0000000000000007E-2</v>
      </c>
      <c r="L21" s="14">
        <v>0.06</v>
      </c>
      <c r="M21" s="14">
        <v>0.03</v>
      </c>
      <c r="N21" s="14">
        <v>0.06</v>
      </c>
      <c r="O21" s="14">
        <v>7.0000000000000007E-2</v>
      </c>
      <c r="P21" s="14">
        <v>0.02</v>
      </c>
      <c r="Q21" s="14">
        <v>0.04</v>
      </c>
      <c r="R21" s="14">
        <v>0.03</v>
      </c>
      <c r="S21" s="14">
        <v>0.05</v>
      </c>
      <c r="T21" s="14">
        <v>7.0000000000000007E-2</v>
      </c>
      <c r="U21" s="14">
        <v>0.04</v>
      </c>
      <c r="V21" s="14">
        <v>0.02</v>
      </c>
      <c r="W21" s="14">
        <v>0.02</v>
      </c>
      <c r="X21" s="14">
        <v>0.03</v>
      </c>
      <c r="Y21" s="14">
        <v>0.05</v>
      </c>
      <c r="Z21" s="14">
        <v>0.05</v>
      </c>
      <c r="AA21" s="14">
        <v>0.06</v>
      </c>
      <c r="AB21" s="14">
        <v>0.05</v>
      </c>
      <c r="AC21" s="14">
        <v>0.03</v>
      </c>
      <c r="AD21" s="14">
        <v>0.06</v>
      </c>
      <c r="AE21" s="14">
        <v>0.02</v>
      </c>
      <c r="AF21" s="14">
        <v>0.03</v>
      </c>
    </row>
    <row r="22" spans="1:32" x14ac:dyDescent="0.35">
      <c r="A22" s="31"/>
      <c r="B22" s="11" t="s">
        <v>510</v>
      </c>
      <c r="C22" s="12">
        <v>20248</v>
      </c>
      <c r="D22" s="12">
        <v>804</v>
      </c>
      <c r="E22" s="12">
        <v>719</v>
      </c>
      <c r="F22" s="12">
        <v>658</v>
      </c>
      <c r="G22" s="12">
        <v>769</v>
      </c>
      <c r="H22" s="12">
        <v>902</v>
      </c>
      <c r="I22" s="12">
        <v>1077</v>
      </c>
      <c r="J22" s="12">
        <v>176</v>
      </c>
      <c r="K22" s="12">
        <v>691</v>
      </c>
      <c r="L22" s="12">
        <v>846</v>
      </c>
      <c r="M22" s="12">
        <v>808</v>
      </c>
      <c r="N22" s="12">
        <v>822</v>
      </c>
      <c r="O22" s="12">
        <v>738</v>
      </c>
      <c r="P22" s="12">
        <v>870</v>
      </c>
      <c r="Q22" s="12">
        <v>886</v>
      </c>
      <c r="R22" s="12">
        <v>428</v>
      </c>
      <c r="S22" s="12">
        <v>785</v>
      </c>
      <c r="T22" s="12">
        <v>850</v>
      </c>
      <c r="U22" s="12">
        <v>398</v>
      </c>
      <c r="V22" s="12">
        <v>833</v>
      </c>
      <c r="W22" s="12">
        <v>463</v>
      </c>
      <c r="X22" s="12">
        <v>735</v>
      </c>
      <c r="Y22" s="12">
        <v>654</v>
      </c>
      <c r="Z22" s="12">
        <v>810</v>
      </c>
      <c r="AA22" s="12">
        <v>888</v>
      </c>
      <c r="AB22" s="12">
        <v>714</v>
      </c>
      <c r="AC22" s="12">
        <v>672</v>
      </c>
      <c r="AD22" s="12">
        <v>712</v>
      </c>
      <c r="AE22" s="12">
        <v>901</v>
      </c>
      <c r="AF22" s="12">
        <v>765</v>
      </c>
    </row>
    <row r="23" spans="1:32" x14ac:dyDescent="0.35">
      <c r="A23" s="31"/>
      <c r="B23" s="13" t="s">
        <v>511</v>
      </c>
      <c r="C23" s="14">
        <v>0.77</v>
      </c>
      <c r="D23" s="14">
        <v>0.78</v>
      </c>
      <c r="E23" s="14">
        <v>0.69000000000000006</v>
      </c>
      <c r="F23" s="14">
        <v>0.65</v>
      </c>
      <c r="G23" s="14">
        <v>0.75</v>
      </c>
      <c r="H23" s="14">
        <v>0.73</v>
      </c>
      <c r="I23" s="14">
        <v>0.70000000000000007</v>
      </c>
      <c r="J23" s="14">
        <v>0.59</v>
      </c>
      <c r="K23" s="14">
        <v>0.69000000000000006</v>
      </c>
      <c r="L23" s="14">
        <v>0.85</v>
      </c>
      <c r="M23" s="14">
        <v>0.81</v>
      </c>
      <c r="N23" s="14">
        <v>0.82000000000000006</v>
      </c>
      <c r="O23" s="14">
        <v>0.74</v>
      </c>
      <c r="P23" s="14">
        <v>0.87</v>
      </c>
      <c r="Q23" s="14">
        <v>0.85</v>
      </c>
      <c r="R23" s="14">
        <v>0.85</v>
      </c>
      <c r="S23" s="14">
        <v>0.77</v>
      </c>
      <c r="T23" s="14">
        <v>0.84</v>
      </c>
      <c r="U23" s="14">
        <v>0.78</v>
      </c>
      <c r="V23" s="14">
        <v>0.82000000000000006</v>
      </c>
      <c r="W23" s="14">
        <v>0.93</v>
      </c>
      <c r="X23" s="14">
        <v>0.73</v>
      </c>
      <c r="Y23" s="14">
        <v>0.65</v>
      </c>
      <c r="Z23" s="14">
        <v>0.8</v>
      </c>
      <c r="AA23" s="14">
        <v>0.86</v>
      </c>
      <c r="AB23" s="14">
        <v>0.68</v>
      </c>
      <c r="AC23" s="14">
        <v>0.66</v>
      </c>
      <c r="AD23" s="14">
        <v>0.71</v>
      </c>
      <c r="AE23" s="14">
        <v>0.9</v>
      </c>
      <c r="AF23" s="14">
        <v>0.75</v>
      </c>
    </row>
    <row r="24" spans="1:32" x14ac:dyDescent="0.35">
      <c r="A24" s="31"/>
      <c r="B24" s="11" t="s">
        <v>512</v>
      </c>
      <c r="C24" s="12">
        <v>4842</v>
      </c>
      <c r="D24" s="12">
        <v>186</v>
      </c>
      <c r="E24" s="12">
        <v>215</v>
      </c>
      <c r="F24" s="12">
        <v>307</v>
      </c>
      <c r="G24" s="12">
        <v>158</v>
      </c>
      <c r="H24" s="12">
        <v>277</v>
      </c>
      <c r="I24" s="12">
        <v>384</v>
      </c>
      <c r="J24" s="12">
        <v>108</v>
      </c>
      <c r="K24" s="12">
        <v>249</v>
      </c>
      <c r="L24" s="12">
        <v>96</v>
      </c>
      <c r="M24" s="12">
        <v>165</v>
      </c>
      <c r="N24" s="12">
        <v>120</v>
      </c>
      <c r="O24" s="12">
        <v>188</v>
      </c>
      <c r="P24" s="12">
        <v>111</v>
      </c>
      <c r="Q24" s="12">
        <v>111</v>
      </c>
      <c r="R24" s="12">
        <v>58</v>
      </c>
      <c r="S24" s="12">
        <v>181</v>
      </c>
      <c r="T24" s="12">
        <v>96</v>
      </c>
      <c r="U24" s="12">
        <v>92</v>
      </c>
      <c r="V24" s="12">
        <v>155</v>
      </c>
      <c r="W24" s="12">
        <v>26</v>
      </c>
      <c r="X24" s="12">
        <v>240</v>
      </c>
      <c r="Y24" s="12">
        <v>301</v>
      </c>
      <c r="Z24" s="12">
        <v>159</v>
      </c>
      <c r="AA24" s="12">
        <v>78</v>
      </c>
      <c r="AB24" s="12">
        <v>292</v>
      </c>
      <c r="AC24" s="12">
        <v>313</v>
      </c>
      <c r="AD24" s="12">
        <v>231</v>
      </c>
      <c r="AE24" s="12">
        <v>81</v>
      </c>
      <c r="AF24" s="12">
        <v>224</v>
      </c>
    </row>
    <row r="25" spans="1:32" x14ac:dyDescent="0.35">
      <c r="A25" s="31"/>
      <c r="B25" s="13" t="s">
        <v>513</v>
      </c>
      <c r="C25" s="14">
        <v>0.18</v>
      </c>
      <c r="D25" s="14">
        <v>0.19</v>
      </c>
      <c r="E25" s="14">
        <v>0.21</v>
      </c>
      <c r="F25" s="14">
        <v>0.3</v>
      </c>
      <c r="G25" s="14">
        <v>0.16</v>
      </c>
      <c r="H25" s="14">
        <v>0.23</v>
      </c>
      <c r="I25" s="14">
        <v>0.25</v>
      </c>
      <c r="J25" s="14">
        <v>0.36</v>
      </c>
      <c r="K25" s="14">
        <v>0.24</v>
      </c>
      <c r="L25" s="14">
        <v>0.09</v>
      </c>
      <c r="M25" s="14">
        <v>0.16</v>
      </c>
      <c r="N25" s="14">
        <v>0.12</v>
      </c>
      <c r="O25" s="14">
        <v>0.19</v>
      </c>
      <c r="P25" s="14">
        <v>0.11</v>
      </c>
      <c r="Q25" s="14">
        <v>0.11</v>
      </c>
      <c r="R25" s="14">
        <v>0.12</v>
      </c>
      <c r="S25" s="14">
        <v>0.18</v>
      </c>
      <c r="T25" s="14">
        <v>0.09</v>
      </c>
      <c r="U25" s="14">
        <v>0.18</v>
      </c>
      <c r="V25" s="14">
        <v>0.16</v>
      </c>
      <c r="W25" s="14">
        <v>0.05</v>
      </c>
      <c r="X25" s="14">
        <v>0.24</v>
      </c>
      <c r="Y25" s="14">
        <v>0.3</v>
      </c>
      <c r="Z25" s="14">
        <v>0.15</v>
      </c>
      <c r="AA25" s="14">
        <v>0.08</v>
      </c>
      <c r="AB25" s="14">
        <v>0.27</v>
      </c>
      <c r="AC25" s="14">
        <v>0.31</v>
      </c>
      <c r="AD25" s="14">
        <v>0.23</v>
      </c>
      <c r="AE25" s="14">
        <v>0.08</v>
      </c>
      <c r="AF25" s="14">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4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49</v>
      </c>
      <c r="C3" s="30"/>
      <c r="D3" s="30"/>
      <c r="E3" s="30"/>
      <c r="F3" s="30"/>
      <c r="H3" s="30" t="s">
        <v>50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518</v>
      </c>
      <c r="C12" s="12">
        <v>2545</v>
      </c>
      <c r="D12" s="12">
        <v>157</v>
      </c>
      <c r="E12" s="12">
        <v>92</v>
      </c>
      <c r="F12" s="12">
        <v>165</v>
      </c>
      <c r="G12" s="12">
        <v>139</v>
      </c>
      <c r="H12" s="12">
        <v>93</v>
      </c>
      <c r="I12" s="12">
        <v>117</v>
      </c>
      <c r="J12" s="12">
        <v>23</v>
      </c>
      <c r="K12" s="12">
        <v>104</v>
      </c>
      <c r="L12" s="12">
        <v>86</v>
      </c>
      <c r="M12" s="12">
        <v>71</v>
      </c>
      <c r="N12" s="12">
        <v>61</v>
      </c>
      <c r="O12" s="12">
        <v>96</v>
      </c>
      <c r="P12" s="12">
        <v>85</v>
      </c>
      <c r="Q12" s="12">
        <v>145</v>
      </c>
      <c r="R12" s="12">
        <v>22</v>
      </c>
      <c r="S12" s="12">
        <v>95</v>
      </c>
      <c r="T12" s="12">
        <v>92</v>
      </c>
      <c r="U12" s="12">
        <v>50</v>
      </c>
      <c r="V12" s="12">
        <v>117</v>
      </c>
      <c r="W12" s="12">
        <v>36</v>
      </c>
      <c r="X12" s="12">
        <v>89</v>
      </c>
      <c r="Y12" s="12">
        <v>79</v>
      </c>
      <c r="Z12" s="12">
        <v>87</v>
      </c>
      <c r="AA12" s="12">
        <v>87</v>
      </c>
      <c r="AB12" s="12">
        <v>100</v>
      </c>
      <c r="AC12" s="12">
        <v>110</v>
      </c>
      <c r="AD12" s="12">
        <v>128</v>
      </c>
      <c r="AE12" s="12">
        <v>101</v>
      </c>
      <c r="AF12" s="12">
        <v>119</v>
      </c>
    </row>
    <row r="13" spans="1:32" ht="21.5" x14ac:dyDescent="0.35">
      <c r="A13" s="31"/>
      <c r="B13" s="13" t="s">
        <v>519</v>
      </c>
      <c r="C13" s="14">
        <v>0.1</v>
      </c>
      <c r="D13" s="14">
        <v>0.15</v>
      </c>
      <c r="E13" s="14">
        <v>0.09</v>
      </c>
      <c r="F13" s="14">
        <v>0.16</v>
      </c>
      <c r="G13" s="14">
        <v>0.14000000000000001</v>
      </c>
      <c r="H13" s="14">
        <v>0.08</v>
      </c>
      <c r="I13" s="14">
        <v>0.08</v>
      </c>
      <c r="J13" s="14">
        <v>0.08</v>
      </c>
      <c r="K13" s="14">
        <v>0.1</v>
      </c>
      <c r="L13" s="14">
        <v>0.09</v>
      </c>
      <c r="M13" s="14">
        <v>7.0000000000000007E-2</v>
      </c>
      <c r="N13" s="14">
        <v>0.06</v>
      </c>
      <c r="O13" s="14">
        <v>0.1</v>
      </c>
      <c r="P13" s="14">
        <v>0.08</v>
      </c>
      <c r="Q13" s="14">
        <v>0.14000000000000001</v>
      </c>
      <c r="R13" s="14">
        <v>0.04</v>
      </c>
      <c r="S13" s="14">
        <v>0.09</v>
      </c>
      <c r="T13" s="14">
        <v>0.09</v>
      </c>
      <c r="U13" s="14">
        <v>0.1</v>
      </c>
      <c r="V13" s="14">
        <v>0.12</v>
      </c>
      <c r="W13" s="14">
        <v>7.0000000000000007E-2</v>
      </c>
      <c r="X13" s="14">
        <v>0.09</v>
      </c>
      <c r="Y13" s="14">
        <v>0.08</v>
      </c>
      <c r="Z13" s="14">
        <v>0.08</v>
      </c>
      <c r="AA13" s="14">
        <v>0.08</v>
      </c>
      <c r="AB13" s="14">
        <v>0.09</v>
      </c>
      <c r="AC13" s="14">
        <v>0.11</v>
      </c>
      <c r="AD13" s="14">
        <v>0.13</v>
      </c>
      <c r="AE13" s="14">
        <v>0.1</v>
      </c>
      <c r="AF13" s="14">
        <v>0.12</v>
      </c>
    </row>
    <row r="14" spans="1:32" x14ac:dyDescent="0.35">
      <c r="A14" s="31"/>
      <c r="B14" s="11" t="s">
        <v>520</v>
      </c>
      <c r="C14" s="12">
        <v>4476</v>
      </c>
      <c r="D14" s="12">
        <v>173</v>
      </c>
      <c r="E14" s="12">
        <v>82</v>
      </c>
      <c r="F14" s="12">
        <v>164</v>
      </c>
      <c r="G14" s="12">
        <v>295</v>
      </c>
      <c r="H14" s="12">
        <v>293</v>
      </c>
      <c r="I14" s="12">
        <v>335</v>
      </c>
      <c r="J14" s="12">
        <v>43</v>
      </c>
      <c r="K14" s="12">
        <v>122</v>
      </c>
      <c r="L14" s="12">
        <v>121</v>
      </c>
      <c r="M14" s="12">
        <v>135</v>
      </c>
      <c r="N14" s="12">
        <v>125</v>
      </c>
      <c r="O14" s="12">
        <v>164</v>
      </c>
      <c r="P14" s="12">
        <v>120</v>
      </c>
      <c r="Q14" s="12">
        <v>131</v>
      </c>
      <c r="R14" s="12">
        <v>108</v>
      </c>
      <c r="S14" s="12">
        <v>222</v>
      </c>
      <c r="T14" s="12">
        <v>311</v>
      </c>
      <c r="U14" s="12">
        <v>97</v>
      </c>
      <c r="V14" s="12">
        <v>108</v>
      </c>
      <c r="W14" s="12">
        <v>88</v>
      </c>
      <c r="X14" s="12">
        <v>250</v>
      </c>
      <c r="Y14" s="12">
        <v>134</v>
      </c>
      <c r="Z14" s="12">
        <v>246</v>
      </c>
      <c r="AA14" s="12">
        <v>137</v>
      </c>
      <c r="AB14" s="12">
        <v>132</v>
      </c>
      <c r="AC14" s="12">
        <v>95</v>
      </c>
      <c r="AD14" s="12">
        <v>80</v>
      </c>
      <c r="AE14" s="12">
        <v>226</v>
      </c>
      <c r="AF14" s="12">
        <v>153</v>
      </c>
    </row>
    <row r="15" spans="1:32" x14ac:dyDescent="0.35">
      <c r="A15" s="31"/>
      <c r="B15" s="13" t="s">
        <v>521</v>
      </c>
      <c r="C15" s="14">
        <v>0.17</v>
      </c>
      <c r="D15" s="14">
        <v>0.17</v>
      </c>
      <c r="E15" s="14">
        <v>0.08</v>
      </c>
      <c r="F15" s="14">
        <v>0.16</v>
      </c>
      <c r="G15" s="14">
        <v>0.28999999999999998</v>
      </c>
      <c r="H15" s="14">
        <v>0.24</v>
      </c>
      <c r="I15" s="14">
        <v>0.22</v>
      </c>
      <c r="J15" s="14">
        <v>0.14000000000000001</v>
      </c>
      <c r="K15" s="14">
        <v>0.12</v>
      </c>
      <c r="L15" s="14">
        <v>0.12</v>
      </c>
      <c r="M15" s="14">
        <v>0.13</v>
      </c>
      <c r="N15" s="14">
        <v>0.12</v>
      </c>
      <c r="O15" s="14">
        <v>0.16</v>
      </c>
      <c r="P15" s="14">
        <v>0.12</v>
      </c>
      <c r="Q15" s="14">
        <v>0.13</v>
      </c>
      <c r="R15" s="14">
        <v>0.21</v>
      </c>
      <c r="S15" s="14">
        <v>0.22</v>
      </c>
      <c r="T15" s="14">
        <v>0.31</v>
      </c>
      <c r="U15" s="14">
        <v>0.19</v>
      </c>
      <c r="V15" s="14">
        <v>0.11</v>
      </c>
      <c r="W15" s="14">
        <v>0.18</v>
      </c>
      <c r="X15" s="14">
        <v>0.25</v>
      </c>
      <c r="Y15" s="14">
        <v>0.13</v>
      </c>
      <c r="Z15" s="14">
        <v>0.24</v>
      </c>
      <c r="AA15" s="14">
        <v>0.13</v>
      </c>
      <c r="AB15" s="14">
        <v>0.12</v>
      </c>
      <c r="AC15" s="14">
        <v>0.09</v>
      </c>
      <c r="AD15" s="14">
        <v>0.08</v>
      </c>
      <c r="AE15" s="14">
        <v>0.22</v>
      </c>
      <c r="AF15" s="14">
        <v>0.15</v>
      </c>
    </row>
    <row r="16" spans="1:32" ht="21.5" x14ac:dyDescent="0.35">
      <c r="A16" s="31"/>
      <c r="B16" s="11" t="s">
        <v>522</v>
      </c>
      <c r="C16" s="12">
        <v>1718</v>
      </c>
      <c r="D16" s="12">
        <v>53</v>
      </c>
      <c r="E16" s="12">
        <v>86</v>
      </c>
      <c r="F16" s="12">
        <v>63</v>
      </c>
      <c r="G16" s="12">
        <v>62</v>
      </c>
      <c r="H16" s="12">
        <v>111</v>
      </c>
      <c r="I16" s="12">
        <v>129</v>
      </c>
      <c r="J16" s="12">
        <v>17</v>
      </c>
      <c r="K16" s="12">
        <v>94</v>
      </c>
      <c r="L16" s="12">
        <v>34</v>
      </c>
      <c r="M16" s="12">
        <v>67</v>
      </c>
      <c r="N16" s="12">
        <v>56</v>
      </c>
      <c r="O16" s="12">
        <v>56</v>
      </c>
      <c r="P16" s="12">
        <v>56</v>
      </c>
      <c r="Q16" s="12">
        <v>59</v>
      </c>
      <c r="R16" s="12">
        <v>21</v>
      </c>
      <c r="S16" s="12">
        <v>91</v>
      </c>
      <c r="T16" s="12">
        <v>96</v>
      </c>
      <c r="U16" s="12">
        <v>54</v>
      </c>
      <c r="V16" s="12">
        <v>63</v>
      </c>
      <c r="W16" s="12">
        <v>17</v>
      </c>
      <c r="X16" s="12">
        <v>61</v>
      </c>
      <c r="Y16" s="12">
        <v>70</v>
      </c>
      <c r="Z16" s="12">
        <v>76</v>
      </c>
      <c r="AA16" s="12">
        <v>19</v>
      </c>
      <c r="AB16" s="12">
        <v>65</v>
      </c>
      <c r="AC16" s="12">
        <v>78</v>
      </c>
      <c r="AD16" s="12">
        <v>86</v>
      </c>
      <c r="AE16" s="12">
        <v>89</v>
      </c>
      <c r="AF16" s="12">
        <v>73</v>
      </c>
    </row>
    <row r="17" spans="1:32" ht="21.5" x14ac:dyDescent="0.35">
      <c r="A17" s="31"/>
      <c r="B17" s="13" t="s">
        <v>523</v>
      </c>
      <c r="C17" s="14">
        <v>7.0000000000000007E-2</v>
      </c>
      <c r="D17" s="14">
        <v>0.05</v>
      </c>
      <c r="E17" s="14">
        <v>0.08</v>
      </c>
      <c r="F17" s="14">
        <v>0.06</v>
      </c>
      <c r="G17" s="14">
        <v>0.06</v>
      </c>
      <c r="H17" s="14">
        <v>0.09</v>
      </c>
      <c r="I17" s="14">
        <v>0.08</v>
      </c>
      <c r="J17" s="14">
        <v>0.06</v>
      </c>
      <c r="K17" s="14">
        <v>0.09</v>
      </c>
      <c r="L17" s="14">
        <v>0.03</v>
      </c>
      <c r="M17" s="14">
        <v>7.0000000000000007E-2</v>
      </c>
      <c r="N17" s="14">
        <v>0.05</v>
      </c>
      <c r="O17" s="14">
        <v>0.06</v>
      </c>
      <c r="P17" s="14">
        <v>0.06</v>
      </c>
      <c r="Q17" s="14">
        <v>0.06</v>
      </c>
      <c r="R17" s="14">
        <v>0.04</v>
      </c>
      <c r="S17" s="14">
        <v>0.09</v>
      </c>
      <c r="T17" s="14">
        <v>0.09</v>
      </c>
      <c r="U17" s="14">
        <v>0.11</v>
      </c>
      <c r="V17" s="14">
        <v>0.06</v>
      </c>
      <c r="W17" s="14">
        <v>0.03</v>
      </c>
      <c r="X17" s="14">
        <v>0.06</v>
      </c>
      <c r="Y17" s="14">
        <v>7.0000000000000007E-2</v>
      </c>
      <c r="Z17" s="14">
        <v>7.0000000000000007E-2</v>
      </c>
      <c r="AA17" s="14">
        <v>0.02</v>
      </c>
      <c r="AB17" s="14">
        <v>0.06</v>
      </c>
      <c r="AC17" s="14">
        <v>0.08</v>
      </c>
      <c r="AD17" s="14">
        <v>0.08</v>
      </c>
      <c r="AE17" s="14">
        <v>0.09</v>
      </c>
      <c r="AF17" s="14">
        <v>7.0000000000000007E-2</v>
      </c>
    </row>
    <row r="18" spans="1:32" ht="31.5" x14ac:dyDescent="0.35">
      <c r="A18" s="31"/>
      <c r="B18" s="11" t="s">
        <v>524</v>
      </c>
      <c r="C18" s="12">
        <v>612</v>
      </c>
      <c r="D18" s="12">
        <v>31</v>
      </c>
      <c r="E18" s="12">
        <v>25</v>
      </c>
      <c r="F18" s="12">
        <v>32</v>
      </c>
      <c r="G18" s="12">
        <v>23</v>
      </c>
      <c r="H18" s="12">
        <v>12</v>
      </c>
      <c r="I18" s="12">
        <v>20</v>
      </c>
      <c r="J18" s="12">
        <v>8</v>
      </c>
      <c r="K18" s="12">
        <v>39</v>
      </c>
      <c r="L18" s="12">
        <v>18</v>
      </c>
      <c r="M18" s="12">
        <v>25</v>
      </c>
      <c r="N18" s="12">
        <v>20</v>
      </c>
      <c r="O18" s="12">
        <v>14</v>
      </c>
      <c r="P18" s="12">
        <v>43</v>
      </c>
      <c r="Q18" s="12">
        <v>31</v>
      </c>
      <c r="R18" s="12">
        <v>12</v>
      </c>
      <c r="S18" s="12">
        <v>38</v>
      </c>
      <c r="T18" s="12">
        <v>73</v>
      </c>
      <c r="U18" s="12">
        <v>10</v>
      </c>
      <c r="V18" s="12">
        <v>53</v>
      </c>
      <c r="W18" s="12">
        <v>12</v>
      </c>
      <c r="X18" s="12">
        <v>6</v>
      </c>
      <c r="Y18" s="12">
        <v>25</v>
      </c>
      <c r="Z18" s="12">
        <v>40</v>
      </c>
      <c r="AA18" s="12">
        <v>16</v>
      </c>
      <c r="AB18" s="12">
        <v>45</v>
      </c>
      <c r="AC18" s="12">
        <v>42</v>
      </c>
      <c r="AD18" s="12">
        <v>43</v>
      </c>
      <c r="AE18" s="12">
        <v>15</v>
      </c>
      <c r="AF18" s="12">
        <v>7</v>
      </c>
    </row>
    <row r="19" spans="1:32" ht="21.5" x14ac:dyDescent="0.35">
      <c r="A19" s="31"/>
      <c r="B19" s="13" t="s">
        <v>525</v>
      </c>
      <c r="C19" s="14">
        <v>0.02</v>
      </c>
      <c r="D19" s="14">
        <v>0.03</v>
      </c>
      <c r="E19" s="14">
        <v>0.02</v>
      </c>
      <c r="F19" s="14">
        <v>0.03</v>
      </c>
      <c r="G19" s="14">
        <v>0.02</v>
      </c>
      <c r="H19" s="14">
        <v>0.01</v>
      </c>
      <c r="I19" s="14">
        <v>0.01</v>
      </c>
      <c r="J19" s="14">
        <v>0.03</v>
      </c>
      <c r="K19" s="14">
        <v>0.04</v>
      </c>
      <c r="L19" s="14">
        <v>0.02</v>
      </c>
      <c r="M19" s="14">
        <v>0.03</v>
      </c>
      <c r="N19" s="14">
        <v>0.02</v>
      </c>
      <c r="O19" s="14">
        <v>0.01</v>
      </c>
      <c r="P19" s="14">
        <v>0.04</v>
      </c>
      <c r="Q19" s="14">
        <v>0.03</v>
      </c>
      <c r="R19" s="14">
        <v>0.03</v>
      </c>
      <c r="S19" s="14">
        <v>0.04</v>
      </c>
      <c r="T19" s="14">
        <v>7.0000000000000007E-2</v>
      </c>
      <c r="U19" s="14">
        <v>0.02</v>
      </c>
      <c r="V19" s="14">
        <v>0.05</v>
      </c>
      <c r="W19" s="14">
        <v>0.02</v>
      </c>
      <c r="X19" s="14">
        <v>0.01</v>
      </c>
      <c r="Y19" s="14">
        <v>0.03</v>
      </c>
      <c r="Z19" s="14">
        <v>0.04</v>
      </c>
      <c r="AA19" s="14">
        <v>0.02</v>
      </c>
      <c r="AB19" s="14">
        <v>0.04</v>
      </c>
      <c r="AC19" s="14">
        <v>0.04</v>
      </c>
      <c r="AD19" s="14">
        <v>0.04</v>
      </c>
      <c r="AE19" s="14">
        <v>0.02</v>
      </c>
      <c r="AF19" s="14">
        <v>0.01</v>
      </c>
    </row>
    <row r="20" spans="1:32" ht="31.5" x14ac:dyDescent="0.35">
      <c r="A20" s="31"/>
      <c r="B20" s="11" t="s">
        <v>526</v>
      </c>
      <c r="C20" s="12">
        <v>976</v>
      </c>
      <c r="D20" s="12">
        <v>51</v>
      </c>
      <c r="E20" s="12">
        <v>34</v>
      </c>
      <c r="F20" s="12">
        <v>41</v>
      </c>
      <c r="G20" s="12">
        <v>40</v>
      </c>
      <c r="H20" s="12">
        <v>31</v>
      </c>
      <c r="I20" s="12">
        <v>42</v>
      </c>
      <c r="J20" s="12">
        <v>11</v>
      </c>
      <c r="K20" s="12">
        <v>54</v>
      </c>
      <c r="L20" s="12">
        <v>48</v>
      </c>
      <c r="M20" s="12">
        <v>34</v>
      </c>
      <c r="N20" s="12">
        <v>34</v>
      </c>
      <c r="O20" s="12">
        <v>29</v>
      </c>
      <c r="P20" s="12">
        <v>33</v>
      </c>
      <c r="Q20" s="12">
        <v>51</v>
      </c>
      <c r="R20" s="12">
        <v>21</v>
      </c>
      <c r="S20" s="12">
        <v>31</v>
      </c>
      <c r="T20" s="12">
        <v>24</v>
      </c>
      <c r="U20" s="12">
        <v>21</v>
      </c>
      <c r="V20" s="12">
        <v>38</v>
      </c>
      <c r="W20" s="12">
        <v>45</v>
      </c>
      <c r="X20" s="12">
        <v>53</v>
      </c>
      <c r="Y20" s="12">
        <v>51</v>
      </c>
      <c r="Z20" s="12">
        <v>37</v>
      </c>
      <c r="AA20" s="12">
        <v>26</v>
      </c>
      <c r="AB20" s="12">
        <v>49</v>
      </c>
      <c r="AC20" s="12">
        <v>43</v>
      </c>
      <c r="AD20" s="12">
        <v>37</v>
      </c>
      <c r="AE20" s="12">
        <v>54</v>
      </c>
      <c r="AF20" s="12">
        <v>38</v>
      </c>
    </row>
    <row r="21" spans="1:32" ht="31.5" x14ac:dyDescent="0.35">
      <c r="A21" s="31"/>
      <c r="B21" s="13" t="s">
        <v>527</v>
      </c>
      <c r="C21" s="14">
        <v>0.04</v>
      </c>
      <c r="D21" s="14">
        <v>0.05</v>
      </c>
      <c r="E21" s="14">
        <v>0.03</v>
      </c>
      <c r="F21" s="14">
        <v>0.04</v>
      </c>
      <c r="G21" s="14">
        <v>0.04</v>
      </c>
      <c r="H21" s="14">
        <v>0.02</v>
      </c>
      <c r="I21" s="14">
        <v>0.03</v>
      </c>
      <c r="J21" s="14">
        <v>0.04</v>
      </c>
      <c r="K21" s="14">
        <v>0.05</v>
      </c>
      <c r="L21" s="14">
        <v>0.05</v>
      </c>
      <c r="M21" s="14">
        <v>0.03</v>
      </c>
      <c r="N21" s="14">
        <v>0.03</v>
      </c>
      <c r="O21" s="14">
        <v>0.03</v>
      </c>
      <c r="P21" s="14">
        <v>0.03</v>
      </c>
      <c r="Q21" s="14">
        <v>0.05</v>
      </c>
      <c r="R21" s="14">
        <v>0.04</v>
      </c>
      <c r="S21" s="14">
        <v>0.03</v>
      </c>
      <c r="T21" s="14">
        <v>0.02</v>
      </c>
      <c r="U21" s="14">
        <v>0.04</v>
      </c>
      <c r="V21" s="14">
        <v>0.04</v>
      </c>
      <c r="W21" s="14">
        <v>0.09</v>
      </c>
      <c r="X21" s="14">
        <v>0.05</v>
      </c>
      <c r="Y21" s="14">
        <v>0.05</v>
      </c>
      <c r="Z21" s="14">
        <v>0.04</v>
      </c>
      <c r="AA21" s="14">
        <v>0.03</v>
      </c>
      <c r="AB21" s="14">
        <v>0.05</v>
      </c>
      <c r="AC21" s="14">
        <v>0.04</v>
      </c>
      <c r="AD21" s="14">
        <v>0.04</v>
      </c>
      <c r="AE21" s="14">
        <v>0.05</v>
      </c>
      <c r="AF21" s="14">
        <v>0.04</v>
      </c>
    </row>
    <row r="22" spans="1:32" ht="41.5" x14ac:dyDescent="0.35">
      <c r="A22" s="31"/>
      <c r="B22" s="11" t="s">
        <v>528</v>
      </c>
      <c r="C22" s="12">
        <v>2306</v>
      </c>
      <c r="D22" s="12">
        <v>91</v>
      </c>
      <c r="E22" s="12">
        <v>92</v>
      </c>
      <c r="F22" s="12">
        <v>68</v>
      </c>
      <c r="G22" s="12">
        <v>100</v>
      </c>
      <c r="H22" s="12">
        <v>107</v>
      </c>
      <c r="I22" s="12">
        <v>131</v>
      </c>
      <c r="J22" s="12">
        <v>24</v>
      </c>
      <c r="K22" s="12">
        <v>51</v>
      </c>
      <c r="L22" s="12">
        <v>100</v>
      </c>
      <c r="M22" s="12">
        <v>84</v>
      </c>
      <c r="N22" s="12">
        <v>103</v>
      </c>
      <c r="O22" s="12">
        <v>88</v>
      </c>
      <c r="P22" s="12">
        <v>59</v>
      </c>
      <c r="Q22" s="12">
        <v>50</v>
      </c>
      <c r="R22" s="12">
        <v>63</v>
      </c>
      <c r="S22" s="12">
        <v>47</v>
      </c>
      <c r="T22" s="12">
        <v>46</v>
      </c>
      <c r="U22" s="12">
        <v>54</v>
      </c>
      <c r="V22" s="12">
        <v>85</v>
      </c>
      <c r="W22" s="12">
        <v>66</v>
      </c>
      <c r="X22" s="12">
        <v>137</v>
      </c>
      <c r="Y22" s="12">
        <v>86</v>
      </c>
      <c r="Z22" s="12">
        <v>77</v>
      </c>
      <c r="AA22" s="12">
        <v>116</v>
      </c>
      <c r="AB22" s="12">
        <v>94</v>
      </c>
      <c r="AC22" s="12">
        <v>54</v>
      </c>
      <c r="AD22" s="12">
        <v>84</v>
      </c>
      <c r="AE22" s="12">
        <v>118</v>
      </c>
      <c r="AF22" s="12">
        <v>216</v>
      </c>
    </row>
    <row r="23" spans="1:32" ht="31.5" x14ac:dyDescent="0.35">
      <c r="A23" s="31"/>
      <c r="B23" s="13" t="s">
        <v>529</v>
      </c>
      <c r="C23" s="14">
        <v>0.09</v>
      </c>
      <c r="D23" s="14">
        <v>0.09</v>
      </c>
      <c r="E23" s="14">
        <v>0.09</v>
      </c>
      <c r="F23" s="14">
        <v>7.0000000000000007E-2</v>
      </c>
      <c r="G23" s="14">
        <v>0.1</v>
      </c>
      <c r="H23" s="14">
        <v>0.09</v>
      </c>
      <c r="I23" s="14">
        <v>0.09</v>
      </c>
      <c r="J23" s="14">
        <v>0.08</v>
      </c>
      <c r="K23" s="14">
        <v>0.05</v>
      </c>
      <c r="L23" s="14">
        <v>0.1</v>
      </c>
      <c r="M23" s="14">
        <v>0.08</v>
      </c>
      <c r="N23" s="14">
        <v>0.1</v>
      </c>
      <c r="O23" s="14">
        <v>0.09</v>
      </c>
      <c r="P23" s="14">
        <v>0.06</v>
      </c>
      <c r="Q23" s="14">
        <v>0.05</v>
      </c>
      <c r="R23" s="14">
        <v>0.13</v>
      </c>
      <c r="S23" s="14">
        <v>0.05</v>
      </c>
      <c r="T23" s="14">
        <v>0.05</v>
      </c>
      <c r="U23" s="14">
        <v>0.11</v>
      </c>
      <c r="V23" s="14">
        <v>0.08</v>
      </c>
      <c r="W23" s="14">
        <v>0.13</v>
      </c>
      <c r="X23" s="14">
        <v>0.14000000000000001</v>
      </c>
      <c r="Y23" s="14">
        <v>0.09</v>
      </c>
      <c r="Z23" s="14">
        <v>0.08</v>
      </c>
      <c r="AA23" s="14">
        <v>0.11</v>
      </c>
      <c r="AB23" s="14">
        <v>0.09</v>
      </c>
      <c r="AC23" s="14">
        <v>0.05</v>
      </c>
      <c r="AD23" s="14">
        <v>0.08</v>
      </c>
      <c r="AE23" s="14">
        <v>0.12</v>
      </c>
      <c r="AF23" s="14">
        <v>0.21</v>
      </c>
    </row>
    <row r="24" spans="1:32" ht="21.5" x14ac:dyDescent="0.35">
      <c r="A24" s="31"/>
      <c r="B24" s="11" t="s">
        <v>530</v>
      </c>
      <c r="C24" s="12">
        <v>3562</v>
      </c>
      <c r="D24" s="12">
        <v>94</v>
      </c>
      <c r="E24" s="12">
        <v>168</v>
      </c>
      <c r="F24" s="12">
        <v>172</v>
      </c>
      <c r="G24" s="12">
        <v>92</v>
      </c>
      <c r="H24" s="12">
        <v>182</v>
      </c>
      <c r="I24" s="12">
        <v>247</v>
      </c>
      <c r="J24" s="12">
        <v>65</v>
      </c>
      <c r="K24" s="12">
        <v>154</v>
      </c>
      <c r="L24" s="12">
        <v>97</v>
      </c>
      <c r="M24" s="12">
        <v>174</v>
      </c>
      <c r="N24" s="12">
        <v>146</v>
      </c>
      <c r="O24" s="12">
        <v>110</v>
      </c>
      <c r="P24" s="12">
        <v>157</v>
      </c>
      <c r="Q24" s="12">
        <v>150</v>
      </c>
      <c r="R24" s="12">
        <v>23</v>
      </c>
      <c r="S24" s="12">
        <v>162</v>
      </c>
      <c r="T24" s="12">
        <v>101</v>
      </c>
      <c r="U24" s="12">
        <v>53</v>
      </c>
      <c r="V24" s="12">
        <v>156</v>
      </c>
      <c r="W24" s="12">
        <v>19</v>
      </c>
      <c r="X24" s="12">
        <v>110</v>
      </c>
      <c r="Y24" s="12">
        <v>134</v>
      </c>
      <c r="Z24" s="12">
        <v>95</v>
      </c>
      <c r="AA24" s="12">
        <v>184</v>
      </c>
      <c r="AB24" s="12">
        <v>115</v>
      </c>
      <c r="AC24" s="12">
        <v>177</v>
      </c>
      <c r="AD24" s="12">
        <v>171</v>
      </c>
      <c r="AE24" s="12">
        <v>161</v>
      </c>
      <c r="AF24" s="12">
        <v>117</v>
      </c>
    </row>
    <row r="25" spans="1:32" ht="21.5" x14ac:dyDescent="0.35">
      <c r="A25" s="31"/>
      <c r="B25" s="13" t="s">
        <v>531</v>
      </c>
      <c r="C25" s="14">
        <v>0.13</v>
      </c>
      <c r="D25" s="14">
        <v>0.09</v>
      </c>
      <c r="E25" s="14">
        <v>0.16</v>
      </c>
      <c r="F25" s="14">
        <v>0.17</v>
      </c>
      <c r="G25" s="14">
        <v>0.09</v>
      </c>
      <c r="H25" s="14">
        <v>0.15</v>
      </c>
      <c r="I25" s="14">
        <v>0.16</v>
      </c>
      <c r="J25" s="14">
        <v>0.22</v>
      </c>
      <c r="K25" s="14">
        <v>0.15</v>
      </c>
      <c r="L25" s="14">
        <v>0.1</v>
      </c>
      <c r="M25" s="14">
        <v>0.17</v>
      </c>
      <c r="N25" s="14">
        <v>0.15</v>
      </c>
      <c r="O25" s="14">
        <v>0.11</v>
      </c>
      <c r="P25" s="14">
        <v>0.16</v>
      </c>
      <c r="Q25" s="14">
        <v>0.15</v>
      </c>
      <c r="R25" s="14">
        <v>0.05</v>
      </c>
      <c r="S25" s="14">
        <v>0.16</v>
      </c>
      <c r="T25" s="14">
        <v>0.1</v>
      </c>
      <c r="U25" s="14">
        <v>0.11</v>
      </c>
      <c r="V25" s="14">
        <v>0.15</v>
      </c>
      <c r="W25" s="14">
        <v>0.04</v>
      </c>
      <c r="X25" s="14">
        <v>0.11</v>
      </c>
      <c r="Y25" s="14">
        <v>0.13</v>
      </c>
      <c r="Z25" s="14">
        <v>0.09</v>
      </c>
      <c r="AA25" s="14">
        <v>0.18</v>
      </c>
      <c r="AB25" s="14">
        <v>0.11</v>
      </c>
      <c r="AC25" s="14">
        <v>0.17</v>
      </c>
      <c r="AD25" s="14">
        <v>0.17</v>
      </c>
      <c r="AE25" s="14">
        <v>0.16</v>
      </c>
      <c r="AF25" s="14">
        <v>0.11</v>
      </c>
    </row>
    <row r="26" spans="1:32" x14ac:dyDescent="0.35">
      <c r="A26" s="31"/>
      <c r="B26" s="11" t="s">
        <v>532</v>
      </c>
      <c r="C26" s="12">
        <v>1317</v>
      </c>
      <c r="D26" s="12">
        <v>47</v>
      </c>
      <c r="E26" s="12">
        <v>53</v>
      </c>
      <c r="F26" s="12">
        <v>63</v>
      </c>
      <c r="G26" s="12">
        <v>45</v>
      </c>
      <c r="H26" s="12">
        <v>80</v>
      </c>
      <c r="I26" s="12">
        <v>95</v>
      </c>
      <c r="J26" s="12">
        <v>16</v>
      </c>
      <c r="K26" s="12">
        <v>44</v>
      </c>
      <c r="L26" s="12">
        <v>85</v>
      </c>
      <c r="M26" s="12">
        <v>29</v>
      </c>
      <c r="N26" s="12">
        <v>42</v>
      </c>
      <c r="O26" s="12">
        <v>44</v>
      </c>
      <c r="P26" s="12">
        <v>44</v>
      </c>
      <c r="Q26" s="12">
        <v>65</v>
      </c>
      <c r="R26" s="12">
        <v>17</v>
      </c>
      <c r="S26" s="12">
        <v>40</v>
      </c>
      <c r="T26" s="12">
        <v>25</v>
      </c>
      <c r="U26" s="12">
        <v>21</v>
      </c>
      <c r="V26" s="12">
        <v>44</v>
      </c>
      <c r="W26" s="12">
        <v>20</v>
      </c>
      <c r="X26" s="12">
        <v>41</v>
      </c>
      <c r="Y26" s="12">
        <v>56</v>
      </c>
      <c r="Z26" s="12">
        <v>55</v>
      </c>
      <c r="AA26" s="12">
        <v>25</v>
      </c>
      <c r="AB26" s="12">
        <v>38</v>
      </c>
      <c r="AC26" s="12">
        <v>59</v>
      </c>
      <c r="AD26" s="12">
        <v>40</v>
      </c>
      <c r="AE26" s="12">
        <v>21</v>
      </c>
      <c r="AF26" s="12">
        <v>38</v>
      </c>
    </row>
    <row r="27" spans="1:32" x14ac:dyDescent="0.35">
      <c r="A27" s="31"/>
      <c r="B27" s="13" t="s">
        <v>533</v>
      </c>
      <c r="C27" s="14">
        <v>0.05</v>
      </c>
      <c r="D27" s="14">
        <v>0.05</v>
      </c>
      <c r="E27" s="14">
        <v>0.05</v>
      </c>
      <c r="F27" s="14">
        <v>0.06</v>
      </c>
      <c r="G27" s="14">
        <v>0.04</v>
      </c>
      <c r="H27" s="14">
        <v>0.06</v>
      </c>
      <c r="I27" s="14">
        <v>0.06</v>
      </c>
      <c r="J27" s="14">
        <v>0.05</v>
      </c>
      <c r="K27" s="14">
        <v>0.04</v>
      </c>
      <c r="L27" s="14">
        <v>0.08</v>
      </c>
      <c r="M27" s="14">
        <v>0.03</v>
      </c>
      <c r="N27" s="14">
        <v>0.04</v>
      </c>
      <c r="O27" s="14">
        <v>0.04</v>
      </c>
      <c r="P27" s="14">
        <v>0.04</v>
      </c>
      <c r="Q27" s="14">
        <v>0.06</v>
      </c>
      <c r="R27" s="14">
        <v>0.03</v>
      </c>
      <c r="S27" s="14">
        <v>0.04</v>
      </c>
      <c r="T27" s="14">
        <v>0.03</v>
      </c>
      <c r="U27" s="14">
        <v>0.04</v>
      </c>
      <c r="V27" s="14">
        <v>0.04</v>
      </c>
      <c r="W27" s="14">
        <v>0.04</v>
      </c>
      <c r="X27" s="14">
        <v>0.04</v>
      </c>
      <c r="Y27" s="14">
        <v>0.06</v>
      </c>
      <c r="Z27" s="14">
        <v>0.05</v>
      </c>
      <c r="AA27" s="14">
        <v>0.03</v>
      </c>
      <c r="AB27" s="14">
        <v>0.04</v>
      </c>
      <c r="AC27" s="14">
        <v>0.06</v>
      </c>
      <c r="AD27" s="14">
        <v>0.04</v>
      </c>
      <c r="AE27" s="14">
        <v>0.02</v>
      </c>
      <c r="AF27" s="14">
        <v>0.04</v>
      </c>
    </row>
    <row r="28" spans="1:32" x14ac:dyDescent="0.35">
      <c r="A28" s="31"/>
      <c r="B28" s="11" t="s">
        <v>534</v>
      </c>
      <c r="C28" s="12">
        <v>920</v>
      </c>
      <c r="D28" s="12">
        <v>64</v>
      </c>
      <c r="E28" s="12">
        <v>27</v>
      </c>
      <c r="F28" s="12">
        <v>24</v>
      </c>
      <c r="G28" s="12">
        <v>3</v>
      </c>
      <c r="H28" s="12">
        <v>43</v>
      </c>
      <c r="I28" s="12">
        <v>59</v>
      </c>
      <c r="J28" s="12">
        <v>17</v>
      </c>
      <c r="K28" s="12">
        <v>38</v>
      </c>
      <c r="L28" s="12">
        <v>50</v>
      </c>
      <c r="M28" s="12">
        <v>27</v>
      </c>
      <c r="N28" s="12">
        <v>27</v>
      </c>
      <c r="O28" s="12">
        <v>36</v>
      </c>
      <c r="P28" s="12">
        <v>27</v>
      </c>
      <c r="Q28" s="12">
        <v>55</v>
      </c>
      <c r="R28" s="12">
        <v>12</v>
      </c>
      <c r="S28" s="12">
        <v>20</v>
      </c>
      <c r="T28" s="12">
        <v>10</v>
      </c>
      <c r="U28" s="12">
        <v>17</v>
      </c>
      <c r="V28" s="12">
        <v>42</v>
      </c>
      <c r="W28" s="12">
        <v>28</v>
      </c>
      <c r="X28" s="12">
        <v>31</v>
      </c>
      <c r="Y28" s="12">
        <v>36</v>
      </c>
      <c r="Z28" s="12">
        <v>8</v>
      </c>
      <c r="AA28" s="12">
        <v>51</v>
      </c>
      <c r="AB28" s="12">
        <v>53</v>
      </c>
      <c r="AC28" s="12">
        <v>50</v>
      </c>
      <c r="AD28" s="12">
        <v>46</v>
      </c>
      <c r="AE28" s="12">
        <v>8</v>
      </c>
      <c r="AF28" s="12">
        <v>4</v>
      </c>
    </row>
    <row r="29" spans="1:32" x14ac:dyDescent="0.35">
      <c r="A29" s="31"/>
      <c r="B29" s="13" t="s">
        <v>535</v>
      </c>
      <c r="C29" s="14">
        <v>0.03</v>
      </c>
      <c r="D29" s="14">
        <v>0.06</v>
      </c>
      <c r="E29" s="14">
        <v>0.03</v>
      </c>
      <c r="F29" s="14">
        <v>0.02</v>
      </c>
      <c r="G29" s="15" t="s">
        <v>333</v>
      </c>
      <c r="H29" s="14">
        <v>0.03</v>
      </c>
      <c r="I29" s="14">
        <v>0.04</v>
      </c>
      <c r="J29" s="14">
        <v>0.05</v>
      </c>
      <c r="K29" s="14">
        <v>0.04</v>
      </c>
      <c r="L29" s="14">
        <v>0.05</v>
      </c>
      <c r="M29" s="14">
        <v>0.03</v>
      </c>
      <c r="N29" s="14">
        <v>0.03</v>
      </c>
      <c r="O29" s="14">
        <v>0.04</v>
      </c>
      <c r="P29" s="14">
        <v>0.03</v>
      </c>
      <c r="Q29" s="14">
        <v>0.05</v>
      </c>
      <c r="R29" s="14">
        <v>0.03</v>
      </c>
      <c r="S29" s="14">
        <v>0.02</v>
      </c>
      <c r="T29" s="14">
        <v>0.01</v>
      </c>
      <c r="U29" s="14">
        <v>0.03</v>
      </c>
      <c r="V29" s="14">
        <v>0.04</v>
      </c>
      <c r="W29" s="14">
        <v>0.06</v>
      </c>
      <c r="X29" s="14">
        <v>0.03</v>
      </c>
      <c r="Y29" s="14">
        <v>0.04</v>
      </c>
      <c r="Z29" s="14">
        <v>0.01</v>
      </c>
      <c r="AA29" s="14">
        <v>0.05</v>
      </c>
      <c r="AB29" s="14">
        <v>0.05</v>
      </c>
      <c r="AC29" s="14">
        <v>0.05</v>
      </c>
      <c r="AD29" s="14">
        <v>0.05</v>
      </c>
      <c r="AE29" s="14">
        <v>0.01</v>
      </c>
      <c r="AF29" s="14">
        <v>0.01</v>
      </c>
    </row>
    <row r="30" spans="1:32" ht="31.5" x14ac:dyDescent="0.35">
      <c r="A30" s="31"/>
      <c r="B30" s="11" t="s">
        <v>536</v>
      </c>
      <c r="C30" s="12">
        <v>1326</v>
      </c>
      <c r="D30" s="12">
        <v>66</v>
      </c>
      <c r="E30" s="12">
        <v>38</v>
      </c>
      <c r="F30" s="12">
        <v>27</v>
      </c>
      <c r="G30" s="12">
        <v>83</v>
      </c>
      <c r="H30" s="12">
        <v>57</v>
      </c>
      <c r="I30" s="12">
        <v>69</v>
      </c>
      <c r="J30" s="12">
        <v>12</v>
      </c>
      <c r="K30" s="12">
        <v>25</v>
      </c>
      <c r="L30" s="12">
        <v>78</v>
      </c>
      <c r="M30" s="12">
        <v>57</v>
      </c>
      <c r="N30" s="12">
        <v>36</v>
      </c>
      <c r="O30" s="12">
        <v>55</v>
      </c>
      <c r="P30" s="12">
        <v>52</v>
      </c>
      <c r="Q30" s="12">
        <v>61</v>
      </c>
      <c r="R30" s="12">
        <v>9</v>
      </c>
      <c r="S30" s="12">
        <v>5</v>
      </c>
      <c r="T30" s="12">
        <v>19</v>
      </c>
      <c r="U30" s="12">
        <v>22</v>
      </c>
      <c r="V30" s="12">
        <v>56</v>
      </c>
      <c r="W30" s="12">
        <v>26</v>
      </c>
      <c r="X30" s="12">
        <v>76</v>
      </c>
      <c r="Y30" s="12">
        <v>68</v>
      </c>
      <c r="Z30" s="12">
        <v>41</v>
      </c>
      <c r="AA30" s="12">
        <v>50</v>
      </c>
      <c r="AB30" s="12">
        <v>34</v>
      </c>
      <c r="AC30" s="12">
        <v>26</v>
      </c>
      <c r="AD30" s="12">
        <v>37</v>
      </c>
      <c r="AE30" s="12">
        <v>46</v>
      </c>
      <c r="AF30" s="12">
        <v>105</v>
      </c>
    </row>
    <row r="31" spans="1:32" ht="21.5" x14ac:dyDescent="0.35">
      <c r="A31" s="31"/>
      <c r="B31" s="13" t="s">
        <v>537</v>
      </c>
      <c r="C31" s="14">
        <v>0.05</v>
      </c>
      <c r="D31" s="14">
        <v>7.0000000000000007E-2</v>
      </c>
      <c r="E31" s="14">
        <v>0.04</v>
      </c>
      <c r="F31" s="14">
        <v>0.03</v>
      </c>
      <c r="G31" s="14">
        <v>0.08</v>
      </c>
      <c r="H31" s="14">
        <v>0.05</v>
      </c>
      <c r="I31" s="14">
        <v>0.05</v>
      </c>
      <c r="J31" s="14">
        <v>0.04</v>
      </c>
      <c r="K31" s="14">
        <v>0.03</v>
      </c>
      <c r="L31" s="14">
        <v>0.08</v>
      </c>
      <c r="M31" s="14">
        <v>0.06</v>
      </c>
      <c r="N31" s="14">
        <v>0.04</v>
      </c>
      <c r="O31" s="14">
        <v>0.06</v>
      </c>
      <c r="P31" s="14">
        <v>0.05</v>
      </c>
      <c r="Q31" s="14">
        <v>0.06</v>
      </c>
      <c r="R31" s="14">
        <v>0.02</v>
      </c>
      <c r="S31" s="15" t="s">
        <v>333</v>
      </c>
      <c r="T31" s="14">
        <v>0.02</v>
      </c>
      <c r="U31" s="14">
        <v>0.04</v>
      </c>
      <c r="V31" s="14">
        <v>0.06</v>
      </c>
      <c r="W31" s="14">
        <v>0.05</v>
      </c>
      <c r="X31" s="14">
        <v>7.0000000000000007E-2</v>
      </c>
      <c r="Y31" s="14">
        <v>7.0000000000000007E-2</v>
      </c>
      <c r="Z31" s="14">
        <v>0.04</v>
      </c>
      <c r="AA31" s="14">
        <v>0.05</v>
      </c>
      <c r="AB31" s="14">
        <v>0.03</v>
      </c>
      <c r="AC31" s="14">
        <v>0.03</v>
      </c>
      <c r="AD31" s="14">
        <v>0.04</v>
      </c>
      <c r="AE31" s="14">
        <v>0.05</v>
      </c>
      <c r="AF31" s="14">
        <v>0.1</v>
      </c>
    </row>
    <row r="32" spans="1:32" ht="21.5" x14ac:dyDescent="0.35">
      <c r="A32" s="31"/>
      <c r="B32" s="11" t="s">
        <v>538</v>
      </c>
      <c r="C32" s="12">
        <v>2045</v>
      </c>
      <c r="D32" s="12">
        <v>63</v>
      </c>
      <c r="E32" s="12">
        <v>94</v>
      </c>
      <c r="F32" s="12">
        <v>63</v>
      </c>
      <c r="G32" s="12">
        <v>32</v>
      </c>
      <c r="H32" s="12">
        <v>61</v>
      </c>
      <c r="I32" s="12">
        <v>80</v>
      </c>
      <c r="J32" s="12">
        <v>19</v>
      </c>
      <c r="K32" s="12">
        <v>91</v>
      </c>
      <c r="L32" s="12">
        <v>97</v>
      </c>
      <c r="M32" s="12">
        <v>88</v>
      </c>
      <c r="N32" s="12">
        <v>77</v>
      </c>
      <c r="O32" s="12">
        <v>83</v>
      </c>
      <c r="P32" s="12">
        <v>120</v>
      </c>
      <c r="Q32" s="12">
        <v>74</v>
      </c>
      <c r="R32" s="12">
        <v>28</v>
      </c>
      <c r="S32" s="12">
        <v>46</v>
      </c>
      <c r="T32" s="12">
        <v>67</v>
      </c>
      <c r="U32" s="12">
        <v>40</v>
      </c>
      <c r="V32" s="12">
        <v>118</v>
      </c>
      <c r="W32" s="12">
        <v>34</v>
      </c>
      <c r="X32" s="12">
        <v>39</v>
      </c>
      <c r="Y32" s="12">
        <v>94</v>
      </c>
      <c r="Z32" s="12">
        <v>114</v>
      </c>
      <c r="AA32" s="12">
        <v>106</v>
      </c>
      <c r="AB32" s="12">
        <v>131</v>
      </c>
      <c r="AC32" s="12">
        <v>150</v>
      </c>
      <c r="AD32" s="12">
        <v>121</v>
      </c>
      <c r="AE32" s="12">
        <v>77</v>
      </c>
      <c r="AF32" s="12">
        <v>60</v>
      </c>
    </row>
    <row r="33" spans="1:32" x14ac:dyDescent="0.35">
      <c r="A33" s="31"/>
      <c r="B33" s="13" t="s">
        <v>539</v>
      </c>
      <c r="C33" s="14">
        <v>0.08</v>
      </c>
      <c r="D33" s="14">
        <v>0.06</v>
      </c>
      <c r="E33" s="14">
        <v>0.09</v>
      </c>
      <c r="F33" s="14">
        <v>0.06</v>
      </c>
      <c r="G33" s="14">
        <v>0.03</v>
      </c>
      <c r="H33" s="14">
        <v>0.05</v>
      </c>
      <c r="I33" s="14">
        <v>0.05</v>
      </c>
      <c r="J33" s="14">
        <v>0.06</v>
      </c>
      <c r="K33" s="14">
        <v>0.09</v>
      </c>
      <c r="L33" s="14">
        <v>0.1</v>
      </c>
      <c r="M33" s="14">
        <v>0.09</v>
      </c>
      <c r="N33" s="14">
        <v>0.08</v>
      </c>
      <c r="O33" s="14">
        <v>0.08</v>
      </c>
      <c r="P33" s="14">
        <v>0.12</v>
      </c>
      <c r="Q33" s="14">
        <v>7.0000000000000007E-2</v>
      </c>
      <c r="R33" s="14">
        <v>0.06</v>
      </c>
      <c r="S33" s="14">
        <v>0.04</v>
      </c>
      <c r="T33" s="14">
        <v>7.0000000000000007E-2</v>
      </c>
      <c r="U33" s="14">
        <v>0.08</v>
      </c>
      <c r="V33" s="14">
        <v>0.12</v>
      </c>
      <c r="W33" s="14">
        <v>7.0000000000000007E-2</v>
      </c>
      <c r="X33" s="14">
        <v>0.04</v>
      </c>
      <c r="Y33" s="14">
        <v>0.09</v>
      </c>
      <c r="Z33" s="14">
        <v>0.11</v>
      </c>
      <c r="AA33" s="14">
        <v>0.1</v>
      </c>
      <c r="AB33" s="14">
        <v>0.12</v>
      </c>
      <c r="AC33" s="14">
        <v>0.15</v>
      </c>
      <c r="AD33" s="14">
        <v>0.12</v>
      </c>
      <c r="AE33" s="14">
        <v>0.08</v>
      </c>
      <c r="AF33" s="14">
        <v>0.06</v>
      </c>
    </row>
    <row r="34" spans="1:32" x14ac:dyDescent="0.35">
      <c r="A34" s="31"/>
      <c r="B34" s="11" t="s">
        <v>540</v>
      </c>
      <c r="C34" s="12">
        <v>2290</v>
      </c>
      <c r="D34" s="12">
        <v>80</v>
      </c>
      <c r="E34" s="12">
        <v>53</v>
      </c>
      <c r="F34" s="12">
        <v>60</v>
      </c>
      <c r="G34" s="12">
        <v>59</v>
      </c>
      <c r="H34" s="12">
        <v>96</v>
      </c>
      <c r="I34" s="12">
        <v>122</v>
      </c>
      <c r="J34" s="12">
        <v>26</v>
      </c>
      <c r="K34" s="12">
        <v>77</v>
      </c>
      <c r="L34" s="12">
        <v>80</v>
      </c>
      <c r="M34" s="12">
        <v>108</v>
      </c>
      <c r="N34" s="12">
        <v>176</v>
      </c>
      <c r="O34" s="12">
        <v>124</v>
      </c>
      <c r="P34" s="12">
        <v>56</v>
      </c>
      <c r="Q34" s="12">
        <v>67</v>
      </c>
      <c r="R34" s="12">
        <v>72</v>
      </c>
      <c r="S34" s="12">
        <v>94</v>
      </c>
      <c r="T34" s="12">
        <v>64</v>
      </c>
      <c r="U34" s="12">
        <v>41</v>
      </c>
      <c r="V34" s="12">
        <v>52</v>
      </c>
      <c r="W34" s="12">
        <v>50</v>
      </c>
      <c r="X34" s="12">
        <v>51</v>
      </c>
      <c r="Y34" s="12">
        <v>58</v>
      </c>
      <c r="Z34" s="12">
        <v>37</v>
      </c>
      <c r="AA34" s="12">
        <v>63</v>
      </c>
      <c r="AB34" s="12">
        <v>73</v>
      </c>
      <c r="AC34" s="12">
        <v>56</v>
      </c>
      <c r="AD34" s="12">
        <v>58</v>
      </c>
      <c r="AE34" s="12">
        <v>59</v>
      </c>
      <c r="AF34" s="12">
        <v>72</v>
      </c>
    </row>
    <row r="35" spans="1:32" x14ac:dyDescent="0.35">
      <c r="A35" s="31"/>
      <c r="B35" s="13" t="s">
        <v>541</v>
      </c>
      <c r="C35" s="14">
        <v>0.09</v>
      </c>
      <c r="D35" s="14">
        <v>0.08</v>
      </c>
      <c r="E35" s="14">
        <v>0.05</v>
      </c>
      <c r="F35" s="14">
        <v>0.06</v>
      </c>
      <c r="G35" s="14">
        <v>0.06</v>
      </c>
      <c r="H35" s="14">
        <v>0.08</v>
      </c>
      <c r="I35" s="14">
        <v>0.08</v>
      </c>
      <c r="J35" s="14">
        <v>0.09</v>
      </c>
      <c r="K35" s="14">
        <v>0.08</v>
      </c>
      <c r="L35" s="14">
        <v>0.08</v>
      </c>
      <c r="M35" s="14">
        <v>0.11</v>
      </c>
      <c r="N35" s="14">
        <v>0.18</v>
      </c>
      <c r="O35" s="14">
        <v>0.12</v>
      </c>
      <c r="P35" s="14">
        <v>0.06</v>
      </c>
      <c r="Q35" s="14">
        <v>0.06</v>
      </c>
      <c r="R35" s="14">
        <v>0.14000000000000001</v>
      </c>
      <c r="S35" s="14">
        <v>0.09</v>
      </c>
      <c r="T35" s="14">
        <v>0.06</v>
      </c>
      <c r="U35" s="14">
        <v>0.08</v>
      </c>
      <c r="V35" s="14">
        <v>0.05</v>
      </c>
      <c r="W35" s="14">
        <v>0.1</v>
      </c>
      <c r="X35" s="14">
        <v>0.05</v>
      </c>
      <c r="Y35" s="14">
        <v>0.06</v>
      </c>
      <c r="Z35" s="14">
        <v>0.04</v>
      </c>
      <c r="AA35" s="14">
        <v>0.06</v>
      </c>
      <c r="AB35" s="14">
        <v>7.0000000000000007E-2</v>
      </c>
      <c r="AC35" s="14">
        <v>0.06</v>
      </c>
      <c r="AD35" s="14">
        <v>0.06</v>
      </c>
      <c r="AE35" s="14">
        <v>0.06</v>
      </c>
      <c r="AF35" s="14">
        <v>7.0000000000000007E-2</v>
      </c>
    </row>
    <row r="36" spans="1:32" ht="31.5" x14ac:dyDescent="0.35">
      <c r="A36" s="31"/>
      <c r="B36" s="11" t="s">
        <v>542</v>
      </c>
      <c r="C36" s="12">
        <v>1282</v>
      </c>
      <c r="D36" s="12">
        <v>31</v>
      </c>
      <c r="E36" s="12">
        <v>143</v>
      </c>
      <c r="F36" s="12">
        <v>37</v>
      </c>
      <c r="G36" s="12">
        <v>15</v>
      </c>
      <c r="H36" s="12">
        <v>41</v>
      </c>
      <c r="I36" s="12">
        <v>52</v>
      </c>
      <c r="J36" s="12">
        <v>12</v>
      </c>
      <c r="K36" s="12">
        <v>61</v>
      </c>
      <c r="L36" s="12">
        <v>61</v>
      </c>
      <c r="M36" s="12">
        <v>76</v>
      </c>
      <c r="N36" s="12">
        <v>47</v>
      </c>
      <c r="O36" s="12">
        <v>45</v>
      </c>
      <c r="P36" s="12">
        <v>110</v>
      </c>
      <c r="Q36" s="12">
        <v>46</v>
      </c>
      <c r="R36" s="12">
        <v>47</v>
      </c>
      <c r="S36" s="12">
        <v>97</v>
      </c>
      <c r="T36" s="12">
        <v>52</v>
      </c>
      <c r="U36" s="12">
        <v>11</v>
      </c>
      <c r="V36" s="12">
        <v>56</v>
      </c>
      <c r="W36" s="12">
        <v>26</v>
      </c>
      <c r="X36" s="12">
        <v>27</v>
      </c>
      <c r="Y36" s="12">
        <v>73</v>
      </c>
      <c r="Z36" s="12">
        <v>73</v>
      </c>
      <c r="AA36" s="12">
        <v>73</v>
      </c>
      <c r="AB36" s="12">
        <v>81</v>
      </c>
      <c r="AC36" s="12">
        <v>39</v>
      </c>
      <c r="AD36" s="12">
        <v>58</v>
      </c>
      <c r="AE36" s="12">
        <v>19</v>
      </c>
      <c r="AF36" s="12">
        <v>12</v>
      </c>
    </row>
    <row r="37" spans="1:32" ht="21.5" x14ac:dyDescent="0.35">
      <c r="A37" s="31"/>
      <c r="B37" s="13" t="s">
        <v>543</v>
      </c>
      <c r="C37" s="14">
        <v>0.05</v>
      </c>
      <c r="D37" s="14">
        <v>0.03</v>
      </c>
      <c r="E37" s="14">
        <v>0.14000000000000001</v>
      </c>
      <c r="F37" s="14">
        <v>0.04</v>
      </c>
      <c r="G37" s="14">
        <v>0.02</v>
      </c>
      <c r="H37" s="14">
        <v>0.03</v>
      </c>
      <c r="I37" s="14">
        <v>0.03</v>
      </c>
      <c r="J37" s="14">
        <v>0.04</v>
      </c>
      <c r="K37" s="14">
        <v>0.06</v>
      </c>
      <c r="L37" s="14">
        <v>0.06</v>
      </c>
      <c r="M37" s="14">
        <v>0.08</v>
      </c>
      <c r="N37" s="14">
        <v>0.05</v>
      </c>
      <c r="O37" s="14">
        <v>0.05</v>
      </c>
      <c r="P37" s="14">
        <v>0.11</v>
      </c>
      <c r="Q37" s="14">
        <v>0.04</v>
      </c>
      <c r="R37" s="14">
        <v>0.09</v>
      </c>
      <c r="S37" s="14">
        <v>0.1</v>
      </c>
      <c r="T37" s="14">
        <v>0.05</v>
      </c>
      <c r="U37" s="14">
        <v>0.02</v>
      </c>
      <c r="V37" s="14">
        <v>0.06</v>
      </c>
      <c r="W37" s="14">
        <v>0.05</v>
      </c>
      <c r="X37" s="14">
        <v>0.03</v>
      </c>
      <c r="Y37" s="14">
        <v>7.0000000000000007E-2</v>
      </c>
      <c r="Z37" s="14">
        <v>7.0000000000000007E-2</v>
      </c>
      <c r="AA37" s="14">
        <v>7.0000000000000007E-2</v>
      </c>
      <c r="AB37" s="14">
        <v>0.08</v>
      </c>
      <c r="AC37" s="14">
        <v>0.04</v>
      </c>
      <c r="AD37" s="14">
        <v>0.06</v>
      </c>
      <c r="AE37" s="14">
        <v>0.02</v>
      </c>
      <c r="AF37" s="14">
        <v>0.01</v>
      </c>
    </row>
    <row r="38" spans="1:32" x14ac:dyDescent="0.35">
      <c r="A38" s="31"/>
      <c r="B38" s="11" t="s">
        <v>544</v>
      </c>
      <c r="C38" s="12">
        <v>530</v>
      </c>
      <c r="D38" s="12">
        <v>21</v>
      </c>
      <c r="E38" s="12">
        <v>22</v>
      </c>
      <c r="F38" s="12">
        <v>16</v>
      </c>
      <c r="G38" s="12">
        <v>14</v>
      </c>
      <c r="H38" s="12">
        <v>8</v>
      </c>
      <c r="I38" s="12">
        <v>13</v>
      </c>
      <c r="J38" s="12">
        <v>5</v>
      </c>
      <c r="K38" s="12">
        <v>36</v>
      </c>
      <c r="L38" s="12">
        <v>32</v>
      </c>
      <c r="M38" s="12">
        <v>20</v>
      </c>
      <c r="N38" s="12">
        <v>20</v>
      </c>
      <c r="O38" s="12">
        <v>20</v>
      </c>
      <c r="P38" s="12">
        <v>37</v>
      </c>
      <c r="Q38" s="12">
        <v>34</v>
      </c>
      <c r="R38" s="12">
        <v>35</v>
      </c>
      <c r="S38" s="12">
        <v>21</v>
      </c>
      <c r="T38" s="12">
        <v>22</v>
      </c>
      <c r="U38" s="12">
        <v>15</v>
      </c>
      <c r="V38" s="12">
        <v>21</v>
      </c>
      <c r="W38" s="12">
        <v>34</v>
      </c>
      <c r="X38" s="12">
        <v>26</v>
      </c>
      <c r="Y38" s="12">
        <v>23</v>
      </c>
      <c r="Z38" s="12">
        <v>17</v>
      </c>
      <c r="AA38" s="12">
        <v>44</v>
      </c>
      <c r="AB38" s="12">
        <v>27</v>
      </c>
      <c r="AC38" s="12">
        <v>25</v>
      </c>
      <c r="AD38" s="12">
        <v>10</v>
      </c>
      <c r="AE38" s="12">
        <v>2</v>
      </c>
      <c r="AF38" s="12">
        <v>3</v>
      </c>
    </row>
    <row r="39" spans="1:32" x14ac:dyDescent="0.35">
      <c r="A39" s="31"/>
      <c r="B39" s="13" t="s">
        <v>545</v>
      </c>
      <c r="C39" s="14">
        <v>0.02</v>
      </c>
      <c r="D39" s="14">
        <v>0.02</v>
      </c>
      <c r="E39" s="14">
        <v>0.02</v>
      </c>
      <c r="F39" s="14">
        <v>0.02</v>
      </c>
      <c r="G39" s="14">
        <v>0.01</v>
      </c>
      <c r="H39" s="14">
        <v>0.01</v>
      </c>
      <c r="I39" s="14">
        <v>0.01</v>
      </c>
      <c r="J39" s="14">
        <v>0.02</v>
      </c>
      <c r="K39" s="14">
        <v>0.04</v>
      </c>
      <c r="L39" s="14">
        <v>0.03</v>
      </c>
      <c r="M39" s="14">
        <v>0.02</v>
      </c>
      <c r="N39" s="14">
        <v>0.02</v>
      </c>
      <c r="O39" s="14">
        <v>0.02</v>
      </c>
      <c r="P39" s="14">
        <v>0.04</v>
      </c>
      <c r="Q39" s="14">
        <v>0.03</v>
      </c>
      <c r="R39" s="14">
        <v>7.0000000000000007E-2</v>
      </c>
      <c r="S39" s="14">
        <v>0.02</v>
      </c>
      <c r="T39" s="14">
        <v>0.02</v>
      </c>
      <c r="U39" s="14">
        <v>0.03</v>
      </c>
      <c r="V39" s="14">
        <v>0.02</v>
      </c>
      <c r="W39" s="14">
        <v>7.0000000000000007E-2</v>
      </c>
      <c r="X39" s="14">
        <v>0.02</v>
      </c>
      <c r="Y39" s="14">
        <v>0.02</v>
      </c>
      <c r="Z39" s="14">
        <v>0.02</v>
      </c>
      <c r="AA39" s="14">
        <v>0.04</v>
      </c>
      <c r="AB39" s="14">
        <v>0.03</v>
      </c>
      <c r="AC39" s="14">
        <v>0.02</v>
      </c>
      <c r="AD39" s="14">
        <v>0.01</v>
      </c>
      <c r="AE39" s="15" t="s">
        <v>333</v>
      </c>
      <c r="AF39" s="15" t="s">
        <v>333</v>
      </c>
    </row>
    <row r="40" spans="1:32" x14ac:dyDescent="0.35">
      <c r="A40" s="31"/>
      <c r="B40" s="11" t="s">
        <v>407</v>
      </c>
      <c r="C40" s="12">
        <v>104</v>
      </c>
      <c r="D40" s="12">
        <v>1</v>
      </c>
      <c r="E40" s="12">
        <v>5</v>
      </c>
      <c r="F40" s="12">
        <v>0</v>
      </c>
      <c r="G40" s="12">
        <v>3</v>
      </c>
      <c r="H40" s="12">
        <v>4</v>
      </c>
      <c r="I40" s="12">
        <v>4</v>
      </c>
      <c r="J40" s="12">
        <v>0</v>
      </c>
      <c r="K40" s="12">
        <v>2</v>
      </c>
      <c r="L40" s="12">
        <v>3</v>
      </c>
      <c r="M40" s="12">
        <v>1</v>
      </c>
      <c r="N40" s="12">
        <v>3</v>
      </c>
      <c r="O40" s="12">
        <v>14</v>
      </c>
      <c r="P40" s="12">
        <v>0</v>
      </c>
      <c r="Q40" s="12">
        <v>2</v>
      </c>
      <c r="R40" s="12">
        <v>2</v>
      </c>
      <c r="S40" s="12">
        <v>3</v>
      </c>
      <c r="T40" s="12">
        <v>2</v>
      </c>
      <c r="U40" s="12">
        <v>1</v>
      </c>
      <c r="V40" s="12">
        <v>0</v>
      </c>
      <c r="W40" s="12">
        <v>1</v>
      </c>
      <c r="X40" s="12">
        <v>4</v>
      </c>
      <c r="Y40" s="12">
        <v>7</v>
      </c>
      <c r="Z40" s="12">
        <v>0</v>
      </c>
      <c r="AA40" s="12">
        <v>2</v>
      </c>
      <c r="AB40" s="12">
        <v>3</v>
      </c>
      <c r="AC40" s="12">
        <v>0</v>
      </c>
      <c r="AD40" s="12">
        <v>1</v>
      </c>
      <c r="AE40" s="12">
        <v>3</v>
      </c>
      <c r="AF40" s="12">
        <v>0</v>
      </c>
    </row>
    <row r="41" spans="1:32" x14ac:dyDescent="0.35">
      <c r="A41" s="31"/>
      <c r="B41" s="13" t="s">
        <v>408</v>
      </c>
      <c r="C41" s="15" t="s">
        <v>333</v>
      </c>
      <c r="D41" s="15" t="s">
        <v>333</v>
      </c>
      <c r="E41" s="15" t="s">
        <v>333</v>
      </c>
      <c r="F41" s="15" t="s">
        <v>333</v>
      </c>
      <c r="G41" s="15" t="s">
        <v>333</v>
      </c>
      <c r="H41" s="15" t="s">
        <v>333</v>
      </c>
      <c r="I41" s="15" t="s">
        <v>333</v>
      </c>
      <c r="J41" s="15" t="s">
        <v>333</v>
      </c>
      <c r="K41" s="15" t="s">
        <v>333</v>
      </c>
      <c r="L41" s="15" t="s">
        <v>333</v>
      </c>
      <c r="M41" s="15" t="s">
        <v>333</v>
      </c>
      <c r="N41" s="15" t="s">
        <v>333</v>
      </c>
      <c r="O41" s="14">
        <v>0.01</v>
      </c>
      <c r="P41" s="15" t="s">
        <v>333</v>
      </c>
      <c r="Q41" s="15" t="s">
        <v>333</v>
      </c>
      <c r="R41" s="15" t="s">
        <v>333</v>
      </c>
      <c r="S41" s="15" t="s">
        <v>333</v>
      </c>
      <c r="T41" s="15" t="s">
        <v>333</v>
      </c>
      <c r="U41" s="15" t="s">
        <v>333</v>
      </c>
      <c r="V41" s="15" t="s">
        <v>333</v>
      </c>
      <c r="W41" s="15" t="s">
        <v>333</v>
      </c>
      <c r="X41" s="15" t="s">
        <v>333</v>
      </c>
      <c r="Y41" s="14">
        <v>0.01</v>
      </c>
      <c r="Z41" s="15" t="s">
        <v>333</v>
      </c>
      <c r="AA41" s="15" t="s">
        <v>333</v>
      </c>
      <c r="AB41" s="15" t="s">
        <v>333</v>
      </c>
      <c r="AC41" s="15" t="s">
        <v>333</v>
      </c>
      <c r="AD41" s="15" t="s">
        <v>333</v>
      </c>
      <c r="AE41" s="15" t="s">
        <v>333</v>
      </c>
      <c r="AF41" s="15" t="s">
        <v>333</v>
      </c>
    </row>
    <row r="42" spans="1:32" x14ac:dyDescent="0.35">
      <c r="A42" s="31"/>
      <c r="B42" s="11" t="s">
        <v>452</v>
      </c>
      <c r="C42" s="12">
        <v>110</v>
      </c>
      <c r="D42" s="12">
        <v>1</v>
      </c>
      <c r="E42" s="12">
        <v>6</v>
      </c>
      <c r="F42" s="12">
        <v>3</v>
      </c>
      <c r="G42" s="12">
        <v>5</v>
      </c>
      <c r="H42" s="12">
        <v>6</v>
      </c>
      <c r="I42" s="12">
        <v>6</v>
      </c>
      <c r="J42" s="12">
        <v>1</v>
      </c>
      <c r="K42" s="12">
        <v>6</v>
      </c>
      <c r="L42" s="12">
        <v>4</v>
      </c>
      <c r="M42" s="12">
        <v>4</v>
      </c>
      <c r="N42" s="12">
        <v>8</v>
      </c>
      <c r="O42" s="12">
        <v>3</v>
      </c>
      <c r="P42" s="12">
        <v>2</v>
      </c>
      <c r="Q42" s="12">
        <v>8</v>
      </c>
      <c r="R42" s="12">
        <v>4</v>
      </c>
      <c r="S42" s="12">
        <v>1</v>
      </c>
      <c r="T42" s="12">
        <v>0</v>
      </c>
      <c r="U42" s="12">
        <v>1</v>
      </c>
      <c r="V42" s="12">
        <v>0</v>
      </c>
      <c r="W42" s="12">
        <v>0</v>
      </c>
      <c r="X42" s="12">
        <v>9</v>
      </c>
      <c r="Y42" s="12">
        <v>5</v>
      </c>
      <c r="Z42" s="12">
        <v>2</v>
      </c>
      <c r="AA42" s="12">
        <v>2</v>
      </c>
      <c r="AB42" s="12">
        <v>0</v>
      </c>
      <c r="AC42" s="12">
        <v>2</v>
      </c>
      <c r="AD42" s="12">
        <v>2</v>
      </c>
      <c r="AE42" s="12">
        <v>3</v>
      </c>
      <c r="AF42" s="12">
        <v>1</v>
      </c>
    </row>
    <row r="43" spans="1:32" x14ac:dyDescent="0.35">
      <c r="A43" s="31"/>
      <c r="B43" s="13" t="s">
        <v>453</v>
      </c>
      <c r="C43" s="15" t="s">
        <v>333</v>
      </c>
      <c r="D43" s="15" t="s">
        <v>333</v>
      </c>
      <c r="E43" s="14">
        <v>0.01</v>
      </c>
      <c r="F43" s="15" t="s">
        <v>333</v>
      </c>
      <c r="G43" s="14">
        <v>0.01</v>
      </c>
      <c r="H43" s="15" t="s">
        <v>333</v>
      </c>
      <c r="I43" s="15" t="s">
        <v>333</v>
      </c>
      <c r="J43" s="15" t="s">
        <v>333</v>
      </c>
      <c r="K43" s="14">
        <v>0.01</v>
      </c>
      <c r="L43" s="15" t="s">
        <v>333</v>
      </c>
      <c r="M43" s="15" t="s">
        <v>333</v>
      </c>
      <c r="N43" s="14">
        <v>0.01</v>
      </c>
      <c r="O43" s="15" t="s">
        <v>333</v>
      </c>
      <c r="P43" s="15" t="s">
        <v>333</v>
      </c>
      <c r="Q43" s="14">
        <v>0.01</v>
      </c>
      <c r="R43" s="14">
        <v>0.01</v>
      </c>
      <c r="S43" s="15" t="s">
        <v>333</v>
      </c>
      <c r="T43" s="15" t="s">
        <v>333</v>
      </c>
      <c r="U43" s="15" t="s">
        <v>333</v>
      </c>
      <c r="V43" s="15" t="s">
        <v>333</v>
      </c>
      <c r="W43" s="15" t="s">
        <v>333</v>
      </c>
      <c r="X43" s="14">
        <v>0.01</v>
      </c>
      <c r="Y43" s="15" t="s">
        <v>333</v>
      </c>
      <c r="Z43" s="15" t="s">
        <v>333</v>
      </c>
      <c r="AA43" s="15" t="s">
        <v>333</v>
      </c>
      <c r="AB43" s="15" t="s">
        <v>333</v>
      </c>
      <c r="AC43" s="15" t="s">
        <v>333</v>
      </c>
      <c r="AD43" s="15" t="s">
        <v>333</v>
      </c>
      <c r="AE43" s="15" t="s">
        <v>333</v>
      </c>
      <c r="AF43" s="15" t="s">
        <v>333</v>
      </c>
    </row>
    <row r="44" spans="1:32" x14ac:dyDescent="0.35">
      <c r="A44" s="31"/>
      <c r="B44" s="11" t="s">
        <v>344</v>
      </c>
      <c r="C44" s="12">
        <v>291</v>
      </c>
      <c r="D44" s="12">
        <v>2</v>
      </c>
      <c r="E44" s="12">
        <v>17</v>
      </c>
      <c r="F44" s="12">
        <v>21</v>
      </c>
      <c r="G44" s="12">
        <v>6</v>
      </c>
      <c r="H44" s="12">
        <v>7</v>
      </c>
      <c r="I44" s="12">
        <v>7</v>
      </c>
      <c r="J44" s="12">
        <v>0</v>
      </c>
      <c r="K44" s="12">
        <v>10</v>
      </c>
      <c r="L44" s="12">
        <v>9</v>
      </c>
      <c r="M44" s="12">
        <v>4</v>
      </c>
      <c r="N44" s="12">
        <v>20</v>
      </c>
      <c r="O44" s="12">
        <v>20</v>
      </c>
      <c r="P44" s="12">
        <v>3</v>
      </c>
      <c r="Q44" s="12">
        <v>6</v>
      </c>
      <c r="R44" s="12">
        <v>3</v>
      </c>
      <c r="S44" s="12">
        <v>12</v>
      </c>
      <c r="T44" s="12">
        <v>13</v>
      </c>
      <c r="U44" s="12">
        <v>2</v>
      </c>
      <c r="V44" s="12">
        <v>5</v>
      </c>
      <c r="W44" s="12">
        <v>0</v>
      </c>
      <c r="X44" s="12">
        <v>1</v>
      </c>
      <c r="Y44" s="12">
        <v>4</v>
      </c>
      <c r="Z44" s="12">
        <v>16</v>
      </c>
      <c r="AA44" s="12">
        <v>28</v>
      </c>
      <c r="AB44" s="12">
        <v>17</v>
      </c>
      <c r="AC44" s="12">
        <v>6</v>
      </c>
      <c r="AD44" s="12">
        <v>0</v>
      </c>
      <c r="AE44" s="12">
        <v>5</v>
      </c>
      <c r="AF44" s="12">
        <v>2</v>
      </c>
    </row>
    <row r="45" spans="1:32" x14ac:dyDescent="0.35">
      <c r="A45" s="31"/>
      <c r="B45" s="13" t="s">
        <v>357</v>
      </c>
      <c r="C45" s="14">
        <v>0.01</v>
      </c>
      <c r="D45" s="15" t="s">
        <v>333</v>
      </c>
      <c r="E45" s="14">
        <v>0.02</v>
      </c>
      <c r="F45" s="14">
        <v>0.02</v>
      </c>
      <c r="G45" s="14">
        <v>0.01</v>
      </c>
      <c r="H45" s="14">
        <v>0.01</v>
      </c>
      <c r="I45" s="14">
        <v>0.01</v>
      </c>
      <c r="J45" s="15" t="s">
        <v>333</v>
      </c>
      <c r="K45" s="14">
        <v>0.01</v>
      </c>
      <c r="L45" s="14">
        <v>0.01</v>
      </c>
      <c r="M45" s="15" t="s">
        <v>333</v>
      </c>
      <c r="N45" s="14">
        <v>0.02</v>
      </c>
      <c r="O45" s="14">
        <v>0.02</v>
      </c>
      <c r="P45" s="15" t="s">
        <v>333</v>
      </c>
      <c r="Q45" s="14">
        <v>0.01</v>
      </c>
      <c r="R45" s="14">
        <v>0.01</v>
      </c>
      <c r="S45" s="14">
        <v>0.01</v>
      </c>
      <c r="T45" s="14">
        <v>0.01</v>
      </c>
      <c r="U45" s="15" t="s">
        <v>333</v>
      </c>
      <c r="V45" s="15" t="s">
        <v>333</v>
      </c>
      <c r="W45" s="15" t="s">
        <v>333</v>
      </c>
      <c r="X45" s="15" t="s">
        <v>333</v>
      </c>
      <c r="Y45" s="15" t="s">
        <v>333</v>
      </c>
      <c r="Z45" s="14">
        <v>0.02</v>
      </c>
      <c r="AA45" s="14">
        <v>0.03</v>
      </c>
      <c r="AB45" s="14">
        <v>0.02</v>
      </c>
      <c r="AC45" s="14">
        <v>0.01</v>
      </c>
      <c r="AD45" s="15" t="s">
        <v>333</v>
      </c>
      <c r="AE45" s="15" t="s">
        <v>333</v>
      </c>
      <c r="AF45" s="15" t="s">
        <v>333</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51</v>
      </c>
      <c r="C3" s="30"/>
      <c r="D3" s="30"/>
      <c r="E3" s="30"/>
      <c r="F3" s="30"/>
      <c r="H3" s="30" t="s">
        <v>52</v>
      </c>
      <c r="I3" s="30"/>
      <c r="J3" s="30"/>
      <c r="K3" s="30"/>
      <c r="L3" s="30"/>
    </row>
    <row r="4" spans="1:32" ht="27" customHeight="1" x14ac:dyDescent="0.35">
      <c r="B4" s="30"/>
      <c r="C4" s="30"/>
      <c r="D4" s="30"/>
      <c r="E4" s="30"/>
      <c r="F4" s="30"/>
      <c r="H4" s="30"/>
      <c r="I4" s="30"/>
      <c r="J4" s="30"/>
      <c r="K4" s="30"/>
      <c r="L4" s="30"/>
    </row>
    <row r="5" spans="1:32" ht="12" customHeight="1" x14ac:dyDescent="0.35">
      <c r="B5" s="30" t="s">
        <v>546</v>
      </c>
      <c r="C5" s="30"/>
      <c r="D5" s="30"/>
      <c r="E5" s="30"/>
      <c r="F5" s="30"/>
      <c r="H5" s="30" t="s">
        <v>547</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26010</v>
      </c>
      <c r="D10" s="10">
        <v>1022</v>
      </c>
      <c r="E10" s="10">
        <v>1016</v>
      </c>
      <c r="F10" s="10">
        <v>995</v>
      </c>
      <c r="G10" s="10">
        <v>1006</v>
      </c>
      <c r="H10" s="10">
        <v>1219</v>
      </c>
      <c r="I10" s="10">
        <v>1516</v>
      </c>
      <c r="J10" s="10">
        <v>297</v>
      </c>
      <c r="K10" s="10">
        <v>993</v>
      </c>
      <c r="L10" s="10">
        <v>990</v>
      </c>
      <c r="M10" s="10">
        <v>996</v>
      </c>
      <c r="N10" s="10">
        <v>973</v>
      </c>
      <c r="O10" s="10">
        <v>978</v>
      </c>
      <c r="P10" s="10">
        <v>999</v>
      </c>
      <c r="Q10" s="10">
        <v>1021</v>
      </c>
      <c r="R10" s="10">
        <v>494</v>
      </c>
      <c r="S10" s="10">
        <v>1008</v>
      </c>
      <c r="T10" s="10">
        <v>1003</v>
      </c>
      <c r="U10" s="10">
        <v>506</v>
      </c>
      <c r="V10" s="10">
        <v>1009</v>
      </c>
      <c r="W10" s="10">
        <v>501</v>
      </c>
      <c r="X10" s="10">
        <v>1000</v>
      </c>
      <c r="Y10" s="10">
        <v>994</v>
      </c>
      <c r="Z10" s="10">
        <v>1002</v>
      </c>
      <c r="AA10" s="10">
        <v>1000</v>
      </c>
      <c r="AB10" s="10">
        <v>1039</v>
      </c>
      <c r="AC10" s="10">
        <v>1006</v>
      </c>
      <c r="AD10" s="10">
        <v>1002</v>
      </c>
      <c r="AE10" s="10">
        <v>999</v>
      </c>
      <c r="AF10" s="10">
        <v>1017</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518</v>
      </c>
      <c r="C12" s="12">
        <v>4581</v>
      </c>
      <c r="D12" s="12">
        <v>158</v>
      </c>
      <c r="E12" s="12">
        <v>196</v>
      </c>
      <c r="F12" s="12">
        <v>211</v>
      </c>
      <c r="G12" s="12">
        <v>240</v>
      </c>
      <c r="H12" s="12">
        <v>180</v>
      </c>
      <c r="I12" s="12">
        <v>238</v>
      </c>
      <c r="J12" s="12">
        <v>58</v>
      </c>
      <c r="K12" s="12">
        <v>175</v>
      </c>
      <c r="L12" s="12">
        <v>165</v>
      </c>
      <c r="M12" s="12">
        <v>238</v>
      </c>
      <c r="N12" s="12">
        <v>108</v>
      </c>
      <c r="O12" s="12">
        <v>163</v>
      </c>
      <c r="P12" s="12">
        <v>192</v>
      </c>
      <c r="Q12" s="12">
        <v>216</v>
      </c>
      <c r="R12" s="12">
        <v>72</v>
      </c>
      <c r="S12" s="12">
        <v>139</v>
      </c>
      <c r="T12" s="12">
        <v>186</v>
      </c>
      <c r="U12" s="12">
        <v>69</v>
      </c>
      <c r="V12" s="12">
        <v>181</v>
      </c>
      <c r="W12" s="12">
        <v>73</v>
      </c>
      <c r="X12" s="12">
        <v>225</v>
      </c>
      <c r="Y12" s="12">
        <v>195</v>
      </c>
      <c r="Z12" s="12">
        <v>182</v>
      </c>
      <c r="AA12" s="12">
        <v>202</v>
      </c>
      <c r="AB12" s="12">
        <v>160</v>
      </c>
      <c r="AC12" s="12">
        <v>213</v>
      </c>
      <c r="AD12" s="12">
        <v>202</v>
      </c>
      <c r="AE12" s="12">
        <v>201</v>
      </c>
      <c r="AF12" s="12">
        <v>238</v>
      </c>
    </row>
    <row r="13" spans="1:32" ht="21.5" x14ac:dyDescent="0.35">
      <c r="A13" s="31"/>
      <c r="B13" s="13" t="s">
        <v>519</v>
      </c>
      <c r="C13" s="14">
        <v>0.2</v>
      </c>
      <c r="D13" s="14">
        <v>0.18</v>
      </c>
      <c r="E13" s="14">
        <v>0.21</v>
      </c>
      <c r="F13" s="14">
        <v>0.25</v>
      </c>
      <c r="G13" s="14">
        <v>0.28000000000000003</v>
      </c>
      <c r="H13" s="14">
        <v>0.16</v>
      </c>
      <c r="I13" s="14">
        <v>0.17</v>
      </c>
      <c r="J13" s="14">
        <v>0.21</v>
      </c>
      <c r="K13" s="14">
        <v>0.2</v>
      </c>
      <c r="L13" s="14">
        <v>0.18</v>
      </c>
      <c r="M13" s="14">
        <v>0.26</v>
      </c>
      <c r="N13" s="14">
        <v>0.12</v>
      </c>
      <c r="O13" s="14">
        <v>0.18</v>
      </c>
      <c r="P13" s="14">
        <v>0.21</v>
      </c>
      <c r="Q13" s="14">
        <v>0.25</v>
      </c>
      <c r="R13" s="14">
        <v>0.15</v>
      </c>
      <c r="S13" s="14">
        <v>0.15</v>
      </c>
      <c r="T13" s="14">
        <v>0.2</v>
      </c>
      <c r="U13" s="14">
        <v>0.15</v>
      </c>
      <c r="V13" s="14">
        <v>0.2</v>
      </c>
      <c r="W13" s="14">
        <v>0.16</v>
      </c>
      <c r="X13" s="14">
        <v>0.25</v>
      </c>
      <c r="Y13" s="14">
        <v>0.21</v>
      </c>
      <c r="Z13" s="14">
        <v>0.2</v>
      </c>
      <c r="AA13" s="14">
        <v>0.22</v>
      </c>
      <c r="AB13" s="14">
        <v>0.17</v>
      </c>
      <c r="AC13" s="14">
        <v>0.24</v>
      </c>
      <c r="AD13" s="14">
        <v>0.23</v>
      </c>
      <c r="AE13" s="14">
        <v>0.22</v>
      </c>
      <c r="AF13" s="14">
        <v>0.26</v>
      </c>
    </row>
    <row r="14" spans="1:32" x14ac:dyDescent="0.35">
      <c r="A14" s="31"/>
      <c r="B14" s="11" t="s">
        <v>520</v>
      </c>
      <c r="C14" s="12">
        <v>5216</v>
      </c>
      <c r="D14" s="12">
        <v>233</v>
      </c>
      <c r="E14" s="12">
        <v>168</v>
      </c>
      <c r="F14" s="12">
        <v>205</v>
      </c>
      <c r="G14" s="12">
        <v>242</v>
      </c>
      <c r="H14" s="12">
        <v>280</v>
      </c>
      <c r="I14" s="12">
        <v>345</v>
      </c>
      <c r="J14" s="12">
        <v>65</v>
      </c>
      <c r="K14" s="12">
        <v>213</v>
      </c>
      <c r="L14" s="12">
        <v>157</v>
      </c>
      <c r="M14" s="12">
        <v>183</v>
      </c>
      <c r="N14" s="12">
        <v>172</v>
      </c>
      <c r="O14" s="12">
        <v>213</v>
      </c>
      <c r="P14" s="12">
        <v>143</v>
      </c>
      <c r="Q14" s="12">
        <v>168</v>
      </c>
      <c r="R14" s="12">
        <v>123</v>
      </c>
      <c r="S14" s="12">
        <v>207</v>
      </c>
      <c r="T14" s="12">
        <v>240</v>
      </c>
      <c r="U14" s="12">
        <v>125</v>
      </c>
      <c r="V14" s="12">
        <v>186</v>
      </c>
      <c r="W14" s="12">
        <v>74</v>
      </c>
      <c r="X14" s="12">
        <v>242</v>
      </c>
      <c r="Y14" s="12">
        <v>164</v>
      </c>
      <c r="Z14" s="12">
        <v>201</v>
      </c>
      <c r="AA14" s="12">
        <v>184</v>
      </c>
      <c r="AB14" s="12">
        <v>186</v>
      </c>
      <c r="AC14" s="12">
        <v>140</v>
      </c>
      <c r="AD14" s="12">
        <v>191</v>
      </c>
      <c r="AE14" s="12">
        <v>262</v>
      </c>
      <c r="AF14" s="12">
        <v>207</v>
      </c>
    </row>
    <row r="15" spans="1:32" x14ac:dyDescent="0.35">
      <c r="A15" s="31"/>
      <c r="B15" s="13" t="s">
        <v>521</v>
      </c>
      <c r="C15" s="14">
        <v>0.24</v>
      </c>
      <c r="D15" s="14">
        <v>0.27</v>
      </c>
      <c r="E15" s="14">
        <v>0.18</v>
      </c>
      <c r="F15" s="14">
        <v>0.25</v>
      </c>
      <c r="G15" s="14">
        <v>0.34</v>
      </c>
      <c r="H15" s="14">
        <v>0.3</v>
      </c>
      <c r="I15" s="14">
        <v>0.28999999999999998</v>
      </c>
      <c r="J15" s="14">
        <v>0.26</v>
      </c>
      <c r="K15" s="14">
        <v>0.24</v>
      </c>
      <c r="L15" s="14">
        <v>0.18</v>
      </c>
      <c r="M15" s="14">
        <v>0.21</v>
      </c>
      <c r="N15" s="14">
        <v>0.2</v>
      </c>
      <c r="O15" s="14">
        <v>0.26</v>
      </c>
      <c r="P15" s="14">
        <v>0.16</v>
      </c>
      <c r="Q15" s="14">
        <v>0.19</v>
      </c>
      <c r="R15" s="14">
        <v>0.32</v>
      </c>
      <c r="S15" s="14">
        <v>0.26</v>
      </c>
      <c r="T15" s="14">
        <v>0.35</v>
      </c>
      <c r="U15" s="14">
        <v>0.31</v>
      </c>
      <c r="V15" s="14">
        <v>0.21</v>
      </c>
      <c r="W15" s="14">
        <v>0.18</v>
      </c>
      <c r="X15" s="14">
        <v>0.32</v>
      </c>
      <c r="Y15" s="14">
        <v>0.19</v>
      </c>
      <c r="Z15" s="14">
        <v>0.27</v>
      </c>
      <c r="AA15" s="14">
        <v>0.21</v>
      </c>
      <c r="AB15" s="14">
        <v>0.21</v>
      </c>
      <c r="AC15" s="14">
        <v>0.15</v>
      </c>
      <c r="AD15" s="14">
        <v>0.21</v>
      </c>
      <c r="AE15" s="14">
        <v>0.34</v>
      </c>
      <c r="AF15" s="14">
        <v>0.24</v>
      </c>
    </row>
    <row r="16" spans="1:32" ht="21.5" x14ac:dyDescent="0.35">
      <c r="A16" s="31"/>
      <c r="B16" s="11" t="s">
        <v>522</v>
      </c>
      <c r="C16" s="12">
        <v>3017</v>
      </c>
      <c r="D16" s="12">
        <v>91</v>
      </c>
      <c r="E16" s="12">
        <v>116</v>
      </c>
      <c r="F16" s="12">
        <v>131</v>
      </c>
      <c r="G16" s="12">
        <v>143</v>
      </c>
      <c r="H16" s="12">
        <v>170</v>
      </c>
      <c r="I16" s="12">
        <v>203</v>
      </c>
      <c r="J16" s="12">
        <v>34</v>
      </c>
      <c r="K16" s="12">
        <v>128</v>
      </c>
      <c r="L16" s="12">
        <v>106</v>
      </c>
      <c r="M16" s="12">
        <v>140</v>
      </c>
      <c r="N16" s="12">
        <v>69</v>
      </c>
      <c r="O16" s="12">
        <v>99</v>
      </c>
      <c r="P16" s="12">
        <v>104</v>
      </c>
      <c r="Q16" s="12">
        <v>140</v>
      </c>
      <c r="R16" s="12">
        <v>57</v>
      </c>
      <c r="S16" s="12">
        <v>120</v>
      </c>
      <c r="T16" s="12">
        <v>165</v>
      </c>
      <c r="U16" s="12">
        <v>65</v>
      </c>
      <c r="V16" s="12">
        <v>94</v>
      </c>
      <c r="W16" s="12">
        <v>44</v>
      </c>
      <c r="X16" s="12">
        <v>81</v>
      </c>
      <c r="Y16" s="12">
        <v>137</v>
      </c>
      <c r="Z16" s="12">
        <v>134</v>
      </c>
      <c r="AA16" s="12">
        <v>57</v>
      </c>
      <c r="AB16" s="12">
        <v>118</v>
      </c>
      <c r="AC16" s="12">
        <v>74</v>
      </c>
      <c r="AD16" s="12">
        <v>129</v>
      </c>
      <c r="AE16" s="12">
        <v>153</v>
      </c>
      <c r="AF16" s="12">
        <v>171</v>
      </c>
    </row>
    <row r="17" spans="1:32" ht="21.5" x14ac:dyDescent="0.35">
      <c r="A17" s="31"/>
      <c r="B17" s="13" t="s">
        <v>523</v>
      </c>
      <c r="C17" s="14">
        <v>0.12</v>
      </c>
      <c r="D17" s="14">
        <v>0.09</v>
      </c>
      <c r="E17" s="14">
        <v>0.12</v>
      </c>
      <c r="F17" s="14">
        <v>0.14000000000000001</v>
      </c>
      <c r="G17" s="14">
        <v>0.15</v>
      </c>
      <c r="H17" s="14">
        <v>0.15</v>
      </c>
      <c r="I17" s="14">
        <v>0.15</v>
      </c>
      <c r="J17" s="14">
        <v>0.12</v>
      </c>
      <c r="K17" s="14">
        <v>0.14000000000000001</v>
      </c>
      <c r="L17" s="14">
        <v>0.11</v>
      </c>
      <c r="M17" s="14">
        <v>0.15</v>
      </c>
      <c r="N17" s="14">
        <v>0.08</v>
      </c>
      <c r="O17" s="14">
        <v>0.11</v>
      </c>
      <c r="P17" s="14">
        <v>0.11</v>
      </c>
      <c r="Q17" s="14">
        <v>0.15</v>
      </c>
      <c r="R17" s="14">
        <v>0.12</v>
      </c>
      <c r="S17" s="14">
        <v>0.13</v>
      </c>
      <c r="T17" s="14">
        <v>0.18</v>
      </c>
      <c r="U17" s="14">
        <v>0.14000000000000001</v>
      </c>
      <c r="V17" s="14">
        <v>0.1</v>
      </c>
      <c r="W17" s="14">
        <v>0.09</v>
      </c>
      <c r="X17" s="14">
        <v>0.09</v>
      </c>
      <c r="Y17" s="14">
        <v>0.15</v>
      </c>
      <c r="Z17" s="14">
        <v>0.15</v>
      </c>
      <c r="AA17" s="14">
        <v>0.06</v>
      </c>
      <c r="AB17" s="14">
        <v>0.12</v>
      </c>
      <c r="AC17" s="14">
        <v>0.08</v>
      </c>
      <c r="AD17" s="14">
        <v>0.14000000000000001</v>
      </c>
      <c r="AE17" s="14">
        <v>0.17</v>
      </c>
      <c r="AF17" s="14">
        <v>0.18</v>
      </c>
    </row>
    <row r="18" spans="1:32" ht="31.5" x14ac:dyDescent="0.35">
      <c r="A18" s="31"/>
      <c r="B18" s="11" t="s">
        <v>524</v>
      </c>
      <c r="C18" s="12">
        <v>1546</v>
      </c>
      <c r="D18" s="12">
        <v>62</v>
      </c>
      <c r="E18" s="12">
        <v>55</v>
      </c>
      <c r="F18" s="12">
        <v>56</v>
      </c>
      <c r="G18" s="12">
        <v>66</v>
      </c>
      <c r="H18" s="12">
        <v>92</v>
      </c>
      <c r="I18" s="12">
        <v>105</v>
      </c>
      <c r="J18" s="12">
        <v>14</v>
      </c>
      <c r="K18" s="12">
        <v>64</v>
      </c>
      <c r="L18" s="12">
        <v>39</v>
      </c>
      <c r="M18" s="12">
        <v>50</v>
      </c>
      <c r="N18" s="12">
        <v>45</v>
      </c>
      <c r="O18" s="12">
        <v>43</v>
      </c>
      <c r="P18" s="12">
        <v>72</v>
      </c>
      <c r="Q18" s="12">
        <v>69</v>
      </c>
      <c r="R18" s="12">
        <v>23</v>
      </c>
      <c r="S18" s="12">
        <v>71</v>
      </c>
      <c r="T18" s="12">
        <v>168</v>
      </c>
      <c r="U18" s="12">
        <v>34</v>
      </c>
      <c r="V18" s="12">
        <v>70</v>
      </c>
      <c r="W18" s="12">
        <v>33</v>
      </c>
      <c r="X18" s="12">
        <v>30</v>
      </c>
      <c r="Y18" s="12">
        <v>84</v>
      </c>
      <c r="Z18" s="12">
        <v>74</v>
      </c>
      <c r="AA18" s="12">
        <v>50</v>
      </c>
      <c r="AB18" s="12">
        <v>81</v>
      </c>
      <c r="AC18" s="12">
        <v>55</v>
      </c>
      <c r="AD18" s="12">
        <v>77</v>
      </c>
      <c r="AE18" s="12">
        <v>36</v>
      </c>
      <c r="AF18" s="12">
        <v>24</v>
      </c>
    </row>
    <row r="19" spans="1:32" ht="21.5" x14ac:dyDescent="0.35">
      <c r="A19" s="31"/>
      <c r="B19" s="13" t="s">
        <v>525</v>
      </c>
      <c r="C19" s="14">
        <v>0.06</v>
      </c>
      <c r="D19" s="14">
        <v>0.06</v>
      </c>
      <c r="E19" s="14">
        <v>0.06</v>
      </c>
      <c r="F19" s="14">
        <v>0.06</v>
      </c>
      <c r="G19" s="14">
        <v>7.0000000000000007E-2</v>
      </c>
      <c r="H19" s="14">
        <v>0.08</v>
      </c>
      <c r="I19" s="14">
        <v>7.0000000000000007E-2</v>
      </c>
      <c r="J19" s="14">
        <v>0.05</v>
      </c>
      <c r="K19" s="14">
        <v>7.0000000000000007E-2</v>
      </c>
      <c r="L19" s="14">
        <v>0.04</v>
      </c>
      <c r="M19" s="14">
        <v>0.05</v>
      </c>
      <c r="N19" s="14">
        <v>0.05</v>
      </c>
      <c r="O19" s="14">
        <v>0.05</v>
      </c>
      <c r="P19" s="14">
        <v>0.08</v>
      </c>
      <c r="Q19" s="14">
        <v>7.0000000000000007E-2</v>
      </c>
      <c r="R19" s="14">
        <v>0.05</v>
      </c>
      <c r="S19" s="14">
        <v>7.0000000000000007E-2</v>
      </c>
      <c r="T19" s="14">
        <v>0.18</v>
      </c>
      <c r="U19" s="14">
        <v>7.0000000000000007E-2</v>
      </c>
      <c r="V19" s="14">
        <v>7.0000000000000007E-2</v>
      </c>
      <c r="W19" s="14">
        <v>7.0000000000000007E-2</v>
      </c>
      <c r="X19" s="14">
        <v>0.03</v>
      </c>
      <c r="Y19" s="14">
        <v>0.09</v>
      </c>
      <c r="Z19" s="14">
        <v>0.08</v>
      </c>
      <c r="AA19" s="14">
        <v>0.05</v>
      </c>
      <c r="AB19" s="14">
        <v>0.08</v>
      </c>
      <c r="AC19" s="14">
        <v>0.06</v>
      </c>
      <c r="AD19" s="14">
        <v>0.08</v>
      </c>
      <c r="AE19" s="14">
        <v>0.04</v>
      </c>
      <c r="AF19" s="14">
        <v>0.02</v>
      </c>
    </row>
    <row r="20" spans="1:32" ht="31.5" x14ac:dyDescent="0.35">
      <c r="A20" s="31"/>
      <c r="B20" s="11" t="s">
        <v>526</v>
      </c>
      <c r="C20" s="12">
        <v>2304</v>
      </c>
      <c r="D20" s="12">
        <v>88</v>
      </c>
      <c r="E20" s="12">
        <v>93</v>
      </c>
      <c r="F20" s="12">
        <v>87</v>
      </c>
      <c r="G20" s="12">
        <v>97</v>
      </c>
      <c r="H20" s="12">
        <v>98</v>
      </c>
      <c r="I20" s="12">
        <v>116</v>
      </c>
      <c r="J20" s="12">
        <v>18</v>
      </c>
      <c r="K20" s="12">
        <v>104</v>
      </c>
      <c r="L20" s="12">
        <v>89</v>
      </c>
      <c r="M20" s="12">
        <v>92</v>
      </c>
      <c r="N20" s="12">
        <v>72</v>
      </c>
      <c r="O20" s="12">
        <v>59</v>
      </c>
      <c r="P20" s="12">
        <v>85</v>
      </c>
      <c r="Q20" s="12">
        <v>120</v>
      </c>
      <c r="R20" s="12">
        <v>48</v>
      </c>
      <c r="S20" s="12">
        <v>66</v>
      </c>
      <c r="T20" s="12">
        <v>79</v>
      </c>
      <c r="U20" s="12">
        <v>63</v>
      </c>
      <c r="V20" s="12">
        <v>101</v>
      </c>
      <c r="W20" s="12">
        <v>79</v>
      </c>
      <c r="X20" s="12">
        <v>158</v>
      </c>
      <c r="Y20" s="12">
        <v>129</v>
      </c>
      <c r="Z20" s="12">
        <v>84</v>
      </c>
      <c r="AA20" s="12">
        <v>85</v>
      </c>
      <c r="AB20" s="12">
        <v>89</v>
      </c>
      <c r="AC20" s="12">
        <v>98</v>
      </c>
      <c r="AD20" s="12">
        <v>83</v>
      </c>
      <c r="AE20" s="12">
        <v>88</v>
      </c>
      <c r="AF20" s="12">
        <v>118</v>
      </c>
    </row>
    <row r="21" spans="1:32" ht="31.5" x14ac:dyDescent="0.35">
      <c r="A21" s="31"/>
      <c r="B21" s="13" t="s">
        <v>527</v>
      </c>
      <c r="C21" s="14">
        <v>0.09</v>
      </c>
      <c r="D21" s="14">
        <v>0.09</v>
      </c>
      <c r="E21" s="14">
        <v>0.1</v>
      </c>
      <c r="F21" s="14">
        <v>0.09</v>
      </c>
      <c r="G21" s="14">
        <v>0.1</v>
      </c>
      <c r="H21" s="14">
        <v>0.08</v>
      </c>
      <c r="I21" s="14">
        <v>0.08</v>
      </c>
      <c r="J21" s="14">
        <v>0.06</v>
      </c>
      <c r="K21" s="14">
        <v>0.11</v>
      </c>
      <c r="L21" s="14">
        <v>0.09</v>
      </c>
      <c r="M21" s="14">
        <v>0.1</v>
      </c>
      <c r="N21" s="14">
        <v>0.08</v>
      </c>
      <c r="O21" s="14">
        <v>0.06</v>
      </c>
      <c r="P21" s="14">
        <v>0.09</v>
      </c>
      <c r="Q21" s="14">
        <v>0.12</v>
      </c>
      <c r="R21" s="14">
        <v>0.1</v>
      </c>
      <c r="S21" s="14">
        <v>7.0000000000000007E-2</v>
      </c>
      <c r="T21" s="14">
        <v>0.08</v>
      </c>
      <c r="U21" s="14">
        <v>0.13</v>
      </c>
      <c r="V21" s="14">
        <v>0.1</v>
      </c>
      <c r="W21" s="14">
        <v>0.17</v>
      </c>
      <c r="X21" s="14">
        <v>0.17</v>
      </c>
      <c r="Y21" s="14">
        <v>0.14000000000000001</v>
      </c>
      <c r="Z21" s="14">
        <v>0.09</v>
      </c>
      <c r="AA21" s="14">
        <v>0.09</v>
      </c>
      <c r="AB21" s="14">
        <v>0.09</v>
      </c>
      <c r="AC21" s="14">
        <v>0.1</v>
      </c>
      <c r="AD21" s="14">
        <v>0.09</v>
      </c>
      <c r="AE21" s="14">
        <v>0.09</v>
      </c>
      <c r="AF21" s="14">
        <v>0.12</v>
      </c>
    </row>
    <row r="22" spans="1:32" ht="41.5" x14ac:dyDescent="0.35">
      <c r="A22" s="31"/>
      <c r="B22" s="11" t="s">
        <v>548</v>
      </c>
      <c r="C22" s="12">
        <v>3648</v>
      </c>
      <c r="D22" s="12">
        <v>140</v>
      </c>
      <c r="E22" s="12">
        <v>143</v>
      </c>
      <c r="F22" s="12">
        <v>116</v>
      </c>
      <c r="G22" s="12">
        <v>239</v>
      </c>
      <c r="H22" s="12">
        <v>198</v>
      </c>
      <c r="I22" s="12">
        <v>239</v>
      </c>
      <c r="J22" s="12">
        <v>42</v>
      </c>
      <c r="K22" s="12">
        <v>89</v>
      </c>
      <c r="L22" s="12">
        <v>143</v>
      </c>
      <c r="M22" s="12">
        <v>132</v>
      </c>
      <c r="N22" s="12">
        <v>139</v>
      </c>
      <c r="O22" s="12">
        <v>130</v>
      </c>
      <c r="P22" s="12">
        <v>141</v>
      </c>
      <c r="Q22" s="12">
        <v>117</v>
      </c>
      <c r="R22" s="12">
        <v>74</v>
      </c>
      <c r="S22" s="12">
        <v>80</v>
      </c>
      <c r="T22" s="12">
        <v>103</v>
      </c>
      <c r="U22" s="12">
        <v>75</v>
      </c>
      <c r="V22" s="12">
        <v>144</v>
      </c>
      <c r="W22" s="12">
        <v>95</v>
      </c>
      <c r="X22" s="12">
        <v>182</v>
      </c>
      <c r="Y22" s="12">
        <v>169</v>
      </c>
      <c r="Z22" s="12">
        <v>108</v>
      </c>
      <c r="AA22" s="12">
        <v>156</v>
      </c>
      <c r="AB22" s="12">
        <v>143</v>
      </c>
      <c r="AC22" s="12">
        <v>113</v>
      </c>
      <c r="AD22" s="12">
        <v>146</v>
      </c>
      <c r="AE22" s="12">
        <v>148</v>
      </c>
      <c r="AF22" s="12">
        <v>192</v>
      </c>
    </row>
    <row r="23" spans="1:32" ht="31.5" x14ac:dyDescent="0.35">
      <c r="A23" s="31"/>
      <c r="B23" s="13" t="s">
        <v>529</v>
      </c>
      <c r="C23" s="14">
        <v>0.15</v>
      </c>
      <c r="D23" s="14">
        <v>0.15</v>
      </c>
      <c r="E23" s="14">
        <v>0.15</v>
      </c>
      <c r="F23" s="14">
        <v>0.12</v>
      </c>
      <c r="G23" s="14">
        <v>0.26</v>
      </c>
      <c r="H23" s="14">
        <v>0.18</v>
      </c>
      <c r="I23" s="14">
        <v>0.17</v>
      </c>
      <c r="J23" s="14">
        <v>0.15</v>
      </c>
      <c r="K23" s="14">
        <v>0.09</v>
      </c>
      <c r="L23" s="14">
        <v>0.16</v>
      </c>
      <c r="M23" s="14">
        <v>0.14000000000000001</v>
      </c>
      <c r="N23" s="14">
        <v>0.16</v>
      </c>
      <c r="O23" s="14">
        <v>0.15</v>
      </c>
      <c r="P23" s="14">
        <v>0.15</v>
      </c>
      <c r="Q23" s="14">
        <v>0.12</v>
      </c>
      <c r="R23" s="14">
        <v>0.17</v>
      </c>
      <c r="S23" s="14">
        <v>0.08</v>
      </c>
      <c r="T23" s="14">
        <v>0.11</v>
      </c>
      <c r="U23" s="14">
        <v>0.17</v>
      </c>
      <c r="V23" s="14">
        <v>0.16</v>
      </c>
      <c r="W23" s="14">
        <v>0.22</v>
      </c>
      <c r="X23" s="14">
        <v>0.21</v>
      </c>
      <c r="Y23" s="14">
        <v>0.19</v>
      </c>
      <c r="Z23" s="14">
        <v>0.12</v>
      </c>
      <c r="AA23" s="14">
        <v>0.18</v>
      </c>
      <c r="AB23" s="14">
        <v>0.15</v>
      </c>
      <c r="AC23" s="14">
        <v>0.12</v>
      </c>
      <c r="AD23" s="14">
        <v>0.16</v>
      </c>
      <c r="AE23" s="14">
        <v>0.17</v>
      </c>
      <c r="AF23" s="14">
        <v>0.24</v>
      </c>
    </row>
    <row r="24" spans="1:32" ht="21.5" x14ac:dyDescent="0.35">
      <c r="A24" s="31"/>
      <c r="B24" s="11" t="s">
        <v>530</v>
      </c>
      <c r="C24" s="12">
        <v>5007</v>
      </c>
      <c r="D24" s="12">
        <v>159</v>
      </c>
      <c r="E24" s="12">
        <v>243</v>
      </c>
      <c r="F24" s="12">
        <v>243</v>
      </c>
      <c r="G24" s="12">
        <v>178</v>
      </c>
      <c r="H24" s="12">
        <v>236</v>
      </c>
      <c r="I24" s="12">
        <v>290</v>
      </c>
      <c r="J24" s="12">
        <v>54</v>
      </c>
      <c r="K24" s="12">
        <v>207</v>
      </c>
      <c r="L24" s="12">
        <v>153</v>
      </c>
      <c r="M24" s="12">
        <v>204</v>
      </c>
      <c r="N24" s="12">
        <v>179</v>
      </c>
      <c r="O24" s="12">
        <v>185</v>
      </c>
      <c r="P24" s="12">
        <v>236</v>
      </c>
      <c r="Q24" s="12">
        <v>248</v>
      </c>
      <c r="R24" s="12">
        <v>65</v>
      </c>
      <c r="S24" s="12">
        <v>218</v>
      </c>
      <c r="T24" s="12">
        <v>189</v>
      </c>
      <c r="U24" s="12">
        <v>85</v>
      </c>
      <c r="V24" s="12">
        <v>208</v>
      </c>
      <c r="W24" s="12">
        <v>61</v>
      </c>
      <c r="X24" s="12">
        <v>103</v>
      </c>
      <c r="Y24" s="12">
        <v>184</v>
      </c>
      <c r="Z24" s="12">
        <v>169</v>
      </c>
      <c r="AA24" s="12">
        <v>212</v>
      </c>
      <c r="AB24" s="12">
        <v>191</v>
      </c>
      <c r="AC24" s="12">
        <v>202</v>
      </c>
      <c r="AD24" s="12">
        <v>184</v>
      </c>
      <c r="AE24" s="12">
        <v>208</v>
      </c>
      <c r="AF24" s="12">
        <v>156</v>
      </c>
    </row>
    <row r="25" spans="1:32" ht="21.5" x14ac:dyDescent="0.35">
      <c r="A25" s="31"/>
      <c r="B25" s="13" t="s">
        <v>531</v>
      </c>
      <c r="C25" s="14">
        <v>0.22</v>
      </c>
      <c r="D25" s="14">
        <v>0.17</v>
      </c>
      <c r="E25" s="14">
        <v>0.28999999999999998</v>
      </c>
      <c r="F25" s="14">
        <v>0.3</v>
      </c>
      <c r="G25" s="14">
        <v>0.19</v>
      </c>
      <c r="H25" s="14">
        <v>0.23</v>
      </c>
      <c r="I25" s="14">
        <v>0.23</v>
      </c>
      <c r="J25" s="14">
        <v>0.23</v>
      </c>
      <c r="K25" s="14">
        <v>0.25</v>
      </c>
      <c r="L25" s="14">
        <v>0.17</v>
      </c>
      <c r="M25" s="14">
        <v>0.25</v>
      </c>
      <c r="N25" s="14">
        <v>0.22</v>
      </c>
      <c r="O25" s="14">
        <v>0.21</v>
      </c>
      <c r="P25" s="14">
        <v>0.28000000000000003</v>
      </c>
      <c r="Q25" s="14">
        <v>0.28000000000000003</v>
      </c>
      <c r="R25" s="14">
        <v>0.14000000000000001</v>
      </c>
      <c r="S25" s="14">
        <v>0.26</v>
      </c>
      <c r="T25" s="14">
        <v>0.21</v>
      </c>
      <c r="U25" s="14">
        <v>0.19</v>
      </c>
      <c r="V25" s="14">
        <v>0.24</v>
      </c>
      <c r="W25" s="14">
        <v>0.13</v>
      </c>
      <c r="X25" s="14">
        <v>0.12</v>
      </c>
      <c r="Y25" s="14">
        <v>0.21</v>
      </c>
      <c r="Z25" s="14">
        <v>0.19</v>
      </c>
      <c r="AA25" s="14">
        <v>0.26</v>
      </c>
      <c r="AB25" s="14">
        <v>0.21</v>
      </c>
      <c r="AC25" s="14">
        <v>0.24</v>
      </c>
      <c r="AD25" s="14">
        <v>0.22</v>
      </c>
      <c r="AE25" s="14">
        <v>0.25</v>
      </c>
      <c r="AF25" s="14">
        <v>0.17</v>
      </c>
    </row>
    <row r="26" spans="1:32" x14ac:dyDescent="0.35">
      <c r="A26" s="31"/>
      <c r="B26" s="11" t="s">
        <v>532</v>
      </c>
      <c r="C26" s="12">
        <v>2988</v>
      </c>
      <c r="D26" s="12">
        <v>116</v>
      </c>
      <c r="E26" s="12">
        <v>89</v>
      </c>
      <c r="F26" s="12">
        <v>133</v>
      </c>
      <c r="G26" s="12">
        <v>114</v>
      </c>
      <c r="H26" s="12">
        <v>197</v>
      </c>
      <c r="I26" s="12">
        <v>236</v>
      </c>
      <c r="J26" s="12">
        <v>39</v>
      </c>
      <c r="K26" s="12">
        <v>117</v>
      </c>
      <c r="L26" s="12">
        <v>139</v>
      </c>
      <c r="M26" s="12">
        <v>87</v>
      </c>
      <c r="N26" s="12">
        <v>119</v>
      </c>
      <c r="O26" s="12">
        <v>82</v>
      </c>
      <c r="P26" s="12">
        <v>114</v>
      </c>
      <c r="Q26" s="12">
        <v>127</v>
      </c>
      <c r="R26" s="12">
        <v>57</v>
      </c>
      <c r="S26" s="12">
        <v>104</v>
      </c>
      <c r="T26" s="12">
        <v>85</v>
      </c>
      <c r="U26" s="12">
        <v>79</v>
      </c>
      <c r="V26" s="12">
        <v>113</v>
      </c>
      <c r="W26" s="12">
        <v>40</v>
      </c>
      <c r="X26" s="12">
        <v>123</v>
      </c>
      <c r="Y26" s="12">
        <v>112</v>
      </c>
      <c r="Z26" s="12">
        <v>87</v>
      </c>
      <c r="AA26" s="12">
        <v>79</v>
      </c>
      <c r="AB26" s="12">
        <v>85</v>
      </c>
      <c r="AC26" s="12">
        <v>166</v>
      </c>
      <c r="AD26" s="12">
        <v>108</v>
      </c>
      <c r="AE26" s="12">
        <v>100</v>
      </c>
      <c r="AF26" s="12">
        <v>104</v>
      </c>
    </row>
    <row r="27" spans="1:32" x14ac:dyDescent="0.35">
      <c r="A27" s="31"/>
      <c r="B27" s="13" t="s">
        <v>533</v>
      </c>
      <c r="C27" s="14">
        <v>0.12</v>
      </c>
      <c r="D27" s="14">
        <v>0.12</v>
      </c>
      <c r="E27" s="14">
        <v>0.09</v>
      </c>
      <c r="F27" s="14">
        <v>0.14000000000000001</v>
      </c>
      <c r="G27" s="14">
        <v>0.12</v>
      </c>
      <c r="H27" s="14">
        <v>0.17</v>
      </c>
      <c r="I27" s="14">
        <v>0.17</v>
      </c>
      <c r="J27" s="14">
        <v>0.14000000000000001</v>
      </c>
      <c r="K27" s="14">
        <v>0.12</v>
      </c>
      <c r="L27" s="14">
        <v>0.15</v>
      </c>
      <c r="M27" s="14">
        <v>0.09</v>
      </c>
      <c r="N27" s="14">
        <v>0.13</v>
      </c>
      <c r="O27" s="14">
        <v>0.09</v>
      </c>
      <c r="P27" s="14">
        <v>0.12</v>
      </c>
      <c r="Q27" s="14">
        <v>0.13</v>
      </c>
      <c r="R27" s="14">
        <v>0.12</v>
      </c>
      <c r="S27" s="14">
        <v>0.11</v>
      </c>
      <c r="T27" s="14">
        <v>0.09</v>
      </c>
      <c r="U27" s="14">
        <v>0.16</v>
      </c>
      <c r="V27" s="14">
        <v>0.12</v>
      </c>
      <c r="W27" s="14">
        <v>0.08</v>
      </c>
      <c r="X27" s="14">
        <v>0.13</v>
      </c>
      <c r="Y27" s="14">
        <v>0.12</v>
      </c>
      <c r="Z27" s="14">
        <v>0.09</v>
      </c>
      <c r="AA27" s="14">
        <v>0.08</v>
      </c>
      <c r="AB27" s="14">
        <v>0.08</v>
      </c>
      <c r="AC27" s="14">
        <v>0.17</v>
      </c>
      <c r="AD27" s="14">
        <v>0.11</v>
      </c>
      <c r="AE27" s="14">
        <v>0.1</v>
      </c>
      <c r="AF27" s="14">
        <v>0.11</v>
      </c>
    </row>
    <row r="28" spans="1:32" x14ac:dyDescent="0.35">
      <c r="A28" s="31"/>
      <c r="B28" s="11" t="s">
        <v>534</v>
      </c>
      <c r="C28" s="12">
        <v>1305</v>
      </c>
      <c r="D28" s="12">
        <v>86</v>
      </c>
      <c r="E28" s="12">
        <v>51</v>
      </c>
      <c r="F28" s="12">
        <v>23</v>
      </c>
      <c r="G28" s="12">
        <v>19</v>
      </c>
      <c r="H28" s="12">
        <v>76</v>
      </c>
      <c r="I28" s="12">
        <v>98</v>
      </c>
      <c r="J28" s="12">
        <v>22</v>
      </c>
      <c r="K28" s="12">
        <v>56</v>
      </c>
      <c r="L28" s="12">
        <v>91</v>
      </c>
      <c r="M28" s="12">
        <v>59</v>
      </c>
      <c r="N28" s="12">
        <v>41</v>
      </c>
      <c r="O28" s="12">
        <v>42</v>
      </c>
      <c r="P28" s="12">
        <v>59</v>
      </c>
      <c r="Q28" s="12">
        <v>58</v>
      </c>
      <c r="R28" s="12">
        <v>29</v>
      </c>
      <c r="S28" s="12">
        <v>45</v>
      </c>
      <c r="T28" s="12">
        <v>28</v>
      </c>
      <c r="U28" s="12">
        <v>39</v>
      </c>
      <c r="V28" s="12">
        <v>67</v>
      </c>
      <c r="W28" s="12">
        <v>28</v>
      </c>
      <c r="X28" s="12">
        <v>55</v>
      </c>
      <c r="Y28" s="12">
        <v>68</v>
      </c>
      <c r="Z28" s="12">
        <v>13</v>
      </c>
      <c r="AA28" s="12">
        <v>65</v>
      </c>
      <c r="AB28" s="12">
        <v>55</v>
      </c>
      <c r="AC28" s="12">
        <v>92</v>
      </c>
      <c r="AD28" s="12">
        <v>77</v>
      </c>
      <c r="AE28" s="12">
        <v>15</v>
      </c>
      <c r="AF28" s="12">
        <v>15</v>
      </c>
    </row>
    <row r="29" spans="1:32" x14ac:dyDescent="0.35">
      <c r="A29" s="31"/>
      <c r="B29" s="13" t="s">
        <v>535</v>
      </c>
      <c r="C29" s="14">
        <v>0.05</v>
      </c>
      <c r="D29" s="14">
        <v>0.09</v>
      </c>
      <c r="E29" s="14">
        <v>0.05</v>
      </c>
      <c r="F29" s="14">
        <v>0.02</v>
      </c>
      <c r="G29" s="14">
        <v>0.02</v>
      </c>
      <c r="H29" s="14">
        <v>0.06</v>
      </c>
      <c r="I29" s="14">
        <v>7.0000000000000007E-2</v>
      </c>
      <c r="J29" s="14">
        <v>0.08</v>
      </c>
      <c r="K29" s="14">
        <v>0.06</v>
      </c>
      <c r="L29" s="14">
        <v>0.1</v>
      </c>
      <c r="M29" s="14">
        <v>0.06</v>
      </c>
      <c r="N29" s="14">
        <v>0.04</v>
      </c>
      <c r="O29" s="14">
        <v>0.05</v>
      </c>
      <c r="P29" s="14">
        <v>0.06</v>
      </c>
      <c r="Q29" s="14">
        <v>0.06</v>
      </c>
      <c r="R29" s="14">
        <v>0.06</v>
      </c>
      <c r="S29" s="14">
        <v>0.05</v>
      </c>
      <c r="T29" s="14">
        <v>0.03</v>
      </c>
      <c r="U29" s="14">
        <v>0.08</v>
      </c>
      <c r="V29" s="14">
        <v>7.0000000000000007E-2</v>
      </c>
      <c r="W29" s="14">
        <v>0.06</v>
      </c>
      <c r="X29" s="14">
        <v>0.06</v>
      </c>
      <c r="Y29" s="14">
        <v>7.0000000000000007E-2</v>
      </c>
      <c r="Z29" s="14">
        <v>0.01</v>
      </c>
      <c r="AA29" s="14">
        <v>7.0000000000000007E-2</v>
      </c>
      <c r="AB29" s="14">
        <v>0.06</v>
      </c>
      <c r="AC29" s="14">
        <v>0.1</v>
      </c>
      <c r="AD29" s="14">
        <v>0.08</v>
      </c>
      <c r="AE29" s="14">
        <v>0.02</v>
      </c>
      <c r="AF29" s="14">
        <v>0.02</v>
      </c>
    </row>
    <row r="30" spans="1:32" ht="31.5" x14ac:dyDescent="0.35">
      <c r="A30" s="31"/>
      <c r="B30" s="11" t="s">
        <v>549</v>
      </c>
      <c r="C30" s="12">
        <v>3050</v>
      </c>
      <c r="D30" s="12">
        <v>129</v>
      </c>
      <c r="E30" s="12">
        <v>72</v>
      </c>
      <c r="F30" s="12">
        <v>72</v>
      </c>
      <c r="G30" s="12">
        <v>172</v>
      </c>
      <c r="H30" s="12">
        <v>124</v>
      </c>
      <c r="I30" s="12">
        <v>158</v>
      </c>
      <c r="J30" s="12">
        <v>34</v>
      </c>
      <c r="K30" s="12">
        <v>53</v>
      </c>
      <c r="L30" s="12">
        <v>134</v>
      </c>
      <c r="M30" s="12">
        <v>118</v>
      </c>
      <c r="N30" s="12">
        <v>90</v>
      </c>
      <c r="O30" s="12">
        <v>139</v>
      </c>
      <c r="P30" s="12">
        <v>116</v>
      </c>
      <c r="Q30" s="12">
        <v>128</v>
      </c>
      <c r="R30" s="12">
        <v>26</v>
      </c>
      <c r="S30" s="12">
        <v>25</v>
      </c>
      <c r="T30" s="12">
        <v>62</v>
      </c>
      <c r="U30" s="12">
        <v>48</v>
      </c>
      <c r="V30" s="12">
        <v>118</v>
      </c>
      <c r="W30" s="12">
        <v>78</v>
      </c>
      <c r="X30" s="12">
        <v>186</v>
      </c>
      <c r="Y30" s="12">
        <v>149</v>
      </c>
      <c r="Z30" s="12">
        <v>91</v>
      </c>
      <c r="AA30" s="12">
        <v>140</v>
      </c>
      <c r="AB30" s="12">
        <v>67</v>
      </c>
      <c r="AC30" s="12">
        <v>78</v>
      </c>
      <c r="AD30" s="12">
        <v>100</v>
      </c>
      <c r="AE30" s="12">
        <v>127</v>
      </c>
      <c r="AF30" s="12">
        <v>241</v>
      </c>
    </row>
    <row r="31" spans="1:32" ht="21.5" x14ac:dyDescent="0.35">
      <c r="A31" s="31"/>
      <c r="B31" s="13" t="s">
        <v>537</v>
      </c>
      <c r="C31" s="14">
        <v>0.12</v>
      </c>
      <c r="D31" s="14">
        <v>0.13</v>
      </c>
      <c r="E31" s="14">
        <v>7.0000000000000007E-2</v>
      </c>
      <c r="F31" s="14">
        <v>7.0000000000000007E-2</v>
      </c>
      <c r="G31" s="14">
        <v>0.19</v>
      </c>
      <c r="H31" s="14">
        <v>0.11</v>
      </c>
      <c r="I31" s="14">
        <v>0.11</v>
      </c>
      <c r="J31" s="14">
        <v>0.12</v>
      </c>
      <c r="K31" s="14">
        <v>0.05</v>
      </c>
      <c r="L31" s="14">
        <v>0.15</v>
      </c>
      <c r="M31" s="14">
        <v>0.13</v>
      </c>
      <c r="N31" s="14">
        <v>0.1</v>
      </c>
      <c r="O31" s="14">
        <v>0.15</v>
      </c>
      <c r="P31" s="14">
        <v>0.12</v>
      </c>
      <c r="Q31" s="14">
        <v>0.13</v>
      </c>
      <c r="R31" s="14">
        <v>0.05</v>
      </c>
      <c r="S31" s="14">
        <v>0.02</v>
      </c>
      <c r="T31" s="14">
        <v>0.06</v>
      </c>
      <c r="U31" s="14">
        <v>0.1</v>
      </c>
      <c r="V31" s="14">
        <v>0.12</v>
      </c>
      <c r="W31" s="14">
        <v>0.16</v>
      </c>
      <c r="X31" s="14">
        <v>0.2</v>
      </c>
      <c r="Y31" s="14">
        <v>0.16</v>
      </c>
      <c r="Z31" s="14">
        <v>0.1</v>
      </c>
      <c r="AA31" s="14">
        <v>0.15</v>
      </c>
      <c r="AB31" s="14">
        <v>7.0000000000000007E-2</v>
      </c>
      <c r="AC31" s="14">
        <v>0.08</v>
      </c>
      <c r="AD31" s="14">
        <v>0.1</v>
      </c>
      <c r="AE31" s="14">
        <v>0.13</v>
      </c>
      <c r="AF31" s="14">
        <v>0.26</v>
      </c>
    </row>
    <row r="32" spans="1:32" ht="21.5" x14ac:dyDescent="0.35">
      <c r="A32" s="31"/>
      <c r="B32" s="11" t="s">
        <v>538</v>
      </c>
      <c r="C32" s="12">
        <v>4112</v>
      </c>
      <c r="D32" s="12">
        <v>183</v>
      </c>
      <c r="E32" s="12">
        <v>202</v>
      </c>
      <c r="F32" s="12">
        <v>169</v>
      </c>
      <c r="G32" s="12">
        <v>111</v>
      </c>
      <c r="H32" s="12">
        <v>99</v>
      </c>
      <c r="I32" s="12">
        <v>140</v>
      </c>
      <c r="J32" s="12">
        <v>41</v>
      </c>
      <c r="K32" s="12">
        <v>147</v>
      </c>
      <c r="L32" s="12">
        <v>143</v>
      </c>
      <c r="M32" s="12">
        <v>208</v>
      </c>
      <c r="N32" s="12">
        <v>131</v>
      </c>
      <c r="O32" s="12">
        <v>179</v>
      </c>
      <c r="P32" s="12">
        <v>213</v>
      </c>
      <c r="Q32" s="12">
        <v>154</v>
      </c>
      <c r="R32" s="12">
        <v>79</v>
      </c>
      <c r="S32" s="12">
        <v>113</v>
      </c>
      <c r="T32" s="12">
        <v>137</v>
      </c>
      <c r="U32" s="12">
        <v>62</v>
      </c>
      <c r="V32" s="12">
        <v>233</v>
      </c>
      <c r="W32" s="12">
        <v>85</v>
      </c>
      <c r="X32" s="12">
        <v>141</v>
      </c>
      <c r="Y32" s="12">
        <v>165</v>
      </c>
      <c r="Z32" s="12">
        <v>200</v>
      </c>
      <c r="AA32" s="12">
        <v>202</v>
      </c>
      <c r="AB32" s="12">
        <v>230</v>
      </c>
      <c r="AC32" s="12">
        <v>247</v>
      </c>
      <c r="AD32" s="12">
        <v>232</v>
      </c>
      <c r="AE32" s="12">
        <v>177</v>
      </c>
      <c r="AF32" s="12">
        <v>187</v>
      </c>
    </row>
    <row r="33" spans="1:32" x14ac:dyDescent="0.35">
      <c r="A33" s="31"/>
      <c r="B33" s="13" t="s">
        <v>539</v>
      </c>
      <c r="C33" s="14">
        <v>0.17</v>
      </c>
      <c r="D33" s="14">
        <v>0.19</v>
      </c>
      <c r="E33" s="14">
        <v>0.22</v>
      </c>
      <c r="F33" s="14">
        <v>0.18</v>
      </c>
      <c r="G33" s="14">
        <v>0.11</v>
      </c>
      <c r="H33" s="14">
        <v>0.09</v>
      </c>
      <c r="I33" s="14">
        <v>0.1</v>
      </c>
      <c r="J33" s="14">
        <v>0.15</v>
      </c>
      <c r="K33" s="14">
        <v>0.16</v>
      </c>
      <c r="L33" s="14">
        <v>0.16</v>
      </c>
      <c r="M33" s="14">
        <v>0.23</v>
      </c>
      <c r="N33" s="14">
        <v>0.15</v>
      </c>
      <c r="O33" s="14">
        <v>0.2</v>
      </c>
      <c r="P33" s="14">
        <v>0.24</v>
      </c>
      <c r="Q33" s="14">
        <v>0.16</v>
      </c>
      <c r="R33" s="14">
        <v>0.17</v>
      </c>
      <c r="S33" s="14">
        <v>0.12</v>
      </c>
      <c r="T33" s="14">
        <v>0.15</v>
      </c>
      <c r="U33" s="14">
        <v>0.13</v>
      </c>
      <c r="V33" s="14">
        <v>0.26</v>
      </c>
      <c r="W33" s="14">
        <v>0.18</v>
      </c>
      <c r="X33" s="14">
        <v>0.15</v>
      </c>
      <c r="Y33" s="14">
        <v>0.18</v>
      </c>
      <c r="Z33" s="14">
        <v>0.23</v>
      </c>
      <c r="AA33" s="14">
        <v>0.23</v>
      </c>
      <c r="AB33" s="14">
        <v>0.25</v>
      </c>
      <c r="AC33" s="14">
        <v>0.28999999999999998</v>
      </c>
      <c r="AD33" s="14">
        <v>0.26</v>
      </c>
      <c r="AE33" s="14">
        <v>0.19</v>
      </c>
      <c r="AF33" s="14">
        <v>0.2</v>
      </c>
    </row>
    <row r="34" spans="1:32" x14ac:dyDescent="0.35">
      <c r="A34" s="31"/>
      <c r="B34" s="11" t="s">
        <v>540</v>
      </c>
      <c r="C34" s="12">
        <v>4257</v>
      </c>
      <c r="D34" s="12">
        <v>179</v>
      </c>
      <c r="E34" s="12">
        <v>131</v>
      </c>
      <c r="F34" s="12">
        <v>132</v>
      </c>
      <c r="G34" s="12">
        <v>146</v>
      </c>
      <c r="H34" s="12">
        <v>215</v>
      </c>
      <c r="I34" s="12">
        <v>274</v>
      </c>
      <c r="J34" s="12">
        <v>58</v>
      </c>
      <c r="K34" s="12">
        <v>170</v>
      </c>
      <c r="L34" s="12">
        <v>190</v>
      </c>
      <c r="M34" s="12">
        <v>182</v>
      </c>
      <c r="N34" s="12">
        <v>247</v>
      </c>
      <c r="O34" s="12">
        <v>167</v>
      </c>
      <c r="P34" s="12">
        <v>131</v>
      </c>
      <c r="Q34" s="12">
        <v>132</v>
      </c>
      <c r="R34" s="12">
        <v>91</v>
      </c>
      <c r="S34" s="12">
        <v>161</v>
      </c>
      <c r="T34" s="12">
        <v>137</v>
      </c>
      <c r="U34" s="12">
        <v>79</v>
      </c>
      <c r="V34" s="12">
        <v>102</v>
      </c>
      <c r="W34" s="12">
        <v>99</v>
      </c>
      <c r="X34" s="12">
        <v>162</v>
      </c>
      <c r="Y34" s="12">
        <v>147</v>
      </c>
      <c r="Z34" s="12">
        <v>95</v>
      </c>
      <c r="AA34" s="12">
        <v>153</v>
      </c>
      <c r="AB34" s="12">
        <v>136</v>
      </c>
      <c r="AC34" s="12">
        <v>127</v>
      </c>
      <c r="AD34" s="12">
        <v>147</v>
      </c>
      <c r="AE34" s="12">
        <v>167</v>
      </c>
      <c r="AF34" s="12">
        <v>193</v>
      </c>
    </row>
    <row r="35" spans="1:32" x14ac:dyDescent="0.35">
      <c r="A35" s="31"/>
      <c r="B35" s="13" t="s">
        <v>541</v>
      </c>
      <c r="C35" s="14">
        <v>0.18</v>
      </c>
      <c r="D35" s="14">
        <v>0.19</v>
      </c>
      <c r="E35" s="14">
        <v>0.14000000000000001</v>
      </c>
      <c r="F35" s="14">
        <v>0.14000000000000001</v>
      </c>
      <c r="G35" s="14">
        <v>0.15</v>
      </c>
      <c r="H35" s="14">
        <v>0.19</v>
      </c>
      <c r="I35" s="14">
        <v>0.2</v>
      </c>
      <c r="J35" s="14">
        <v>0.22</v>
      </c>
      <c r="K35" s="14">
        <v>0.19</v>
      </c>
      <c r="L35" s="14">
        <v>0.21</v>
      </c>
      <c r="M35" s="14">
        <v>0.2</v>
      </c>
      <c r="N35" s="14">
        <v>0.31</v>
      </c>
      <c r="O35" s="14">
        <v>0.2</v>
      </c>
      <c r="P35" s="14">
        <v>0.14000000000000001</v>
      </c>
      <c r="Q35" s="14">
        <v>0.14000000000000001</v>
      </c>
      <c r="R35" s="14">
        <v>0.22</v>
      </c>
      <c r="S35" s="14">
        <v>0.18</v>
      </c>
      <c r="T35" s="14">
        <v>0.15</v>
      </c>
      <c r="U35" s="14">
        <v>0.17</v>
      </c>
      <c r="V35" s="14">
        <v>0.11</v>
      </c>
      <c r="W35" s="14">
        <v>0.22</v>
      </c>
      <c r="X35" s="14">
        <v>0.17</v>
      </c>
      <c r="Y35" s="14">
        <v>0.16</v>
      </c>
      <c r="Z35" s="14">
        <v>0.1</v>
      </c>
      <c r="AA35" s="14">
        <v>0.16</v>
      </c>
      <c r="AB35" s="14">
        <v>0.14000000000000001</v>
      </c>
      <c r="AC35" s="14">
        <v>0.13</v>
      </c>
      <c r="AD35" s="14">
        <v>0.16</v>
      </c>
      <c r="AE35" s="14">
        <v>0.18</v>
      </c>
      <c r="AF35" s="14">
        <v>0.2</v>
      </c>
    </row>
    <row r="36" spans="1:32" ht="31.5" x14ac:dyDescent="0.35">
      <c r="A36" s="31"/>
      <c r="B36" s="11" t="s">
        <v>542</v>
      </c>
      <c r="C36" s="12">
        <v>2923</v>
      </c>
      <c r="D36" s="12">
        <v>84</v>
      </c>
      <c r="E36" s="12">
        <v>208</v>
      </c>
      <c r="F36" s="12">
        <v>122</v>
      </c>
      <c r="G36" s="12">
        <v>42</v>
      </c>
      <c r="H36" s="12">
        <v>123</v>
      </c>
      <c r="I36" s="12">
        <v>162</v>
      </c>
      <c r="J36" s="12">
        <v>39</v>
      </c>
      <c r="K36" s="12">
        <v>95</v>
      </c>
      <c r="L36" s="12">
        <v>110</v>
      </c>
      <c r="M36" s="12">
        <v>190</v>
      </c>
      <c r="N36" s="12">
        <v>104</v>
      </c>
      <c r="O36" s="12">
        <v>88</v>
      </c>
      <c r="P36" s="12">
        <v>196</v>
      </c>
      <c r="Q36" s="12">
        <v>125</v>
      </c>
      <c r="R36" s="12">
        <v>65</v>
      </c>
      <c r="S36" s="12">
        <v>151</v>
      </c>
      <c r="T36" s="12">
        <v>111</v>
      </c>
      <c r="U36" s="12">
        <v>47</v>
      </c>
      <c r="V36" s="12">
        <v>120</v>
      </c>
      <c r="W36" s="12">
        <v>45</v>
      </c>
      <c r="X36" s="12">
        <v>74</v>
      </c>
      <c r="Y36" s="12">
        <v>148</v>
      </c>
      <c r="Z36" s="12">
        <v>141</v>
      </c>
      <c r="AA36" s="12">
        <v>130</v>
      </c>
      <c r="AB36" s="12">
        <v>152</v>
      </c>
      <c r="AC36" s="12">
        <v>97</v>
      </c>
      <c r="AD36" s="12">
        <v>103</v>
      </c>
      <c r="AE36" s="12">
        <v>53</v>
      </c>
      <c r="AF36" s="12">
        <v>48</v>
      </c>
    </row>
    <row r="37" spans="1:32" ht="21.5" x14ac:dyDescent="0.35">
      <c r="A37" s="31"/>
      <c r="B37" s="13" t="s">
        <v>543</v>
      </c>
      <c r="C37" s="14">
        <v>0.12</v>
      </c>
      <c r="D37" s="14">
        <v>0.08</v>
      </c>
      <c r="E37" s="14">
        <v>0.24</v>
      </c>
      <c r="F37" s="14">
        <v>0.13</v>
      </c>
      <c r="G37" s="14">
        <v>0.04</v>
      </c>
      <c r="H37" s="14">
        <v>0.1</v>
      </c>
      <c r="I37" s="14">
        <v>0.11</v>
      </c>
      <c r="J37" s="14">
        <v>0.14000000000000001</v>
      </c>
      <c r="K37" s="14">
        <v>0.1</v>
      </c>
      <c r="L37" s="14">
        <v>0.12</v>
      </c>
      <c r="M37" s="14">
        <v>0.21</v>
      </c>
      <c r="N37" s="14">
        <v>0.11</v>
      </c>
      <c r="O37" s="14">
        <v>0.09</v>
      </c>
      <c r="P37" s="14">
        <v>0.22</v>
      </c>
      <c r="Q37" s="14">
        <v>0.13</v>
      </c>
      <c r="R37" s="14">
        <v>0.15</v>
      </c>
      <c r="S37" s="14">
        <v>0.17</v>
      </c>
      <c r="T37" s="14">
        <v>0.12</v>
      </c>
      <c r="U37" s="14">
        <v>0.09</v>
      </c>
      <c r="V37" s="14">
        <v>0.13</v>
      </c>
      <c r="W37" s="14">
        <v>0.09</v>
      </c>
      <c r="X37" s="14">
        <v>0.08</v>
      </c>
      <c r="Y37" s="14">
        <v>0.16</v>
      </c>
      <c r="Z37" s="14">
        <v>0.15</v>
      </c>
      <c r="AA37" s="14">
        <v>0.14000000000000001</v>
      </c>
      <c r="AB37" s="14">
        <v>0.16</v>
      </c>
      <c r="AC37" s="14">
        <v>0.1</v>
      </c>
      <c r="AD37" s="14">
        <v>0.11</v>
      </c>
      <c r="AE37" s="14">
        <v>0.05</v>
      </c>
      <c r="AF37" s="14">
        <v>0.05</v>
      </c>
    </row>
    <row r="38" spans="1:32" x14ac:dyDescent="0.35">
      <c r="A38" s="31"/>
      <c r="B38" s="11" t="s">
        <v>544</v>
      </c>
      <c r="C38" s="12">
        <v>1497</v>
      </c>
      <c r="D38" s="12">
        <v>60</v>
      </c>
      <c r="E38" s="12">
        <v>50</v>
      </c>
      <c r="F38" s="12">
        <v>39</v>
      </c>
      <c r="G38" s="12">
        <v>27</v>
      </c>
      <c r="H38" s="12">
        <v>52</v>
      </c>
      <c r="I38" s="12">
        <v>67</v>
      </c>
      <c r="J38" s="12">
        <v>14</v>
      </c>
      <c r="K38" s="12">
        <v>95</v>
      </c>
      <c r="L38" s="12">
        <v>65</v>
      </c>
      <c r="M38" s="12">
        <v>69</v>
      </c>
      <c r="N38" s="12">
        <v>72</v>
      </c>
      <c r="O38" s="12">
        <v>65</v>
      </c>
      <c r="P38" s="12">
        <v>42</v>
      </c>
      <c r="Q38" s="12">
        <v>83</v>
      </c>
      <c r="R38" s="12">
        <v>53</v>
      </c>
      <c r="S38" s="12">
        <v>76</v>
      </c>
      <c r="T38" s="12">
        <v>45</v>
      </c>
      <c r="U38" s="12">
        <v>25</v>
      </c>
      <c r="V38" s="12">
        <v>57</v>
      </c>
      <c r="W38" s="12">
        <v>32</v>
      </c>
      <c r="X38" s="12">
        <v>38</v>
      </c>
      <c r="Y38" s="12">
        <v>43</v>
      </c>
      <c r="Z38" s="12">
        <v>42</v>
      </c>
      <c r="AA38" s="12">
        <v>82</v>
      </c>
      <c r="AB38" s="12">
        <v>48</v>
      </c>
      <c r="AC38" s="12">
        <v>56</v>
      </c>
      <c r="AD38" s="12">
        <v>48</v>
      </c>
      <c r="AE38" s="12">
        <v>21</v>
      </c>
      <c r="AF38" s="12">
        <v>39</v>
      </c>
    </row>
    <row r="39" spans="1:32" x14ac:dyDescent="0.35">
      <c r="A39" s="31"/>
      <c r="B39" s="13" t="s">
        <v>545</v>
      </c>
      <c r="C39" s="14">
        <v>0.06</v>
      </c>
      <c r="D39" s="14">
        <v>0.06</v>
      </c>
      <c r="E39" s="14">
        <v>0.05</v>
      </c>
      <c r="F39" s="14">
        <v>0.04</v>
      </c>
      <c r="G39" s="14">
        <v>0.03</v>
      </c>
      <c r="H39" s="14">
        <v>0.04</v>
      </c>
      <c r="I39" s="14">
        <v>0.04</v>
      </c>
      <c r="J39" s="14">
        <v>0.05</v>
      </c>
      <c r="K39" s="14">
        <v>0.1</v>
      </c>
      <c r="L39" s="14">
        <v>7.0000000000000007E-2</v>
      </c>
      <c r="M39" s="14">
        <v>7.0000000000000007E-2</v>
      </c>
      <c r="N39" s="14">
        <v>0.08</v>
      </c>
      <c r="O39" s="14">
        <v>7.0000000000000007E-2</v>
      </c>
      <c r="P39" s="14">
        <v>0.04</v>
      </c>
      <c r="Q39" s="14">
        <v>0.08</v>
      </c>
      <c r="R39" s="14">
        <v>0.12</v>
      </c>
      <c r="S39" s="14">
        <v>0.08</v>
      </c>
      <c r="T39" s="14">
        <v>0.05</v>
      </c>
      <c r="U39" s="14">
        <v>0.05</v>
      </c>
      <c r="V39" s="14">
        <v>0.06</v>
      </c>
      <c r="W39" s="14">
        <v>7.0000000000000007E-2</v>
      </c>
      <c r="X39" s="14">
        <v>0.04</v>
      </c>
      <c r="Y39" s="14">
        <v>0.04</v>
      </c>
      <c r="Z39" s="14">
        <v>0.04</v>
      </c>
      <c r="AA39" s="14">
        <v>0.09</v>
      </c>
      <c r="AB39" s="14">
        <v>0.05</v>
      </c>
      <c r="AC39" s="14">
        <v>0.06</v>
      </c>
      <c r="AD39" s="14">
        <v>0.05</v>
      </c>
      <c r="AE39" s="14">
        <v>0.02</v>
      </c>
      <c r="AF39" s="14">
        <v>0.04</v>
      </c>
    </row>
    <row r="40" spans="1:32" x14ac:dyDescent="0.35">
      <c r="A40" s="31"/>
      <c r="B40" s="11" t="s">
        <v>407</v>
      </c>
      <c r="C40" s="12">
        <v>121</v>
      </c>
      <c r="D40" s="12">
        <v>0</v>
      </c>
      <c r="E40" s="12">
        <v>4</v>
      </c>
      <c r="F40" s="12">
        <v>1</v>
      </c>
      <c r="G40" s="12">
        <v>1</v>
      </c>
      <c r="H40" s="12">
        <v>6</v>
      </c>
      <c r="I40" s="12">
        <v>6</v>
      </c>
      <c r="J40" s="12">
        <v>0</v>
      </c>
      <c r="K40" s="12">
        <v>5</v>
      </c>
      <c r="L40" s="12">
        <v>1</v>
      </c>
      <c r="M40" s="12">
        <v>1</v>
      </c>
      <c r="N40" s="12">
        <v>4</v>
      </c>
      <c r="O40" s="12">
        <v>17</v>
      </c>
      <c r="P40" s="12">
        <v>3</v>
      </c>
      <c r="Q40" s="12">
        <v>1</v>
      </c>
      <c r="R40" s="12">
        <v>2</v>
      </c>
      <c r="S40" s="12">
        <v>3</v>
      </c>
      <c r="T40" s="12">
        <v>3</v>
      </c>
      <c r="U40" s="12">
        <v>2</v>
      </c>
      <c r="V40" s="12">
        <v>0</v>
      </c>
      <c r="W40" s="12">
        <v>1</v>
      </c>
      <c r="X40" s="12">
        <v>2</v>
      </c>
      <c r="Y40" s="12">
        <v>10</v>
      </c>
      <c r="Z40" s="12">
        <v>2</v>
      </c>
      <c r="AA40" s="12">
        <v>0</v>
      </c>
      <c r="AB40" s="12">
        <v>6</v>
      </c>
      <c r="AC40" s="12">
        <v>2</v>
      </c>
      <c r="AD40" s="12">
        <v>1</v>
      </c>
      <c r="AE40" s="12">
        <v>2</v>
      </c>
      <c r="AF40" s="12">
        <v>0</v>
      </c>
    </row>
    <row r="41" spans="1:32" x14ac:dyDescent="0.35">
      <c r="A41" s="31"/>
      <c r="B41" s="13" t="s">
        <v>408</v>
      </c>
      <c r="C41" s="15" t="s">
        <v>333</v>
      </c>
      <c r="D41" s="15" t="s">
        <v>333</v>
      </c>
      <c r="E41" s="15" t="s">
        <v>333</v>
      </c>
      <c r="F41" s="15" t="s">
        <v>333</v>
      </c>
      <c r="G41" s="15" t="s">
        <v>333</v>
      </c>
      <c r="H41" s="15" t="s">
        <v>333</v>
      </c>
      <c r="I41" s="15" t="s">
        <v>333</v>
      </c>
      <c r="J41" s="15" t="s">
        <v>333</v>
      </c>
      <c r="K41" s="15" t="s">
        <v>333</v>
      </c>
      <c r="L41" s="15" t="s">
        <v>333</v>
      </c>
      <c r="M41" s="15" t="s">
        <v>333</v>
      </c>
      <c r="N41" s="15" t="s">
        <v>333</v>
      </c>
      <c r="O41" s="14">
        <v>0.02</v>
      </c>
      <c r="P41" s="15" t="s">
        <v>333</v>
      </c>
      <c r="Q41" s="15" t="s">
        <v>333</v>
      </c>
      <c r="R41" s="15" t="s">
        <v>333</v>
      </c>
      <c r="S41" s="15" t="s">
        <v>333</v>
      </c>
      <c r="T41" s="15" t="s">
        <v>333</v>
      </c>
      <c r="U41" s="15" t="s">
        <v>333</v>
      </c>
      <c r="V41" s="15" t="s">
        <v>333</v>
      </c>
      <c r="W41" s="15" t="s">
        <v>333</v>
      </c>
      <c r="X41" s="15" t="s">
        <v>333</v>
      </c>
      <c r="Y41" s="14">
        <v>0.01</v>
      </c>
      <c r="Z41" s="15" t="s">
        <v>333</v>
      </c>
      <c r="AA41" s="15" t="s">
        <v>333</v>
      </c>
      <c r="AB41" s="14">
        <v>0.01</v>
      </c>
      <c r="AC41" s="15" t="s">
        <v>333</v>
      </c>
      <c r="AD41" s="15" t="s">
        <v>333</v>
      </c>
      <c r="AE41" s="15" t="s">
        <v>333</v>
      </c>
      <c r="AF41" s="15" t="s">
        <v>333</v>
      </c>
    </row>
    <row r="42" spans="1:32" x14ac:dyDescent="0.35">
      <c r="A42" s="31"/>
      <c r="B42" s="11" t="s">
        <v>452</v>
      </c>
      <c r="C42" s="12">
        <v>171</v>
      </c>
      <c r="D42" s="12">
        <v>0</v>
      </c>
      <c r="E42" s="12">
        <v>1</v>
      </c>
      <c r="F42" s="12">
        <v>8</v>
      </c>
      <c r="G42" s="12">
        <v>7</v>
      </c>
      <c r="H42" s="12">
        <v>4</v>
      </c>
      <c r="I42" s="12">
        <v>5</v>
      </c>
      <c r="J42" s="12">
        <v>1</v>
      </c>
      <c r="K42" s="12">
        <v>4</v>
      </c>
      <c r="L42" s="12">
        <v>4</v>
      </c>
      <c r="M42" s="12">
        <v>1</v>
      </c>
      <c r="N42" s="12">
        <v>18</v>
      </c>
      <c r="O42" s="12">
        <v>18</v>
      </c>
      <c r="P42" s="12">
        <v>0</v>
      </c>
      <c r="Q42" s="12">
        <v>1</v>
      </c>
      <c r="R42" s="12">
        <v>4</v>
      </c>
      <c r="S42" s="12">
        <v>12</v>
      </c>
      <c r="T42" s="12">
        <v>1</v>
      </c>
      <c r="U42" s="12">
        <v>3</v>
      </c>
      <c r="V42" s="12">
        <v>1</v>
      </c>
      <c r="W42" s="12">
        <v>0</v>
      </c>
      <c r="X42" s="12">
        <v>4</v>
      </c>
      <c r="Y42" s="12">
        <v>2</v>
      </c>
      <c r="Z42" s="12">
        <v>0</v>
      </c>
      <c r="AA42" s="12">
        <v>0</v>
      </c>
      <c r="AB42" s="12">
        <v>1</v>
      </c>
      <c r="AC42" s="12">
        <v>5</v>
      </c>
      <c r="AD42" s="12">
        <v>0</v>
      </c>
      <c r="AE42" s="12">
        <v>9</v>
      </c>
      <c r="AF42" s="12">
        <v>8</v>
      </c>
    </row>
    <row r="43" spans="1:32" x14ac:dyDescent="0.35">
      <c r="A43" s="31"/>
      <c r="B43" s="13" t="s">
        <v>453</v>
      </c>
      <c r="C43" s="14">
        <v>0.01</v>
      </c>
      <c r="D43" s="15" t="s">
        <v>333</v>
      </c>
      <c r="E43" s="15" t="s">
        <v>333</v>
      </c>
      <c r="F43" s="14">
        <v>0.01</v>
      </c>
      <c r="G43" s="14">
        <v>0.01</v>
      </c>
      <c r="H43" s="15" t="s">
        <v>333</v>
      </c>
      <c r="I43" s="15" t="s">
        <v>333</v>
      </c>
      <c r="J43" s="15" t="s">
        <v>333</v>
      </c>
      <c r="K43" s="15" t="s">
        <v>333</v>
      </c>
      <c r="L43" s="15" t="s">
        <v>333</v>
      </c>
      <c r="M43" s="15" t="s">
        <v>333</v>
      </c>
      <c r="N43" s="14">
        <v>0.02</v>
      </c>
      <c r="O43" s="14">
        <v>0.02</v>
      </c>
      <c r="P43" s="15" t="s">
        <v>333</v>
      </c>
      <c r="Q43" s="15" t="s">
        <v>333</v>
      </c>
      <c r="R43" s="14">
        <v>0.01</v>
      </c>
      <c r="S43" s="14">
        <v>0.01</v>
      </c>
      <c r="T43" s="15" t="s">
        <v>333</v>
      </c>
      <c r="U43" s="14">
        <v>0.01</v>
      </c>
      <c r="V43" s="15" t="s">
        <v>333</v>
      </c>
      <c r="W43" s="15" t="s">
        <v>333</v>
      </c>
      <c r="X43" s="15" t="s">
        <v>333</v>
      </c>
      <c r="Y43" s="15" t="s">
        <v>333</v>
      </c>
      <c r="Z43" s="15" t="s">
        <v>333</v>
      </c>
      <c r="AA43" s="15" t="s">
        <v>333</v>
      </c>
      <c r="AB43" s="15" t="s">
        <v>333</v>
      </c>
      <c r="AC43" s="15" t="s">
        <v>333</v>
      </c>
      <c r="AD43" s="15" t="s">
        <v>333</v>
      </c>
      <c r="AE43" s="14">
        <v>0.01</v>
      </c>
      <c r="AF43" s="14">
        <v>0.01</v>
      </c>
    </row>
    <row r="44" spans="1:32" x14ac:dyDescent="0.35">
      <c r="A44" s="31"/>
      <c r="B44" s="11" t="s">
        <v>344</v>
      </c>
      <c r="C44" s="12">
        <v>222</v>
      </c>
      <c r="D44" s="12">
        <v>3</v>
      </c>
      <c r="E44" s="12">
        <v>6</v>
      </c>
      <c r="F44" s="12">
        <v>4</v>
      </c>
      <c r="G44" s="12">
        <v>9</v>
      </c>
      <c r="H44" s="12">
        <v>6</v>
      </c>
      <c r="I44" s="12">
        <v>7</v>
      </c>
      <c r="J44" s="12">
        <v>0</v>
      </c>
      <c r="K44" s="12">
        <v>7</v>
      </c>
      <c r="L44" s="12">
        <v>3</v>
      </c>
      <c r="M44" s="12">
        <v>0</v>
      </c>
      <c r="N44" s="12">
        <v>24</v>
      </c>
      <c r="O44" s="12">
        <v>17</v>
      </c>
      <c r="P44" s="12">
        <v>0</v>
      </c>
      <c r="Q44" s="12">
        <v>6</v>
      </c>
      <c r="R44" s="12">
        <v>10</v>
      </c>
      <c r="S44" s="12">
        <v>27</v>
      </c>
      <c r="T44" s="12">
        <v>5</v>
      </c>
      <c r="U44" s="12">
        <v>3</v>
      </c>
      <c r="V44" s="12">
        <v>1</v>
      </c>
      <c r="W44" s="12">
        <v>1</v>
      </c>
      <c r="X44" s="12">
        <v>4</v>
      </c>
      <c r="Y44" s="12">
        <v>5</v>
      </c>
      <c r="Z44" s="12">
        <v>2</v>
      </c>
      <c r="AA44" s="12">
        <v>6</v>
      </c>
      <c r="AB44" s="12">
        <v>1</v>
      </c>
      <c r="AC44" s="12">
        <v>2</v>
      </c>
      <c r="AD44" s="12">
        <v>2</v>
      </c>
      <c r="AE44" s="12">
        <v>11</v>
      </c>
      <c r="AF44" s="12">
        <v>1</v>
      </c>
    </row>
    <row r="45" spans="1:32" x14ac:dyDescent="0.35">
      <c r="A45" s="31"/>
      <c r="B45" s="13" t="s">
        <v>357</v>
      </c>
      <c r="C45" s="14">
        <v>0.01</v>
      </c>
      <c r="D45" s="15" t="s">
        <v>333</v>
      </c>
      <c r="E45" s="14">
        <v>0.01</v>
      </c>
      <c r="F45" s="15" t="s">
        <v>333</v>
      </c>
      <c r="G45" s="14">
        <v>0.01</v>
      </c>
      <c r="H45" s="14">
        <v>0.01</v>
      </c>
      <c r="I45" s="15" t="s">
        <v>333</v>
      </c>
      <c r="J45" s="15" t="s">
        <v>333</v>
      </c>
      <c r="K45" s="14">
        <v>0.01</v>
      </c>
      <c r="L45" s="15" t="s">
        <v>333</v>
      </c>
      <c r="M45" s="15" t="s">
        <v>333</v>
      </c>
      <c r="N45" s="14">
        <v>0.03</v>
      </c>
      <c r="O45" s="14">
        <v>0.02</v>
      </c>
      <c r="P45" s="15" t="s">
        <v>333</v>
      </c>
      <c r="Q45" s="14">
        <v>0.01</v>
      </c>
      <c r="R45" s="14">
        <v>0.02</v>
      </c>
      <c r="S45" s="14">
        <v>0.03</v>
      </c>
      <c r="T45" s="15" t="s">
        <v>333</v>
      </c>
      <c r="U45" s="14">
        <v>0.01</v>
      </c>
      <c r="V45" s="15" t="s">
        <v>333</v>
      </c>
      <c r="W45" s="15" t="s">
        <v>333</v>
      </c>
      <c r="X45" s="15" t="s">
        <v>333</v>
      </c>
      <c r="Y45" s="15" t="s">
        <v>333</v>
      </c>
      <c r="Z45" s="15" t="s">
        <v>333</v>
      </c>
      <c r="AA45" s="14">
        <v>0.01</v>
      </c>
      <c r="AB45" s="15" t="s">
        <v>333</v>
      </c>
      <c r="AC45" s="15" t="s">
        <v>333</v>
      </c>
      <c r="AD45" s="15" t="s">
        <v>333</v>
      </c>
      <c r="AE45" s="14">
        <v>0.01</v>
      </c>
      <c r="AF45" s="15" t="s">
        <v>333</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5"/>
  <sheetViews>
    <sheetView tabSelected="1" workbookViewId="0">
      <pane xSplit="3" ySplit="9" topLeftCell="D10" activePane="bottomRight" state="frozen"/>
      <selection pane="topRight"/>
      <selection pane="bottomLeft"/>
      <selection pane="bottomRight" activeCell="H3" sqref="H3:L3"/>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53</v>
      </c>
      <c r="C3" s="30"/>
      <c r="D3" s="30"/>
      <c r="E3" s="30"/>
      <c r="F3" s="30"/>
      <c r="H3" s="30" t="s">
        <v>54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518</v>
      </c>
      <c r="C12" s="12">
        <v>7127</v>
      </c>
      <c r="D12" s="12">
        <v>315</v>
      </c>
      <c r="E12" s="12">
        <v>288</v>
      </c>
      <c r="F12" s="12">
        <v>376</v>
      </c>
      <c r="G12" s="12">
        <v>379</v>
      </c>
      <c r="H12" s="12">
        <v>273</v>
      </c>
      <c r="I12" s="12">
        <v>355</v>
      </c>
      <c r="J12" s="12">
        <v>81</v>
      </c>
      <c r="K12" s="12">
        <v>279</v>
      </c>
      <c r="L12" s="12">
        <v>252</v>
      </c>
      <c r="M12" s="12">
        <v>309</v>
      </c>
      <c r="N12" s="12">
        <v>169</v>
      </c>
      <c r="O12" s="12">
        <v>258</v>
      </c>
      <c r="P12" s="12">
        <v>277</v>
      </c>
      <c r="Q12" s="12">
        <v>362</v>
      </c>
      <c r="R12" s="12">
        <v>94</v>
      </c>
      <c r="S12" s="12">
        <v>234</v>
      </c>
      <c r="T12" s="12">
        <v>278</v>
      </c>
      <c r="U12" s="12">
        <v>119</v>
      </c>
      <c r="V12" s="12">
        <v>298</v>
      </c>
      <c r="W12" s="12">
        <v>110</v>
      </c>
      <c r="X12" s="12">
        <v>314</v>
      </c>
      <c r="Y12" s="12">
        <v>274</v>
      </c>
      <c r="Z12" s="12">
        <v>269</v>
      </c>
      <c r="AA12" s="12">
        <v>289</v>
      </c>
      <c r="AB12" s="12">
        <v>260</v>
      </c>
      <c r="AC12" s="12">
        <v>323</v>
      </c>
      <c r="AD12" s="12">
        <v>330</v>
      </c>
      <c r="AE12" s="12">
        <v>302</v>
      </c>
      <c r="AF12" s="12">
        <v>357</v>
      </c>
    </row>
    <row r="13" spans="1:32" ht="21.5" x14ac:dyDescent="0.35">
      <c r="A13" s="31"/>
      <c r="B13" s="13" t="s">
        <v>519</v>
      </c>
      <c r="C13" s="14">
        <v>0.27</v>
      </c>
      <c r="D13" s="14">
        <v>0.31</v>
      </c>
      <c r="E13" s="14">
        <v>0.28000000000000003</v>
      </c>
      <c r="F13" s="14">
        <v>0.37</v>
      </c>
      <c r="G13" s="14">
        <v>0.37</v>
      </c>
      <c r="H13" s="14">
        <v>0.22</v>
      </c>
      <c r="I13" s="14">
        <v>0.23</v>
      </c>
      <c r="J13" s="14">
        <v>0.27</v>
      </c>
      <c r="K13" s="14">
        <v>0.28000000000000003</v>
      </c>
      <c r="L13" s="14">
        <v>0.25</v>
      </c>
      <c r="M13" s="14">
        <v>0.31</v>
      </c>
      <c r="N13" s="14">
        <v>0.17</v>
      </c>
      <c r="O13" s="14">
        <v>0.26</v>
      </c>
      <c r="P13" s="14">
        <v>0.28000000000000003</v>
      </c>
      <c r="Q13" s="14">
        <v>0.35</v>
      </c>
      <c r="R13" s="14">
        <v>0.19</v>
      </c>
      <c r="S13" s="14">
        <v>0.23</v>
      </c>
      <c r="T13" s="14">
        <v>0.27</v>
      </c>
      <c r="U13" s="14">
        <v>0.23</v>
      </c>
      <c r="V13" s="14">
        <v>0.28999999999999998</v>
      </c>
      <c r="W13" s="14">
        <v>0.22</v>
      </c>
      <c r="X13" s="14">
        <v>0.31</v>
      </c>
      <c r="Y13" s="14">
        <v>0.27</v>
      </c>
      <c r="Z13" s="14">
        <v>0.26</v>
      </c>
      <c r="AA13" s="14">
        <v>0.28000000000000003</v>
      </c>
      <c r="AB13" s="14">
        <v>0.25</v>
      </c>
      <c r="AC13" s="14">
        <v>0.32</v>
      </c>
      <c r="AD13" s="14">
        <v>0.33</v>
      </c>
      <c r="AE13" s="14">
        <v>0.3</v>
      </c>
      <c r="AF13" s="14">
        <v>0.35</v>
      </c>
    </row>
    <row r="14" spans="1:32" x14ac:dyDescent="0.35">
      <c r="A14" s="31"/>
      <c r="B14" s="11" t="s">
        <v>520</v>
      </c>
      <c r="C14" s="12">
        <v>9692</v>
      </c>
      <c r="D14" s="12">
        <v>406</v>
      </c>
      <c r="E14" s="12">
        <v>250</v>
      </c>
      <c r="F14" s="12">
        <v>368</v>
      </c>
      <c r="G14" s="12">
        <v>538</v>
      </c>
      <c r="H14" s="12">
        <v>573</v>
      </c>
      <c r="I14" s="12">
        <v>680</v>
      </c>
      <c r="J14" s="12">
        <v>108</v>
      </c>
      <c r="K14" s="12">
        <v>334</v>
      </c>
      <c r="L14" s="12">
        <v>279</v>
      </c>
      <c r="M14" s="12">
        <v>318</v>
      </c>
      <c r="N14" s="12">
        <v>298</v>
      </c>
      <c r="O14" s="12">
        <v>377</v>
      </c>
      <c r="P14" s="12">
        <v>263</v>
      </c>
      <c r="Q14" s="12">
        <v>299</v>
      </c>
      <c r="R14" s="12">
        <v>231</v>
      </c>
      <c r="S14" s="12">
        <v>430</v>
      </c>
      <c r="T14" s="12">
        <v>551</v>
      </c>
      <c r="U14" s="12">
        <v>222</v>
      </c>
      <c r="V14" s="12">
        <v>294</v>
      </c>
      <c r="W14" s="12">
        <v>162</v>
      </c>
      <c r="X14" s="12">
        <v>492</v>
      </c>
      <c r="Y14" s="12">
        <v>298</v>
      </c>
      <c r="Z14" s="12">
        <v>447</v>
      </c>
      <c r="AA14" s="12">
        <v>322</v>
      </c>
      <c r="AB14" s="12">
        <v>318</v>
      </c>
      <c r="AC14" s="12">
        <v>235</v>
      </c>
      <c r="AD14" s="12">
        <v>270</v>
      </c>
      <c r="AE14" s="12">
        <v>488</v>
      </c>
      <c r="AF14" s="12">
        <v>360</v>
      </c>
    </row>
    <row r="15" spans="1:32" x14ac:dyDescent="0.35">
      <c r="A15" s="31"/>
      <c r="B15" s="13" t="s">
        <v>521</v>
      </c>
      <c r="C15" s="14">
        <v>0.37</v>
      </c>
      <c r="D15" s="14">
        <v>0.4</v>
      </c>
      <c r="E15" s="14">
        <v>0.24</v>
      </c>
      <c r="F15" s="14">
        <v>0.36</v>
      </c>
      <c r="G15" s="14">
        <v>0.53</v>
      </c>
      <c r="H15" s="14">
        <v>0.46</v>
      </c>
      <c r="I15" s="14">
        <v>0.44</v>
      </c>
      <c r="J15" s="14">
        <v>0.36</v>
      </c>
      <c r="K15" s="14">
        <v>0.33</v>
      </c>
      <c r="L15" s="14">
        <v>0.28000000000000003</v>
      </c>
      <c r="M15" s="14">
        <v>0.32</v>
      </c>
      <c r="N15" s="14">
        <v>0.3</v>
      </c>
      <c r="O15" s="14">
        <v>0.38</v>
      </c>
      <c r="P15" s="14">
        <v>0.26</v>
      </c>
      <c r="Q15" s="14">
        <v>0.28999999999999998</v>
      </c>
      <c r="R15" s="14">
        <v>0.46</v>
      </c>
      <c r="S15" s="14">
        <v>0.42</v>
      </c>
      <c r="T15" s="14">
        <v>0.54</v>
      </c>
      <c r="U15" s="14">
        <v>0.44</v>
      </c>
      <c r="V15" s="14">
        <v>0.28999999999999998</v>
      </c>
      <c r="W15" s="14">
        <v>0.32</v>
      </c>
      <c r="X15" s="14">
        <v>0.49</v>
      </c>
      <c r="Y15" s="14">
        <v>0.3</v>
      </c>
      <c r="Z15" s="14">
        <v>0.44</v>
      </c>
      <c r="AA15" s="14">
        <v>0.31</v>
      </c>
      <c r="AB15" s="14">
        <v>0.3</v>
      </c>
      <c r="AC15" s="14">
        <v>0.23</v>
      </c>
      <c r="AD15" s="14">
        <v>0.27</v>
      </c>
      <c r="AE15" s="14">
        <v>0.49</v>
      </c>
      <c r="AF15" s="14">
        <v>0.35</v>
      </c>
    </row>
    <row r="16" spans="1:32" ht="21.5" x14ac:dyDescent="0.35">
      <c r="A16" s="31"/>
      <c r="B16" s="11" t="s">
        <v>522</v>
      </c>
      <c r="C16" s="12">
        <v>4735</v>
      </c>
      <c r="D16" s="12">
        <v>144</v>
      </c>
      <c r="E16" s="12">
        <v>202</v>
      </c>
      <c r="F16" s="12">
        <v>193</v>
      </c>
      <c r="G16" s="12">
        <v>205</v>
      </c>
      <c r="H16" s="12">
        <v>281</v>
      </c>
      <c r="I16" s="12">
        <v>332</v>
      </c>
      <c r="J16" s="12">
        <v>51</v>
      </c>
      <c r="K16" s="12">
        <v>222</v>
      </c>
      <c r="L16" s="12">
        <v>140</v>
      </c>
      <c r="M16" s="12">
        <v>207</v>
      </c>
      <c r="N16" s="12">
        <v>124</v>
      </c>
      <c r="O16" s="12">
        <v>155</v>
      </c>
      <c r="P16" s="12">
        <v>160</v>
      </c>
      <c r="Q16" s="12">
        <v>199</v>
      </c>
      <c r="R16" s="12">
        <v>78</v>
      </c>
      <c r="S16" s="12">
        <v>210</v>
      </c>
      <c r="T16" s="12">
        <v>261</v>
      </c>
      <c r="U16" s="12">
        <v>119</v>
      </c>
      <c r="V16" s="12">
        <v>157</v>
      </c>
      <c r="W16" s="12">
        <v>60</v>
      </c>
      <c r="X16" s="12">
        <v>142</v>
      </c>
      <c r="Y16" s="12">
        <v>207</v>
      </c>
      <c r="Z16" s="12">
        <v>210</v>
      </c>
      <c r="AA16" s="12">
        <v>76</v>
      </c>
      <c r="AB16" s="12">
        <v>183</v>
      </c>
      <c r="AC16" s="12">
        <v>152</v>
      </c>
      <c r="AD16" s="12">
        <v>215</v>
      </c>
      <c r="AE16" s="12">
        <v>243</v>
      </c>
      <c r="AF16" s="12">
        <v>244</v>
      </c>
    </row>
    <row r="17" spans="1:32" ht="21.5" x14ac:dyDescent="0.35">
      <c r="A17" s="31"/>
      <c r="B17" s="13" t="s">
        <v>523</v>
      </c>
      <c r="C17" s="14">
        <v>0.18</v>
      </c>
      <c r="D17" s="14">
        <v>0.14000000000000001</v>
      </c>
      <c r="E17" s="14">
        <v>0.19</v>
      </c>
      <c r="F17" s="14">
        <v>0.19</v>
      </c>
      <c r="G17" s="14">
        <v>0.2</v>
      </c>
      <c r="H17" s="14">
        <v>0.23</v>
      </c>
      <c r="I17" s="14">
        <v>0.22</v>
      </c>
      <c r="J17" s="14">
        <v>0.17</v>
      </c>
      <c r="K17" s="14">
        <v>0.22</v>
      </c>
      <c r="L17" s="14">
        <v>0.14000000000000001</v>
      </c>
      <c r="M17" s="14">
        <v>0.21</v>
      </c>
      <c r="N17" s="14">
        <v>0.12</v>
      </c>
      <c r="O17" s="14">
        <v>0.16</v>
      </c>
      <c r="P17" s="14">
        <v>0.16</v>
      </c>
      <c r="Q17" s="14">
        <v>0.19</v>
      </c>
      <c r="R17" s="14">
        <v>0.16</v>
      </c>
      <c r="S17" s="14">
        <v>0.21</v>
      </c>
      <c r="T17" s="14">
        <v>0.26</v>
      </c>
      <c r="U17" s="14">
        <v>0.23</v>
      </c>
      <c r="V17" s="14">
        <v>0.15</v>
      </c>
      <c r="W17" s="14">
        <v>0.12</v>
      </c>
      <c r="X17" s="14">
        <v>0.14000000000000001</v>
      </c>
      <c r="Y17" s="14">
        <v>0.21</v>
      </c>
      <c r="Z17" s="14">
        <v>0.21</v>
      </c>
      <c r="AA17" s="14">
        <v>7.0000000000000007E-2</v>
      </c>
      <c r="AB17" s="14">
        <v>0.17</v>
      </c>
      <c r="AC17" s="14">
        <v>0.15</v>
      </c>
      <c r="AD17" s="14">
        <v>0.21</v>
      </c>
      <c r="AE17" s="14">
        <v>0.24</v>
      </c>
      <c r="AF17" s="14">
        <v>0.24</v>
      </c>
    </row>
    <row r="18" spans="1:32" ht="31.5" x14ac:dyDescent="0.35">
      <c r="A18" s="31"/>
      <c r="B18" s="11" t="s">
        <v>524</v>
      </c>
      <c r="C18" s="12">
        <v>2158</v>
      </c>
      <c r="D18" s="12">
        <v>93</v>
      </c>
      <c r="E18" s="12">
        <v>80</v>
      </c>
      <c r="F18" s="12">
        <v>88</v>
      </c>
      <c r="G18" s="12">
        <v>89</v>
      </c>
      <c r="H18" s="12">
        <v>103</v>
      </c>
      <c r="I18" s="12">
        <v>126</v>
      </c>
      <c r="J18" s="12">
        <v>22</v>
      </c>
      <c r="K18" s="12">
        <v>102</v>
      </c>
      <c r="L18" s="12">
        <v>57</v>
      </c>
      <c r="M18" s="12">
        <v>75</v>
      </c>
      <c r="N18" s="12">
        <v>65</v>
      </c>
      <c r="O18" s="12">
        <v>57</v>
      </c>
      <c r="P18" s="12">
        <v>114</v>
      </c>
      <c r="Q18" s="12">
        <v>99</v>
      </c>
      <c r="R18" s="12">
        <v>36</v>
      </c>
      <c r="S18" s="12">
        <v>108</v>
      </c>
      <c r="T18" s="12">
        <v>241</v>
      </c>
      <c r="U18" s="12">
        <v>44</v>
      </c>
      <c r="V18" s="12">
        <v>123</v>
      </c>
      <c r="W18" s="12">
        <v>44</v>
      </c>
      <c r="X18" s="12">
        <v>36</v>
      </c>
      <c r="Y18" s="12">
        <v>110</v>
      </c>
      <c r="Z18" s="12">
        <v>113</v>
      </c>
      <c r="AA18" s="12">
        <v>66</v>
      </c>
      <c r="AB18" s="12">
        <v>126</v>
      </c>
      <c r="AC18" s="12">
        <v>97</v>
      </c>
      <c r="AD18" s="12">
        <v>120</v>
      </c>
      <c r="AE18" s="12">
        <v>52</v>
      </c>
      <c r="AF18" s="12">
        <v>31</v>
      </c>
    </row>
    <row r="19" spans="1:32" ht="21.5" x14ac:dyDescent="0.35">
      <c r="A19" s="31"/>
      <c r="B19" s="13" t="s">
        <v>525</v>
      </c>
      <c r="C19" s="14">
        <v>0.08</v>
      </c>
      <c r="D19" s="14">
        <v>0.09</v>
      </c>
      <c r="E19" s="14">
        <v>0.08</v>
      </c>
      <c r="F19" s="14">
        <v>0.09</v>
      </c>
      <c r="G19" s="14">
        <v>0.09</v>
      </c>
      <c r="H19" s="14">
        <v>0.08</v>
      </c>
      <c r="I19" s="14">
        <v>0.08</v>
      </c>
      <c r="J19" s="14">
        <v>7.0000000000000007E-2</v>
      </c>
      <c r="K19" s="14">
        <v>0.1</v>
      </c>
      <c r="L19" s="14">
        <v>0.06</v>
      </c>
      <c r="M19" s="14">
        <v>7.0000000000000007E-2</v>
      </c>
      <c r="N19" s="14">
        <v>7.0000000000000007E-2</v>
      </c>
      <c r="O19" s="14">
        <v>0.06</v>
      </c>
      <c r="P19" s="14">
        <v>0.11</v>
      </c>
      <c r="Q19" s="14">
        <v>0.1</v>
      </c>
      <c r="R19" s="14">
        <v>7.0000000000000007E-2</v>
      </c>
      <c r="S19" s="14">
        <v>0.11</v>
      </c>
      <c r="T19" s="14">
        <v>0.24</v>
      </c>
      <c r="U19" s="14">
        <v>0.09</v>
      </c>
      <c r="V19" s="14">
        <v>0.12</v>
      </c>
      <c r="W19" s="14">
        <v>0.09</v>
      </c>
      <c r="X19" s="14">
        <v>0.04</v>
      </c>
      <c r="Y19" s="14">
        <v>0.11</v>
      </c>
      <c r="Z19" s="14">
        <v>0.11</v>
      </c>
      <c r="AA19" s="14">
        <v>0.06</v>
      </c>
      <c r="AB19" s="14">
        <v>0.12</v>
      </c>
      <c r="AC19" s="14">
        <v>0.1</v>
      </c>
      <c r="AD19" s="14">
        <v>0.12</v>
      </c>
      <c r="AE19" s="14">
        <v>0.05</v>
      </c>
      <c r="AF19" s="14">
        <v>0.03</v>
      </c>
    </row>
    <row r="20" spans="1:32" ht="31.5" x14ac:dyDescent="0.35">
      <c r="A20" s="31"/>
      <c r="B20" s="11" t="s">
        <v>526</v>
      </c>
      <c r="C20" s="12">
        <v>3281</v>
      </c>
      <c r="D20" s="12">
        <v>139</v>
      </c>
      <c r="E20" s="12">
        <v>128</v>
      </c>
      <c r="F20" s="12">
        <v>128</v>
      </c>
      <c r="G20" s="12">
        <v>137</v>
      </c>
      <c r="H20" s="12">
        <v>130</v>
      </c>
      <c r="I20" s="12">
        <v>158</v>
      </c>
      <c r="J20" s="12">
        <v>29</v>
      </c>
      <c r="K20" s="12">
        <v>158</v>
      </c>
      <c r="L20" s="12">
        <v>137</v>
      </c>
      <c r="M20" s="12">
        <v>126</v>
      </c>
      <c r="N20" s="12">
        <v>105</v>
      </c>
      <c r="O20" s="12">
        <v>88</v>
      </c>
      <c r="P20" s="12">
        <v>118</v>
      </c>
      <c r="Q20" s="12">
        <v>172</v>
      </c>
      <c r="R20" s="12">
        <v>69</v>
      </c>
      <c r="S20" s="12">
        <v>96</v>
      </c>
      <c r="T20" s="12">
        <v>103</v>
      </c>
      <c r="U20" s="12">
        <v>84</v>
      </c>
      <c r="V20" s="12">
        <v>139</v>
      </c>
      <c r="W20" s="12">
        <v>124</v>
      </c>
      <c r="X20" s="12">
        <v>212</v>
      </c>
      <c r="Y20" s="12">
        <v>180</v>
      </c>
      <c r="Z20" s="12">
        <v>121</v>
      </c>
      <c r="AA20" s="12">
        <v>112</v>
      </c>
      <c r="AB20" s="12">
        <v>138</v>
      </c>
      <c r="AC20" s="12">
        <v>141</v>
      </c>
      <c r="AD20" s="12">
        <v>120</v>
      </c>
      <c r="AE20" s="12">
        <v>142</v>
      </c>
      <c r="AF20" s="12">
        <v>156</v>
      </c>
    </row>
    <row r="21" spans="1:32" ht="31.5" x14ac:dyDescent="0.35">
      <c r="A21" s="31"/>
      <c r="B21" s="13" t="s">
        <v>527</v>
      </c>
      <c r="C21" s="14">
        <v>0.12</v>
      </c>
      <c r="D21" s="14">
        <v>0.14000000000000001</v>
      </c>
      <c r="E21" s="14">
        <v>0.12</v>
      </c>
      <c r="F21" s="14">
        <v>0.13</v>
      </c>
      <c r="G21" s="14">
        <v>0.13</v>
      </c>
      <c r="H21" s="14">
        <v>0.11</v>
      </c>
      <c r="I21" s="14">
        <v>0.1</v>
      </c>
      <c r="J21" s="14">
        <v>0.1</v>
      </c>
      <c r="K21" s="14">
        <v>0.16</v>
      </c>
      <c r="L21" s="14">
        <v>0.14000000000000001</v>
      </c>
      <c r="M21" s="14">
        <v>0.13</v>
      </c>
      <c r="N21" s="14">
        <v>0.11</v>
      </c>
      <c r="O21" s="14">
        <v>0.09</v>
      </c>
      <c r="P21" s="14">
        <v>0.12</v>
      </c>
      <c r="Q21" s="14">
        <v>0.17</v>
      </c>
      <c r="R21" s="14">
        <v>0.14000000000000001</v>
      </c>
      <c r="S21" s="14">
        <v>0.09</v>
      </c>
      <c r="T21" s="14">
        <v>0.1</v>
      </c>
      <c r="U21" s="14">
        <v>0.16</v>
      </c>
      <c r="V21" s="14">
        <v>0.14000000000000001</v>
      </c>
      <c r="W21" s="14">
        <v>0.25</v>
      </c>
      <c r="X21" s="14">
        <v>0.21</v>
      </c>
      <c r="Y21" s="14">
        <v>0.18</v>
      </c>
      <c r="Z21" s="14">
        <v>0.12</v>
      </c>
      <c r="AA21" s="14">
        <v>0.11</v>
      </c>
      <c r="AB21" s="14">
        <v>0.13</v>
      </c>
      <c r="AC21" s="14">
        <v>0.14000000000000001</v>
      </c>
      <c r="AD21" s="14">
        <v>0.12</v>
      </c>
      <c r="AE21" s="14">
        <v>0.14000000000000001</v>
      </c>
      <c r="AF21" s="14">
        <v>0.15</v>
      </c>
    </row>
    <row r="22" spans="1:32" ht="41.5" x14ac:dyDescent="0.35">
      <c r="A22" s="31"/>
      <c r="B22" s="11" t="s">
        <v>548</v>
      </c>
      <c r="C22" s="12">
        <v>5955</v>
      </c>
      <c r="D22" s="12">
        <v>231</v>
      </c>
      <c r="E22" s="12">
        <v>235</v>
      </c>
      <c r="F22" s="12">
        <v>183</v>
      </c>
      <c r="G22" s="12">
        <v>340</v>
      </c>
      <c r="H22" s="12">
        <v>305</v>
      </c>
      <c r="I22" s="12">
        <v>370</v>
      </c>
      <c r="J22" s="12">
        <v>66</v>
      </c>
      <c r="K22" s="12">
        <v>140</v>
      </c>
      <c r="L22" s="12">
        <v>243</v>
      </c>
      <c r="M22" s="12">
        <v>216</v>
      </c>
      <c r="N22" s="12">
        <v>242</v>
      </c>
      <c r="O22" s="12">
        <v>218</v>
      </c>
      <c r="P22" s="12">
        <v>200</v>
      </c>
      <c r="Q22" s="12">
        <v>168</v>
      </c>
      <c r="R22" s="12">
        <v>137</v>
      </c>
      <c r="S22" s="12">
        <v>126</v>
      </c>
      <c r="T22" s="12">
        <v>149</v>
      </c>
      <c r="U22" s="12">
        <v>129</v>
      </c>
      <c r="V22" s="12">
        <v>230</v>
      </c>
      <c r="W22" s="12">
        <v>161</v>
      </c>
      <c r="X22" s="12">
        <v>319</v>
      </c>
      <c r="Y22" s="12">
        <v>255</v>
      </c>
      <c r="Z22" s="12">
        <v>185</v>
      </c>
      <c r="AA22" s="12">
        <v>272</v>
      </c>
      <c r="AB22" s="12">
        <v>237</v>
      </c>
      <c r="AC22" s="12">
        <v>167</v>
      </c>
      <c r="AD22" s="12">
        <v>231</v>
      </c>
      <c r="AE22" s="12">
        <v>265</v>
      </c>
      <c r="AF22" s="12">
        <v>409</v>
      </c>
    </row>
    <row r="23" spans="1:32" ht="31.5" x14ac:dyDescent="0.35">
      <c r="A23" s="31"/>
      <c r="B23" s="13" t="s">
        <v>529</v>
      </c>
      <c r="C23" s="14">
        <v>0.23</v>
      </c>
      <c r="D23" s="14">
        <v>0.23</v>
      </c>
      <c r="E23" s="14">
        <v>0.23</v>
      </c>
      <c r="F23" s="14">
        <v>0.18</v>
      </c>
      <c r="G23" s="14">
        <v>0.33</v>
      </c>
      <c r="H23" s="14">
        <v>0.25</v>
      </c>
      <c r="I23" s="14">
        <v>0.24</v>
      </c>
      <c r="J23" s="14">
        <v>0.22</v>
      </c>
      <c r="K23" s="14">
        <v>0.14000000000000001</v>
      </c>
      <c r="L23" s="14">
        <v>0.24</v>
      </c>
      <c r="M23" s="14">
        <v>0.22</v>
      </c>
      <c r="N23" s="14">
        <v>0.24</v>
      </c>
      <c r="O23" s="14">
        <v>0.22</v>
      </c>
      <c r="P23" s="14">
        <v>0.2</v>
      </c>
      <c r="Q23" s="14">
        <v>0.16</v>
      </c>
      <c r="R23" s="14">
        <v>0.27</v>
      </c>
      <c r="S23" s="14">
        <v>0.12</v>
      </c>
      <c r="T23" s="14">
        <v>0.15</v>
      </c>
      <c r="U23" s="14">
        <v>0.25</v>
      </c>
      <c r="V23" s="14">
        <v>0.23</v>
      </c>
      <c r="W23" s="14">
        <v>0.32</v>
      </c>
      <c r="X23" s="14">
        <v>0.32</v>
      </c>
      <c r="Y23" s="14">
        <v>0.25</v>
      </c>
      <c r="Z23" s="14">
        <v>0.18</v>
      </c>
      <c r="AA23" s="14">
        <v>0.26</v>
      </c>
      <c r="AB23" s="14">
        <v>0.22</v>
      </c>
      <c r="AC23" s="14">
        <v>0.17</v>
      </c>
      <c r="AD23" s="14">
        <v>0.23</v>
      </c>
      <c r="AE23" s="14">
        <v>0.26</v>
      </c>
      <c r="AF23" s="14">
        <v>0.4</v>
      </c>
    </row>
    <row r="24" spans="1:32" ht="21.5" x14ac:dyDescent="0.35">
      <c r="A24" s="31"/>
      <c r="B24" s="11" t="s">
        <v>530</v>
      </c>
      <c r="C24" s="12">
        <v>8569</v>
      </c>
      <c r="D24" s="12">
        <v>252</v>
      </c>
      <c r="E24" s="12">
        <v>411</v>
      </c>
      <c r="F24" s="12">
        <v>415</v>
      </c>
      <c r="G24" s="12">
        <v>270</v>
      </c>
      <c r="H24" s="12">
        <v>418</v>
      </c>
      <c r="I24" s="12">
        <v>537</v>
      </c>
      <c r="J24" s="12">
        <v>118</v>
      </c>
      <c r="K24" s="12">
        <v>361</v>
      </c>
      <c r="L24" s="12">
        <v>250</v>
      </c>
      <c r="M24" s="12">
        <v>379</v>
      </c>
      <c r="N24" s="12">
        <v>325</v>
      </c>
      <c r="O24" s="12">
        <v>295</v>
      </c>
      <c r="P24" s="12">
        <v>393</v>
      </c>
      <c r="Q24" s="12">
        <v>398</v>
      </c>
      <c r="R24" s="12">
        <v>88</v>
      </c>
      <c r="S24" s="12">
        <v>380</v>
      </c>
      <c r="T24" s="12">
        <v>290</v>
      </c>
      <c r="U24" s="12">
        <v>138</v>
      </c>
      <c r="V24" s="12">
        <v>364</v>
      </c>
      <c r="W24" s="12">
        <v>80</v>
      </c>
      <c r="X24" s="12">
        <v>213</v>
      </c>
      <c r="Y24" s="12">
        <v>317</v>
      </c>
      <c r="Z24" s="12">
        <v>264</v>
      </c>
      <c r="AA24" s="12">
        <v>396</v>
      </c>
      <c r="AB24" s="12">
        <v>306</v>
      </c>
      <c r="AC24" s="12">
        <v>379</v>
      </c>
      <c r="AD24" s="12">
        <v>356</v>
      </c>
      <c r="AE24" s="12">
        <v>369</v>
      </c>
      <c r="AF24" s="12">
        <v>273</v>
      </c>
    </row>
    <row r="25" spans="1:32" ht="21.5" x14ac:dyDescent="0.35">
      <c r="A25" s="31"/>
      <c r="B25" s="13" t="s">
        <v>531</v>
      </c>
      <c r="C25" s="14">
        <v>0.32</v>
      </c>
      <c r="D25" s="14">
        <v>0.25</v>
      </c>
      <c r="E25" s="14">
        <v>0.4</v>
      </c>
      <c r="F25" s="14">
        <v>0.41</v>
      </c>
      <c r="G25" s="14">
        <v>0.27</v>
      </c>
      <c r="H25" s="14">
        <v>0.34</v>
      </c>
      <c r="I25" s="14">
        <v>0.35</v>
      </c>
      <c r="J25" s="14">
        <v>0.4</v>
      </c>
      <c r="K25" s="14">
        <v>0.36</v>
      </c>
      <c r="L25" s="14">
        <v>0.25</v>
      </c>
      <c r="M25" s="14">
        <v>0.38</v>
      </c>
      <c r="N25" s="14">
        <v>0.33</v>
      </c>
      <c r="O25" s="14">
        <v>0.28999999999999998</v>
      </c>
      <c r="P25" s="14">
        <v>0.39</v>
      </c>
      <c r="Q25" s="14">
        <v>0.38</v>
      </c>
      <c r="R25" s="14">
        <v>0.18</v>
      </c>
      <c r="S25" s="14">
        <v>0.37</v>
      </c>
      <c r="T25" s="14">
        <v>0.28999999999999998</v>
      </c>
      <c r="U25" s="14">
        <v>0.27</v>
      </c>
      <c r="V25" s="14">
        <v>0.36</v>
      </c>
      <c r="W25" s="14">
        <v>0.16</v>
      </c>
      <c r="X25" s="14">
        <v>0.21</v>
      </c>
      <c r="Y25" s="14">
        <v>0.32</v>
      </c>
      <c r="Z25" s="14">
        <v>0.26</v>
      </c>
      <c r="AA25" s="14">
        <v>0.38</v>
      </c>
      <c r="AB25" s="14">
        <v>0.28999999999999998</v>
      </c>
      <c r="AC25" s="14">
        <v>0.37</v>
      </c>
      <c r="AD25" s="14">
        <v>0.35</v>
      </c>
      <c r="AE25" s="14">
        <v>0.37</v>
      </c>
      <c r="AF25" s="14">
        <v>0.27</v>
      </c>
    </row>
    <row r="26" spans="1:32" x14ac:dyDescent="0.35">
      <c r="A26" s="31"/>
      <c r="B26" s="11" t="s">
        <v>532</v>
      </c>
      <c r="C26" s="12">
        <v>4305</v>
      </c>
      <c r="D26" s="12">
        <v>162</v>
      </c>
      <c r="E26" s="12">
        <v>143</v>
      </c>
      <c r="F26" s="12">
        <v>196</v>
      </c>
      <c r="G26" s="12">
        <v>159</v>
      </c>
      <c r="H26" s="12">
        <v>277</v>
      </c>
      <c r="I26" s="12">
        <v>332</v>
      </c>
      <c r="J26" s="12">
        <v>55</v>
      </c>
      <c r="K26" s="12">
        <v>161</v>
      </c>
      <c r="L26" s="12">
        <v>224</v>
      </c>
      <c r="M26" s="12">
        <v>116</v>
      </c>
      <c r="N26" s="12">
        <v>161</v>
      </c>
      <c r="O26" s="12">
        <v>125</v>
      </c>
      <c r="P26" s="12">
        <v>158</v>
      </c>
      <c r="Q26" s="12">
        <v>192</v>
      </c>
      <c r="R26" s="12">
        <v>74</v>
      </c>
      <c r="S26" s="12">
        <v>144</v>
      </c>
      <c r="T26" s="12">
        <v>110</v>
      </c>
      <c r="U26" s="12">
        <v>100</v>
      </c>
      <c r="V26" s="12">
        <v>157</v>
      </c>
      <c r="W26" s="12">
        <v>59</v>
      </c>
      <c r="X26" s="12">
        <v>164</v>
      </c>
      <c r="Y26" s="12">
        <v>168</v>
      </c>
      <c r="Z26" s="12">
        <v>142</v>
      </c>
      <c r="AA26" s="12">
        <v>104</v>
      </c>
      <c r="AB26" s="12">
        <v>123</v>
      </c>
      <c r="AC26" s="12">
        <v>225</v>
      </c>
      <c r="AD26" s="12">
        <v>148</v>
      </c>
      <c r="AE26" s="12">
        <v>122</v>
      </c>
      <c r="AF26" s="12">
        <v>142</v>
      </c>
    </row>
    <row r="27" spans="1:32" x14ac:dyDescent="0.35">
      <c r="A27" s="31"/>
      <c r="B27" s="13" t="s">
        <v>533</v>
      </c>
      <c r="C27" s="14">
        <v>0.16</v>
      </c>
      <c r="D27" s="14">
        <v>0.16</v>
      </c>
      <c r="E27" s="14">
        <v>0.14000000000000001</v>
      </c>
      <c r="F27" s="14">
        <v>0.19</v>
      </c>
      <c r="G27" s="14">
        <v>0.16</v>
      </c>
      <c r="H27" s="14">
        <v>0.22</v>
      </c>
      <c r="I27" s="14">
        <v>0.22</v>
      </c>
      <c r="J27" s="14">
        <v>0.18</v>
      </c>
      <c r="K27" s="14">
        <v>0.16</v>
      </c>
      <c r="L27" s="14">
        <v>0.22</v>
      </c>
      <c r="M27" s="14">
        <v>0.12</v>
      </c>
      <c r="N27" s="14">
        <v>0.16</v>
      </c>
      <c r="O27" s="14">
        <v>0.13</v>
      </c>
      <c r="P27" s="14">
        <v>0.16</v>
      </c>
      <c r="Q27" s="14">
        <v>0.19</v>
      </c>
      <c r="R27" s="14">
        <v>0.15</v>
      </c>
      <c r="S27" s="14">
        <v>0.14000000000000001</v>
      </c>
      <c r="T27" s="14">
        <v>0.11</v>
      </c>
      <c r="U27" s="14">
        <v>0.2</v>
      </c>
      <c r="V27" s="14">
        <v>0.15</v>
      </c>
      <c r="W27" s="14">
        <v>0.12</v>
      </c>
      <c r="X27" s="14">
        <v>0.16</v>
      </c>
      <c r="Y27" s="14">
        <v>0.17</v>
      </c>
      <c r="Z27" s="14">
        <v>0.14000000000000001</v>
      </c>
      <c r="AA27" s="14">
        <v>0.1</v>
      </c>
      <c r="AB27" s="14">
        <v>0.12</v>
      </c>
      <c r="AC27" s="14">
        <v>0.22</v>
      </c>
      <c r="AD27" s="14">
        <v>0.15</v>
      </c>
      <c r="AE27" s="14">
        <v>0.12</v>
      </c>
      <c r="AF27" s="14">
        <v>0.14000000000000001</v>
      </c>
    </row>
    <row r="28" spans="1:32" x14ac:dyDescent="0.35">
      <c r="A28" s="31"/>
      <c r="B28" s="11" t="s">
        <v>534</v>
      </c>
      <c r="C28" s="12">
        <v>2225</v>
      </c>
      <c r="D28" s="12">
        <v>150</v>
      </c>
      <c r="E28" s="12">
        <v>78</v>
      </c>
      <c r="F28" s="12">
        <v>48</v>
      </c>
      <c r="G28" s="12">
        <v>22</v>
      </c>
      <c r="H28" s="12">
        <v>119</v>
      </c>
      <c r="I28" s="12">
        <v>158</v>
      </c>
      <c r="J28" s="12">
        <v>39</v>
      </c>
      <c r="K28" s="12">
        <v>93</v>
      </c>
      <c r="L28" s="12">
        <v>141</v>
      </c>
      <c r="M28" s="12">
        <v>85</v>
      </c>
      <c r="N28" s="12">
        <v>68</v>
      </c>
      <c r="O28" s="12">
        <v>78</v>
      </c>
      <c r="P28" s="12">
        <v>86</v>
      </c>
      <c r="Q28" s="12">
        <v>113</v>
      </c>
      <c r="R28" s="12">
        <v>42</v>
      </c>
      <c r="S28" s="12">
        <v>65</v>
      </c>
      <c r="T28" s="12">
        <v>39</v>
      </c>
      <c r="U28" s="12">
        <v>56</v>
      </c>
      <c r="V28" s="12">
        <v>109</v>
      </c>
      <c r="W28" s="12">
        <v>56</v>
      </c>
      <c r="X28" s="12">
        <v>86</v>
      </c>
      <c r="Y28" s="12">
        <v>104</v>
      </c>
      <c r="Z28" s="12">
        <v>21</v>
      </c>
      <c r="AA28" s="12">
        <v>116</v>
      </c>
      <c r="AB28" s="12">
        <v>108</v>
      </c>
      <c r="AC28" s="12">
        <v>143</v>
      </c>
      <c r="AD28" s="12">
        <v>123</v>
      </c>
      <c r="AE28" s="12">
        <v>23</v>
      </c>
      <c r="AF28" s="12">
        <v>20</v>
      </c>
    </row>
    <row r="29" spans="1:32" x14ac:dyDescent="0.35">
      <c r="A29" s="31"/>
      <c r="B29" s="13" t="s">
        <v>535</v>
      </c>
      <c r="C29" s="14">
        <v>0.08</v>
      </c>
      <c r="D29" s="14">
        <v>0.15</v>
      </c>
      <c r="E29" s="14">
        <v>0.08</v>
      </c>
      <c r="F29" s="14">
        <v>0.05</v>
      </c>
      <c r="G29" s="14">
        <v>0.02</v>
      </c>
      <c r="H29" s="14">
        <v>0.1</v>
      </c>
      <c r="I29" s="14">
        <v>0.1</v>
      </c>
      <c r="J29" s="14">
        <v>0.13</v>
      </c>
      <c r="K29" s="14">
        <v>0.09</v>
      </c>
      <c r="L29" s="14">
        <v>0.14000000000000001</v>
      </c>
      <c r="M29" s="14">
        <v>0.09</v>
      </c>
      <c r="N29" s="14">
        <v>7.0000000000000007E-2</v>
      </c>
      <c r="O29" s="14">
        <v>0.08</v>
      </c>
      <c r="P29" s="14">
        <v>0.09</v>
      </c>
      <c r="Q29" s="14">
        <v>0.11</v>
      </c>
      <c r="R29" s="14">
        <v>0.08</v>
      </c>
      <c r="S29" s="14">
        <v>0.06</v>
      </c>
      <c r="T29" s="14">
        <v>0.04</v>
      </c>
      <c r="U29" s="14">
        <v>0.11</v>
      </c>
      <c r="V29" s="14">
        <v>0.11</v>
      </c>
      <c r="W29" s="14">
        <v>0.11</v>
      </c>
      <c r="X29" s="14">
        <v>0.09</v>
      </c>
      <c r="Y29" s="14">
        <v>0.1</v>
      </c>
      <c r="Z29" s="14">
        <v>0.02</v>
      </c>
      <c r="AA29" s="14">
        <v>0.11</v>
      </c>
      <c r="AB29" s="14">
        <v>0.1</v>
      </c>
      <c r="AC29" s="14">
        <v>0.14000000000000001</v>
      </c>
      <c r="AD29" s="14">
        <v>0.12</v>
      </c>
      <c r="AE29" s="14">
        <v>0.02</v>
      </c>
      <c r="AF29" s="14">
        <v>0.02</v>
      </c>
    </row>
    <row r="30" spans="1:32" ht="31.5" x14ac:dyDescent="0.35">
      <c r="A30" s="31"/>
      <c r="B30" s="11" t="s">
        <v>549</v>
      </c>
      <c r="C30" s="12">
        <v>4376</v>
      </c>
      <c r="D30" s="12">
        <v>195</v>
      </c>
      <c r="E30" s="12">
        <v>109</v>
      </c>
      <c r="F30" s="12">
        <v>99</v>
      </c>
      <c r="G30" s="12">
        <v>255</v>
      </c>
      <c r="H30" s="12">
        <v>181</v>
      </c>
      <c r="I30" s="12">
        <v>227</v>
      </c>
      <c r="J30" s="12">
        <v>46</v>
      </c>
      <c r="K30" s="12">
        <v>78</v>
      </c>
      <c r="L30" s="12">
        <v>212</v>
      </c>
      <c r="M30" s="12">
        <v>175</v>
      </c>
      <c r="N30" s="12">
        <v>126</v>
      </c>
      <c r="O30" s="12">
        <v>194</v>
      </c>
      <c r="P30" s="12">
        <v>168</v>
      </c>
      <c r="Q30" s="12">
        <v>188</v>
      </c>
      <c r="R30" s="12">
        <v>34</v>
      </c>
      <c r="S30" s="12">
        <v>29</v>
      </c>
      <c r="T30" s="12">
        <v>81</v>
      </c>
      <c r="U30" s="12">
        <v>70</v>
      </c>
      <c r="V30" s="12">
        <v>175</v>
      </c>
      <c r="W30" s="12">
        <v>104</v>
      </c>
      <c r="X30" s="12">
        <v>262</v>
      </c>
      <c r="Y30" s="12">
        <v>217</v>
      </c>
      <c r="Z30" s="12">
        <v>133</v>
      </c>
      <c r="AA30" s="12">
        <v>190</v>
      </c>
      <c r="AB30" s="12">
        <v>101</v>
      </c>
      <c r="AC30" s="12">
        <v>105</v>
      </c>
      <c r="AD30" s="12">
        <v>138</v>
      </c>
      <c r="AE30" s="12">
        <v>172</v>
      </c>
      <c r="AF30" s="12">
        <v>346</v>
      </c>
    </row>
    <row r="31" spans="1:32" ht="21.5" x14ac:dyDescent="0.35">
      <c r="A31" s="31"/>
      <c r="B31" s="13" t="s">
        <v>537</v>
      </c>
      <c r="C31" s="14">
        <v>0.17</v>
      </c>
      <c r="D31" s="14">
        <v>0.19</v>
      </c>
      <c r="E31" s="14">
        <v>0.11</v>
      </c>
      <c r="F31" s="14">
        <v>0.1</v>
      </c>
      <c r="G31" s="14">
        <v>0.25</v>
      </c>
      <c r="H31" s="14">
        <v>0.15</v>
      </c>
      <c r="I31" s="14">
        <v>0.15</v>
      </c>
      <c r="J31" s="14">
        <v>0.15</v>
      </c>
      <c r="K31" s="14">
        <v>0.08</v>
      </c>
      <c r="L31" s="14">
        <v>0.21</v>
      </c>
      <c r="M31" s="14">
        <v>0.17</v>
      </c>
      <c r="N31" s="14">
        <v>0.13</v>
      </c>
      <c r="O31" s="14">
        <v>0.19</v>
      </c>
      <c r="P31" s="14">
        <v>0.17</v>
      </c>
      <c r="Q31" s="14">
        <v>0.18</v>
      </c>
      <c r="R31" s="14">
        <v>7.0000000000000007E-2</v>
      </c>
      <c r="S31" s="14">
        <v>0.03</v>
      </c>
      <c r="T31" s="14">
        <v>0.08</v>
      </c>
      <c r="U31" s="14">
        <v>0.14000000000000001</v>
      </c>
      <c r="V31" s="14">
        <v>0.17</v>
      </c>
      <c r="W31" s="14">
        <v>0.21</v>
      </c>
      <c r="X31" s="14">
        <v>0.26</v>
      </c>
      <c r="Y31" s="14">
        <v>0.22</v>
      </c>
      <c r="Z31" s="14">
        <v>0.13</v>
      </c>
      <c r="AA31" s="14">
        <v>0.18</v>
      </c>
      <c r="AB31" s="14">
        <v>0.1</v>
      </c>
      <c r="AC31" s="14">
        <v>0.1</v>
      </c>
      <c r="AD31" s="14">
        <v>0.14000000000000001</v>
      </c>
      <c r="AE31" s="14">
        <v>0.17</v>
      </c>
      <c r="AF31" s="14">
        <v>0.34</v>
      </c>
    </row>
    <row r="32" spans="1:32" ht="21.5" x14ac:dyDescent="0.35">
      <c r="A32" s="31"/>
      <c r="B32" s="11" t="s">
        <v>538</v>
      </c>
      <c r="C32" s="12">
        <v>6157</v>
      </c>
      <c r="D32" s="12">
        <v>246</v>
      </c>
      <c r="E32" s="12">
        <v>296</v>
      </c>
      <c r="F32" s="12">
        <v>232</v>
      </c>
      <c r="G32" s="12">
        <v>143</v>
      </c>
      <c r="H32" s="12">
        <v>160</v>
      </c>
      <c r="I32" s="12">
        <v>220</v>
      </c>
      <c r="J32" s="12">
        <v>60</v>
      </c>
      <c r="K32" s="12">
        <v>238</v>
      </c>
      <c r="L32" s="12">
        <v>240</v>
      </c>
      <c r="M32" s="12">
        <v>297</v>
      </c>
      <c r="N32" s="12">
        <v>208</v>
      </c>
      <c r="O32" s="12">
        <v>262</v>
      </c>
      <c r="P32" s="12">
        <v>333</v>
      </c>
      <c r="Q32" s="12">
        <v>228</v>
      </c>
      <c r="R32" s="12">
        <v>106</v>
      </c>
      <c r="S32" s="12">
        <v>159</v>
      </c>
      <c r="T32" s="12">
        <v>204</v>
      </c>
      <c r="U32" s="12">
        <v>103</v>
      </c>
      <c r="V32" s="12">
        <v>351</v>
      </c>
      <c r="W32" s="12">
        <v>119</v>
      </c>
      <c r="X32" s="12">
        <v>180</v>
      </c>
      <c r="Y32" s="12">
        <v>260</v>
      </c>
      <c r="Z32" s="12">
        <v>315</v>
      </c>
      <c r="AA32" s="12">
        <v>308</v>
      </c>
      <c r="AB32" s="12">
        <v>361</v>
      </c>
      <c r="AC32" s="12">
        <v>397</v>
      </c>
      <c r="AD32" s="12">
        <v>353</v>
      </c>
      <c r="AE32" s="12">
        <v>254</v>
      </c>
      <c r="AF32" s="12">
        <v>247</v>
      </c>
    </row>
    <row r="33" spans="1:32" x14ac:dyDescent="0.35">
      <c r="A33" s="31"/>
      <c r="B33" s="13" t="s">
        <v>539</v>
      </c>
      <c r="C33" s="14">
        <v>0.23</v>
      </c>
      <c r="D33" s="14">
        <v>0.24</v>
      </c>
      <c r="E33" s="14">
        <v>0.28000000000000003</v>
      </c>
      <c r="F33" s="14">
        <v>0.23</v>
      </c>
      <c r="G33" s="14">
        <v>0.14000000000000001</v>
      </c>
      <c r="H33" s="14">
        <v>0.13</v>
      </c>
      <c r="I33" s="14">
        <v>0.14000000000000001</v>
      </c>
      <c r="J33" s="14">
        <v>0.2</v>
      </c>
      <c r="K33" s="14">
        <v>0.24</v>
      </c>
      <c r="L33" s="14">
        <v>0.24</v>
      </c>
      <c r="M33" s="14">
        <v>0.3</v>
      </c>
      <c r="N33" s="14">
        <v>0.21</v>
      </c>
      <c r="O33" s="14">
        <v>0.26</v>
      </c>
      <c r="P33" s="14">
        <v>0.33</v>
      </c>
      <c r="Q33" s="14">
        <v>0.22</v>
      </c>
      <c r="R33" s="14">
        <v>0.21</v>
      </c>
      <c r="S33" s="14">
        <v>0.16</v>
      </c>
      <c r="T33" s="14">
        <v>0.2</v>
      </c>
      <c r="U33" s="14">
        <v>0.2</v>
      </c>
      <c r="V33" s="14">
        <v>0.35</v>
      </c>
      <c r="W33" s="14">
        <v>0.24</v>
      </c>
      <c r="X33" s="14">
        <v>0.18</v>
      </c>
      <c r="Y33" s="14">
        <v>0.26</v>
      </c>
      <c r="Z33" s="14">
        <v>0.31</v>
      </c>
      <c r="AA33" s="14">
        <v>0.3</v>
      </c>
      <c r="AB33" s="14">
        <v>0.34</v>
      </c>
      <c r="AC33" s="14">
        <v>0.39</v>
      </c>
      <c r="AD33" s="14">
        <v>0.35</v>
      </c>
      <c r="AE33" s="14">
        <v>0.25</v>
      </c>
      <c r="AF33" s="14">
        <v>0.24</v>
      </c>
    </row>
    <row r="34" spans="1:32" x14ac:dyDescent="0.35">
      <c r="A34" s="31"/>
      <c r="B34" s="11" t="s">
        <v>540</v>
      </c>
      <c r="C34" s="12">
        <v>6547</v>
      </c>
      <c r="D34" s="12">
        <v>259</v>
      </c>
      <c r="E34" s="12">
        <v>184</v>
      </c>
      <c r="F34" s="12">
        <v>191</v>
      </c>
      <c r="G34" s="12">
        <v>205</v>
      </c>
      <c r="H34" s="12">
        <v>312</v>
      </c>
      <c r="I34" s="12">
        <v>396</v>
      </c>
      <c r="J34" s="12">
        <v>84</v>
      </c>
      <c r="K34" s="12">
        <v>247</v>
      </c>
      <c r="L34" s="12">
        <v>271</v>
      </c>
      <c r="M34" s="12">
        <v>290</v>
      </c>
      <c r="N34" s="12">
        <v>423</v>
      </c>
      <c r="O34" s="12">
        <v>292</v>
      </c>
      <c r="P34" s="12">
        <v>187</v>
      </c>
      <c r="Q34" s="12">
        <v>199</v>
      </c>
      <c r="R34" s="12">
        <v>163</v>
      </c>
      <c r="S34" s="12">
        <v>255</v>
      </c>
      <c r="T34" s="12">
        <v>201</v>
      </c>
      <c r="U34" s="12">
        <v>120</v>
      </c>
      <c r="V34" s="12">
        <v>155</v>
      </c>
      <c r="W34" s="12">
        <v>149</v>
      </c>
      <c r="X34" s="12">
        <v>213</v>
      </c>
      <c r="Y34" s="12">
        <v>205</v>
      </c>
      <c r="Z34" s="12">
        <v>132</v>
      </c>
      <c r="AA34" s="12">
        <v>216</v>
      </c>
      <c r="AB34" s="12">
        <v>208</v>
      </c>
      <c r="AC34" s="12">
        <v>182</v>
      </c>
      <c r="AD34" s="12">
        <v>205</v>
      </c>
      <c r="AE34" s="12">
        <v>226</v>
      </c>
      <c r="AF34" s="12">
        <v>265</v>
      </c>
    </row>
    <row r="35" spans="1:32" x14ac:dyDescent="0.35">
      <c r="A35" s="31"/>
      <c r="B35" s="13" t="s">
        <v>541</v>
      </c>
      <c r="C35" s="14">
        <v>0.25</v>
      </c>
      <c r="D35" s="14">
        <v>0.25</v>
      </c>
      <c r="E35" s="14">
        <v>0.18</v>
      </c>
      <c r="F35" s="14">
        <v>0.19</v>
      </c>
      <c r="G35" s="14">
        <v>0.2</v>
      </c>
      <c r="H35" s="14">
        <v>0.25</v>
      </c>
      <c r="I35" s="14">
        <v>0.26</v>
      </c>
      <c r="J35" s="14">
        <v>0.28000000000000003</v>
      </c>
      <c r="K35" s="14">
        <v>0.24</v>
      </c>
      <c r="L35" s="14">
        <v>0.27</v>
      </c>
      <c r="M35" s="14">
        <v>0.28999999999999998</v>
      </c>
      <c r="N35" s="14">
        <v>0.42</v>
      </c>
      <c r="O35" s="14">
        <v>0.28999999999999998</v>
      </c>
      <c r="P35" s="14">
        <v>0.19</v>
      </c>
      <c r="Q35" s="14">
        <v>0.19</v>
      </c>
      <c r="R35" s="14">
        <v>0.33</v>
      </c>
      <c r="S35" s="14">
        <v>0.25</v>
      </c>
      <c r="T35" s="14">
        <v>0.2</v>
      </c>
      <c r="U35" s="14">
        <v>0.24</v>
      </c>
      <c r="V35" s="14">
        <v>0.15</v>
      </c>
      <c r="W35" s="14">
        <v>0.3</v>
      </c>
      <c r="X35" s="14">
        <v>0.21</v>
      </c>
      <c r="Y35" s="14">
        <v>0.2</v>
      </c>
      <c r="Z35" s="14">
        <v>0.13</v>
      </c>
      <c r="AA35" s="14">
        <v>0.21</v>
      </c>
      <c r="AB35" s="14">
        <v>0.2</v>
      </c>
      <c r="AC35" s="14">
        <v>0.18</v>
      </c>
      <c r="AD35" s="14">
        <v>0.2</v>
      </c>
      <c r="AE35" s="14">
        <v>0.22</v>
      </c>
      <c r="AF35" s="14">
        <v>0.26</v>
      </c>
    </row>
    <row r="36" spans="1:32" ht="31.5" x14ac:dyDescent="0.35">
      <c r="A36" s="31"/>
      <c r="B36" s="11" t="s">
        <v>542</v>
      </c>
      <c r="C36" s="12">
        <v>4205</v>
      </c>
      <c r="D36" s="12">
        <v>115</v>
      </c>
      <c r="E36" s="12">
        <v>351</v>
      </c>
      <c r="F36" s="12">
        <v>159</v>
      </c>
      <c r="G36" s="12">
        <v>57</v>
      </c>
      <c r="H36" s="12">
        <v>164</v>
      </c>
      <c r="I36" s="12">
        <v>214</v>
      </c>
      <c r="J36" s="12">
        <v>51</v>
      </c>
      <c r="K36" s="12">
        <v>156</v>
      </c>
      <c r="L36" s="12">
        <v>172</v>
      </c>
      <c r="M36" s="12">
        <v>265</v>
      </c>
      <c r="N36" s="12">
        <v>151</v>
      </c>
      <c r="O36" s="12">
        <v>134</v>
      </c>
      <c r="P36" s="12">
        <v>306</v>
      </c>
      <c r="Q36" s="12">
        <v>171</v>
      </c>
      <c r="R36" s="12">
        <v>113</v>
      </c>
      <c r="S36" s="12">
        <v>248</v>
      </c>
      <c r="T36" s="12">
        <v>163</v>
      </c>
      <c r="U36" s="12">
        <v>58</v>
      </c>
      <c r="V36" s="12">
        <v>176</v>
      </c>
      <c r="W36" s="12">
        <v>71</v>
      </c>
      <c r="X36" s="12">
        <v>100</v>
      </c>
      <c r="Y36" s="12">
        <v>221</v>
      </c>
      <c r="Z36" s="12">
        <v>214</v>
      </c>
      <c r="AA36" s="12">
        <v>203</v>
      </c>
      <c r="AB36" s="12">
        <v>233</v>
      </c>
      <c r="AC36" s="12">
        <v>136</v>
      </c>
      <c r="AD36" s="12">
        <v>161</v>
      </c>
      <c r="AE36" s="12">
        <v>72</v>
      </c>
      <c r="AF36" s="12">
        <v>59</v>
      </c>
    </row>
    <row r="37" spans="1:32" ht="21.5" x14ac:dyDescent="0.35">
      <c r="A37" s="31"/>
      <c r="B37" s="13" t="s">
        <v>543</v>
      </c>
      <c r="C37" s="14">
        <v>0.16</v>
      </c>
      <c r="D37" s="14">
        <v>0.11</v>
      </c>
      <c r="E37" s="14">
        <v>0.34</v>
      </c>
      <c r="F37" s="14">
        <v>0.16</v>
      </c>
      <c r="G37" s="14">
        <v>0.06</v>
      </c>
      <c r="H37" s="14">
        <v>0.13</v>
      </c>
      <c r="I37" s="14">
        <v>0.14000000000000001</v>
      </c>
      <c r="J37" s="14">
        <v>0.17</v>
      </c>
      <c r="K37" s="14">
        <v>0.15</v>
      </c>
      <c r="L37" s="14">
        <v>0.17</v>
      </c>
      <c r="M37" s="14">
        <v>0.26</v>
      </c>
      <c r="N37" s="14">
        <v>0.15</v>
      </c>
      <c r="O37" s="14">
        <v>0.13</v>
      </c>
      <c r="P37" s="14">
        <v>0.3</v>
      </c>
      <c r="Q37" s="14">
        <v>0.16</v>
      </c>
      <c r="R37" s="14">
        <v>0.22</v>
      </c>
      <c r="S37" s="14">
        <v>0.24</v>
      </c>
      <c r="T37" s="14">
        <v>0.16</v>
      </c>
      <c r="U37" s="14">
        <v>0.11</v>
      </c>
      <c r="V37" s="14">
        <v>0.17</v>
      </c>
      <c r="W37" s="14">
        <v>0.14000000000000001</v>
      </c>
      <c r="X37" s="14">
        <v>0.1</v>
      </c>
      <c r="Y37" s="14">
        <v>0.22</v>
      </c>
      <c r="Z37" s="14">
        <v>0.21</v>
      </c>
      <c r="AA37" s="14">
        <v>0.2</v>
      </c>
      <c r="AB37" s="14">
        <v>0.22</v>
      </c>
      <c r="AC37" s="14">
        <v>0.13</v>
      </c>
      <c r="AD37" s="14">
        <v>0.16</v>
      </c>
      <c r="AE37" s="14">
        <v>7.0000000000000007E-2</v>
      </c>
      <c r="AF37" s="14">
        <v>0.06</v>
      </c>
    </row>
    <row r="38" spans="1:32" x14ac:dyDescent="0.35">
      <c r="A38" s="31"/>
      <c r="B38" s="11" t="s">
        <v>544</v>
      </c>
      <c r="C38" s="12">
        <v>2027</v>
      </c>
      <c r="D38" s="12">
        <v>81</v>
      </c>
      <c r="E38" s="12">
        <v>72</v>
      </c>
      <c r="F38" s="12">
        <v>54</v>
      </c>
      <c r="G38" s="12">
        <v>41</v>
      </c>
      <c r="H38" s="12">
        <v>61</v>
      </c>
      <c r="I38" s="12">
        <v>80</v>
      </c>
      <c r="J38" s="12">
        <v>19</v>
      </c>
      <c r="K38" s="12">
        <v>131</v>
      </c>
      <c r="L38" s="12">
        <v>97</v>
      </c>
      <c r="M38" s="12">
        <v>89</v>
      </c>
      <c r="N38" s="12">
        <v>92</v>
      </c>
      <c r="O38" s="12">
        <v>85</v>
      </c>
      <c r="P38" s="12">
        <v>79</v>
      </c>
      <c r="Q38" s="12">
        <v>118</v>
      </c>
      <c r="R38" s="12">
        <v>89</v>
      </c>
      <c r="S38" s="12">
        <v>97</v>
      </c>
      <c r="T38" s="12">
        <v>67</v>
      </c>
      <c r="U38" s="12">
        <v>40</v>
      </c>
      <c r="V38" s="12">
        <v>78</v>
      </c>
      <c r="W38" s="12">
        <v>66</v>
      </c>
      <c r="X38" s="12">
        <v>64</v>
      </c>
      <c r="Y38" s="12">
        <v>66</v>
      </c>
      <c r="Z38" s="12">
        <v>59</v>
      </c>
      <c r="AA38" s="12">
        <v>125</v>
      </c>
      <c r="AB38" s="12">
        <v>74</v>
      </c>
      <c r="AC38" s="12">
        <v>80</v>
      </c>
      <c r="AD38" s="12">
        <v>59</v>
      </c>
      <c r="AE38" s="12">
        <v>23</v>
      </c>
      <c r="AF38" s="12">
        <v>42</v>
      </c>
    </row>
    <row r="39" spans="1:32" x14ac:dyDescent="0.35">
      <c r="A39" s="31"/>
      <c r="B39" s="13" t="s">
        <v>545</v>
      </c>
      <c r="C39" s="14">
        <v>0.08</v>
      </c>
      <c r="D39" s="14">
        <v>0.08</v>
      </c>
      <c r="E39" s="14">
        <v>7.0000000000000007E-2</v>
      </c>
      <c r="F39" s="14">
        <v>0.05</v>
      </c>
      <c r="G39" s="14">
        <v>0.04</v>
      </c>
      <c r="H39" s="14">
        <v>0.05</v>
      </c>
      <c r="I39" s="14">
        <v>0.05</v>
      </c>
      <c r="J39" s="14">
        <v>0.06</v>
      </c>
      <c r="K39" s="14">
        <v>0.13</v>
      </c>
      <c r="L39" s="14">
        <v>0.1</v>
      </c>
      <c r="M39" s="14">
        <v>0.09</v>
      </c>
      <c r="N39" s="14">
        <v>0.09</v>
      </c>
      <c r="O39" s="14">
        <v>0.09</v>
      </c>
      <c r="P39" s="14">
        <v>0.08</v>
      </c>
      <c r="Q39" s="14">
        <v>0.11</v>
      </c>
      <c r="R39" s="14">
        <v>0.18</v>
      </c>
      <c r="S39" s="14">
        <v>0.09</v>
      </c>
      <c r="T39" s="14">
        <v>7.0000000000000007E-2</v>
      </c>
      <c r="U39" s="14">
        <v>0.08</v>
      </c>
      <c r="V39" s="14">
        <v>0.08</v>
      </c>
      <c r="W39" s="14">
        <v>0.13</v>
      </c>
      <c r="X39" s="14">
        <v>0.06</v>
      </c>
      <c r="Y39" s="14">
        <v>7.0000000000000007E-2</v>
      </c>
      <c r="Z39" s="14">
        <v>0.06</v>
      </c>
      <c r="AA39" s="14">
        <v>0.12</v>
      </c>
      <c r="AB39" s="14">
        <v>7.0000000000000007E-2</v>
      </c>
      <c r="AC39" s="14">
        <v>0.08</v>
      </c>
      <c r="AD39" s="14">
        <v>0.06</v>
      </c>
      <c r="AE39" s="14">
        <v>0.02</v>
      </c>
      <c r="AF39" s="14">
        <v>0.04</v>
      </c>
    </row>
    <row r="40" spans="1:32" x14ac:dyDescent="0.35">
      <c r="A40" s="31"/>
      <c r="B40" s="11" t="s">
        <v>407</v>
      </c>
      <c r="C40" s="12">
        <v>170</v>
      </c>
      <c r="D40" s="12">
        <v>1</v>
      </c>
      <c r="E40" s="12">
        <v>6</v>
      </c>
      <c r="F40" s="12">
        <v>1</v>
      </c>
      <c r="G40" s="12">
        <v>4</v>
      </c>
      <c r="H40" s="12">
        <v>8</v>
      </c>
      <c r="I40" s="12">
        <v>8</v>
      </c>
      <c r="J40" s="12">
        <v>0</v>
      </c>
      <c r="K40" s="12">
        <v>6</v>
      </c>
      <c r="L40" s="12">
        <v>3</v>
      </c>
      <c r="M40" s="12">
        <v>2</v>
      </c>
      <c r="N40" s="12">
        <v>6</v>
      </c>
      <c r="O40" s="12">
        <v>20</v>
      </c>
      <c r="P40" s="12">
        <v>3</v>
      </c>
      <c r="Q40" s="12">
        <v>3</v>
      </c>
      <c r="R40" s="12">
        <v>4</v>
      </c>
      <c r="S40" s="12">
        <v>4</v>
      </c>
      <c r="T40" s="12">
        <v>5</v>
      </c>
      <c r="U40" s="12">
        <v>2</v>
      </c>
      <c r="V40" s="12">
        <v>0</v>
      </c>
      <c r="W40" s="12">
        <v>1</v>
      </c>
      <c r="X40" s="12">
        <v>5</v>
      </c>
      <c r="Y40" s="12">
        <v>15</v>
      </c>
      <c r="Z40" s="12">
        <v>2</v>
      </c>
      <c r="AA40" s="12">
        <v>2</v>
      </c>
      <c r="AB40" s="12">
        <v>6</v>
      </c>
      <c r="AC40" s="12">
        <v>2</v>
      </c>
      <c r="AD40" s="12">
        <v>1</v>
      </c>
      <c r="AE40" s="12">
        <v>4</v>
      </c>
      <c r="AF40" s="12">
        <v>0</v>
      </c>
    </row>
    <row r="41" spans="1:32" x14ac:dyDescent="0.35">
      <c r="A41" s="31"/>
      <c r="B41" s="13" t="s">
        <v>408</v>
      </c>
      <c r="C41" s="14">
        <v>0.01</v>
      </c>
      <c r="D41" s="15" t="s">
        <v>333</v>
      </c>
      <c r="E41" s="14">
        <v>0.01</v>
      </c>
      <c r="F41" s="15" t="s">
        <v>333</v>
      </c>
      <c r="G41" s="15" t="s">
        <v>333</v>
      </c>
      <c r="H41" s="14">
        <v>0.01</v>
      </c>
      <c r="I41" s="14">
        <v>0.01</v>
      </c>
      <c r="J41" s="15" t="s">
        <v>333</v>
      </c>
      <c r="K41" s="14">
        <v>0.01</v>
      </c>
      <c r="L41" s="15" t="s">
        <v>333</v>
      </c>
      <c r="M41" s="15" t="s">
        <v>333</v>
      </c>
      <c r="N41" s="14">
        <v>0.01</v>
      </c>
      <c r="O41" s="14">
        <v>0.02</v>
      </c>
      <c r="P41" s="15" t="s">
        <v>333</v>
      </c>
      <c r="Q41" s="15" t="s">
        <v>333</v>
      </c>
      <c r="R41" s="14">
        <v>0.01</v>
      </c>
      <c r="S41" s="15" t="s">
        <v>333</v>
      </c>
      <c r="T41" s="15" t="s">
        <v>333</v>
      </c>
      <c r="U41" s="15" t="s">
        <v>333</v>
      </c>
      <c r="V41" s="15" t="s">
        <v>333</v>
      </c>
      <c r="W41" s="15" t="s">
        <v>333</v>
      </c>
      <c r="X41" s="14">
        <v>0.01</v>
      </c>
      <c r="Y41" s="14">
        <v>0.02</v>
      </c>
      <c r="Z41" s="15" t="s">
        <v>333</v>
      </c>
      <c r="AA41" s="15" t="s">
        <v>333</v>
      </c>
      <c r="AB41" s="14">
        <v>0.01</v>
      </c>
      <c r="AC41" s="15" t="s">
        <v>333</v>
      </c>
      <c r="AD41" s="15" t="s">
        <v>333</v>
      </c>
      <c r="AE41" s="15" t="s">
        <v>333</v>
      </c>
      <c r="AF41" s="15" t="s">
        <v>333</v>
      </c>
    </row>
    <row r="42" spans="1:32" x14ac:dyDescent="0.35">
      <c r="A42" s="31"/>
      <c r="B42" s="11" t="s">
        <v>452</v>
      </c>
      <c r="C42" s="12">
        <v>110</v>
      </c>
      <c r="D42" s="12">
        <v>1</v>
      </c>
      <c r="E42" s="12">
        <v>6</v>
      </c>
      <c r="F42" s="12">
        <v>3</v>
      </c>
      <c r="G42" s="12">
        <v>5</v>
      </c>
      <c r="H42" s="12">
        <v>6</v>
      </c>
      <c r="I42" s="12">
        <v>6</v>
      </c>
      <c r="J42" s="12">
        <v>1</v>
      </c>
      <c r="K42" s="12">
        <v>6</v>
      </c>
      <c r="L42" s="12">
        <v>4</v>
      </c>
      <c r="M42" s="12">
        <v>4</v>
      </c>
      <c r="N42" s="12">
        <v>8</v>
      </c>
      <c r="O42" s="12">
        <v>3</v>
      </c>
      <c r="P42" s="12">
        <v>2</v>
      </c>
      <c r="Q42" s="12">
        <v>8</v>
      </c>
      <c r="R42" s="12">
        <v>4</v>
      </c>
      <c r="S42" s="12">
        <v>1</v>
      </c>
      <c r="T42" s="12">
        <v>0</v>
      </c>
      <c r="U42" s="12">
        <v>1</v>
      </c>
      <c r="V42" s="12">
        <v>0</v>
      </c>
      <c r="W42" s="12">
        <v>0</v>
      </c>
      <c r="X42" s="12">
        <v>9</v>
      </c>
      <c r="Y42" s="12">
        <v>5</v>
      </c>
      <c r="Z42" s="12">
        <v>2</v>
      </c>
      <c r="AA42" s="12">
        <v>2</v>
      </c>
      <c r="AB42" s="12">
        <v>0</v>
      </c>
      <c r="AC42" s="12">
        <v>2</v>
      </c>
      <c r="AD42" s="12">
        <v>2</v>
      </c>
      <c r="AE42" s="12">
        <v>3</v>
      </c>
      <c r="AF42" s="12">
        <v>1</v>
      </c>
    </row>
    <row r="43" spans="1:32" x14ac:dyDescent="0.35">
      <c r="A43" s="31"/>
      <c r="B43" s="13" t="s">
        <v>453</v>
      </c>
      <c r="C43" s="15" t="s">
        <v>333</v>
      </c>
      <c r="D43" s="15" t="s">
        <v>333</v>
      </c>
      <c r="E43" s="14">
        <v>0.01</v>
      </c>
      <c r="F43" s="15" t="s">
        <v>333</v>
      </c>
      <c r="G43" s="15" t="s">
        <v>333</v>
      </c>
      <c r="H43" s="15" t="s">
        <v>333</v>
      </c>
      <c r="I43" s="15" t="s">
        <v>333</v>
      </c>
      <c r="J43" s="15" t="s">
        <v>333</v>
      </c>
      <c r="K43" s="14">
        <v>0.01</v>
      </c>
      <c r="L43" s="15" t="s">
        <v>333</v>
      </c>
      <c r="M43" s="15" t="s">
        <v>333</v>
      </c>
      <c r="N43" s="14">
        <v>0.01</v>
      </c>
      <c r="O43" s="15" t="s">
        <v>333</v>
      </c>
      <c r="P43" s="15" t="s">
        <v>333</v>
      </c>
      <c r="Q43" s="14">
        <v>0.01</v>
      </c>
      <c r="R43" s="14">
        <v>0.01</v>
      </c>
      <c r="S43" s="15" t="s">
        <v>333</v>
      </c>
      <c r="T43" s="15" t="s">
        <v>333</v>
      </c>
      <c r="U43" s="15" t="s">
        <v>333</v>
      </c>
      <c r="V43" s="15" t="s">
        <v>333</v>
      </c>
      <c r="W43" s="15" t="s">
        <v>333</v>
      </c>
      <c r="X43" s="14">
        <v>0.01</v>
      </c>
      <c r="Y43" s="15" t="s">
        <v>333</v>
      </c>
      <c r="Z43" s="15" t="s">
        <v>333</v>
      </c>
      <c r="AA43" s="15" t="s">
        <v>333</v>
      </c>
      <c r="AB43" s="15" t="s">
        <v>333</v>
      </c>
      <c r="AC43" s="15" t="s">
        <v>333</v>
      </c>
      <c r="AD43" s="15" t="s">
        <v>333</v>
      </c>
      <c r="AE43" s="15" t="s">
        <v>333</v>
      </c>
      <c r="AF43" s="15" t="s">
        <v>333</v>
      </c>
    </row>
    <row r="44" spans="1:32" x14ac:dyDescent="0.35">
      <c r="A44" s="31"/>
      <c r="B44" s="11" t="s">
        <v>344</v>
      </c>
      <c r="C44" s="12">
        <v>291</v>
      </c>
      <c r="D44" s="12">
        <v>2</v>
      </c>
      <c r="E44" s="12">
        <v>17</v>
      </c>
      <c r="F44" s="12">
        <v>21</v>
      </c>
      <c r="G44" s="12">
        <v>6</v>
      </c>
      <c r="H44" s="12">
        <v>7</v>
      </c>
      <c r="I44" s="12">
        <v>7</v>
      </c>
      <c r="J44" s="12">
        <v>0</v>
      </c>
      <c r="K44" s="12">
        <v>10</v>
      </c>
      <c r="L44" s="12">
        <v>9</v>
      </c>
      <c r="M44" s="12">
        <v>4</v>
      </c>
      <c r="N44" s="12">
        <v>20</v>
      </c>
      <c r="O44" s="12">
        <v>20</v>
      </c>
      <c r="P44" s="12">
        <v>3</v>
      </c>
      <c r="Q44" s="12">
        <v>6</v>
      </c>
      <c r="R44" s="12">
        <v>3</v>
      </c>
      <c r="S44" s="12">
        <v>12</v>
      </c>
      <c r="T44" s="12">
        <v>13</v>
      </c>
      <c r="U44" s="12">
        <v>2</v>
      </c>
      <c r="V44" s="12">
        <v>5</v>
      </c>
      <c r="W44" s="12">
        <v>0</v>
      </c>
      <c r="X44" s="12">
        <v>1</v>
      </c>
      <c r="Y44" s="12">
        <v>4</v>
      </c>
      <c r="Z44" s="12">
        <v>16</v>
      </c>
      <c r="AA44" s="12">
        <v>28</v>
      </c>
      <c r="AB44" s="12">
        <v>17</v>
      </c>
      <c r="AC44" s="12">
        <v>6</v>
      </c>
      <c r="AD44" s="12">
        <v>0</v>
      </c>
      <c r="AE44" s="12">
        <v>5</v>
      </c>
      <c r="AF44" s="12">
        <v>2</v>
      </c>
    </row>
    <row r="45" spans="1:32" x14ac:dyDescent="0.35">
      <c r="A45" s="31"/>
      <c r="B45" s="13" t="s">
        <v>357</v>
      </c>
      <c r="C45" s="14">
        <v>0.01</v>
      </c>
      <c r="D45" s="15" t="s">
        <v>333</v>
      </c>
      <c r="E45" s="14">
        <v>0.02</v>
      </c>
      <c r="F45" s="14">
        <v>0.02</v>
      </c>
      <c r="G45" s="14">
        <v>0.01</v>
      </c>
      <c r="H45" s="14">
        <v>0.01</v>
      </c>
      <c r="I45" s="15" t="s">
        <v>333</v>
      </c>
      <c r="J45" s="15" t="s">
        <v>333</v>
      </c>
      <c r="K45" s="14">
        <v>0.01</v>
      </c>
      <c r="L45" s="14">
        <v>0.01</v>
      </c>
      <c r="M45" s="15" t="s">
        <v>333</v>
      </c>
      <c r="N45" s="14">
        <v>0.02</v>
      </c>
      <c r="O45" s="14">
        <v>0.02</v>
      </c>
      <c r="P45" s="15" t="s">
        <v>333</v>
      </c>
      <c r="Q45" s="14">
        <v>0.01</v>
      </c>
      <c r="R45" s="14">
        <v>0.01</v>
      </c>
      <c r="S45" s="14">
        <v>0.01</v>
      </c>
      <c r="T45" s="14">
        <v>0.01</v>
      </c>
      <c r="U45" s="15" t="s">
        <v>333</v>
      </c>
      <c r="V45" s="15" t="s">
        <v>333</v>
      </c>
      <c r="W45" s="15" t="s">
        <v>333</v>
      </c>
      <c r="X45" s="15" t="s">
        <v>333</v>
      </c>
      <c r="Y45" s="15" t="s">
        <v>333</v>
      </c>
      <c r="Z45" s="14">
        <v>0.02</v>
      </c>
      <c r="AA45" s="14">
        <v>0.03</v>
      </c>
      <c r="AB45" s="14">
        <v>0.02</v>
      </c>
      <c r="AC45" s="14">
        <v>0.01</v>
      </c>
      <c r="AD45" s="15" t="s">
        <v>333</v>
      </c>
      <c r="AE45" s="14">
        <v>0.01</v>
      </c>
      <c r="AF45" s="15" t="s">
        <v>333</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55</v>
      </c>
      <c r="C3" s="30"/>
      <c r="D3" s="30"/>
      <c r="E3" s="30"/>
      <c r="F3" s="30"/>
      <c r="H3" s="30" t="s">
        <v>56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HYPERLINK("#Content!A29","&lt;&lt;Back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550</v>
      </c>
      <c r="C12" s="12">
        <v>6608</v>
      </c>
      <c r="D12" s="12">
        <v>304</v>
      </c>
      <c r="E12" s="12">
        <v>258</v>
      </c>
      <c r="F12" s="12">
        <v>152</v>
      </c>
      <c r="G12" s="12">
        <v>250</v>
      </c>
      <c r="H12" s="12">
        <v>379</v>
      </c>
      <c r="I12" s="12">
        <v>474</v>
      </c>
      <c r="J12" s="12">
        <v>96</v>
      </c>
      <c r="K12" s="12">
        <v>243</v>
      </c>
      <c r="L12" s="12">
        <v>456</v>
      </c>
      <c r="M12" s="12">
        <v>321</v>
      </c>
      <c r="N12" s="12">
        <v>257</v>
      </c>
      <c r="O12" s="12">
        <v>300</v>
      </c>
      <c r="P12" s="12">
        <v>212</v>
      </c>
      <c r="Q12" s="12">
        <v>187</v>
      </c>
      <c r="R12" s="12">
        <v>274</v>
      </c>
      <c r="S12" s="12">
        <v>335</v>
      </c>
      <c r="T12" s="12">
        <v>295</v>
      </c>
      <c r="U12" s="12">
        <v>194</v>
      </c>
      <c r="V12" s="12">
        <v>195</v>
      </c>
      <c r="W12" s="12">
        <v>250</v>
      </c>
      <c r="X12" s="12">
        <v>352</v>
      </c>
      <c r="Y12" s="12">
        <v>220</v>
      </c>
      <c r="Z12" s="12">
        <v>97</v>
      </c>
      <c r="AA12" s="12">
        <v>271</v>
      </c>
      <c r="AB12" s="12">
        <v>153</v>
      </c>
      <c r="AC12" s="12">
        <v>330</v>
      </c>
      <c r="AD12" s="12">
        <v>208</v>
      </c>
      <c r="AE12" s="12">
        <v>216</v>
      </c>
      <c r="AF12" s="12">
        <v>314</v>
      </c>
    </row>
    <row r="13" spans="1:32" x14ac:dyDescent="0.35">
      <c r="A13" s="31"/>
      <c r="B13" s="13" t="s">
        <v>551</v>
      </c>
      <c r="C13" s="14">
        <v>0.25</v>
      </c>
      <c r="D13" s="14">
        <v>0.3</v>
      </c>
      <c r="E13" s="14">
        <v>0.25</v>
      </c>
      <c r="F13" s="14">
        <v>0.15</v>
      </c>
      <c r="G13" s="14">
        <v>0.24</v>
      </c>
      <c r="H13" s="14">
        <v>0.31</v>
      </c>
      <c r="I13" s="14">
        <v>0.31</v>
      </c>
      <c r="J13" s="14">
        <v>0.32</v>
      </c>
      <c r="K13" s="14">
        <v>0.24</v>
      </c>
      <c r="L13" s="14">
        <v>0.46</v>
      </c>
      <c r="M13" s="14">
        <v>0.32</v>
      </c>
      <c r="N13" s="14">
        <v>0.26</v>
      </c>
      <c r="O13" s="14">
        <v>0.3</v>
      </c>
      <c r="P13" s="14">
        <v>0.21</v>
      </c>
      <c r="Q13" s="14">
        <v>0.18</v>
      </c>
      <c r="R13" s="14">
        <v>0.55000000000000004</v>
      </c>
      <c r="S13" s="14">
        <v>0.33</v>
      </c>
      <c r="T13" s="14">
        <v>0.28999999999999998</v>
      </c>
      <c r="U13" s="14">
        <v>0.38</v>
      </c>
      <c r="V13" s="14">
        <v>0.19</v>
      </c>
      <c r="W13" s="14">
        <v>0.5</v>
      </c>
      <c r="X13" s="14">
        <v>0.35</v>
      </c>
      <c r="Y13" s="14">
        <v>0.22</v>
      </c>
      <c r="Z13" s="14">
        <v>0.1</v>
      </c>
      <c r="AA13" s="14">
        <v>0.26</v>
      </c>
      <c r="AB13" s="14">
        <v>0.15</v>
      </c>
      <c r="AC13" s="14">
        <v>0.33</v>
      </c>
      <c r="AD13" s="14">
        <v>0.21</v>
      </c>
      <c r="AE13" s="14">
        <v>0.21</v>
      </c>
      <c r="AF13" s="14">
        <v>0.31</v>
      </c>
    </row>
    <row r="14" spans="1:32" x14ac:dyDescent="0.35">
      <c r="A14" s="31"/>
      <c r="B14" s="11" t="s">
        <v>552</v>
      </c>
      <c r="C14" s="12">
        <v>13902</v>
      </c>
      <c r="D14" s="12">
        <v>554</v>
      </c>
      <c r="E14" s="12">
        <v>497</v>
      </c>
      <c r="F14" s="12">
        <v>504</v>
      </c>
      <c r="G14" s="12">
        <v>576</v>
      </c>
      <c r="H14" s="12">
        <v>603</v>
      </c>
      <c r="I14" s="12">
        <v>721</v>
      </c>
      <c r="J14" s="12">
        <v>118</v>
      </c>
      <c r="K14" s="12">
        <v>520</v>
      </c>
      <c r="L14" s="12">
        <v>445</v>
      </c>
      <c r="M14" s="12">
        <v>498</v>
      </c>
      <c r="N14" s="12">
        <v>518</v>
      </c>
      <c r="O14" s="12">
        <v>492</v>
      </c>
      <c r="P14" s="12">
        <v>541</v>
      </c>
      <c r="Q14" s="12">
        <v>645</v>
      </c>
      <c r="R14" s="12">
        <v>162</v>
      </c>
      <c r="S14" s="12">
        <v>469</v>
      </c>
      <c r="T14" s="12">
        <v>536</v>
      </c>
      <c r="U14" s="12">
        <v>243</v>
      </c>
      <c r="V14" s="12">
        <v>610</v>
      </c>
      <c r="W14" s="12">
        <v>209</v>
      </c>
      <c r="X14" s="12">
        <v>448</v>
      </c>
      <c r="Y14" s="12">
        <v>454</v>
      </c>
      <c r="Z14" s="12">
        <v>660</v>
      </c>
      <c r="AA14" s="12">
        <v>612</v>
      </c>
      <c r="AB14" s="12">
        <v>477</v>
      </c>
      <c r="AC14" s="12">
        <v>517</v>
      </c>
      <c r="AD14" s="12">
        <v>524</v>
      </c>
      <c r="AE14" s="12">
        <v>539</v>
      </c>
      <c r="AF14" s="12">
        <v>590</v>
      </c>
    </row>
    <row r="15" spans="1:32" x14ac:dyDescent="0.35">
      <c r="A15" s="31"/>
      <c r="B15" s="13" t="s">
        <v>553</v>
      </c>
      <c r="C15" s="14">
        <v>0.53</v>
      </c>
      <c r="D15" s="14">
        <v>0.54</v>
      </c>
      <c r="E15" s="14">
        <v>0.48</v>
      </c>
      <c r="F15" s="14">
        <v>0.49</v>
      </c>
      <c r="G15" s="14">
        <v>0.57000000000000006</v>
      </c>
      <c r="H15" s="14">
        <v>0.49</v>
      </c>
      <c r="I15" s="14">
        <v>0.47</v>
      </c>
      <c r="J15" s="14">
        <v>0.4</v>
      </c>
      <c r="K15" s="14">
        <v>0.52</v>
      </c>
      <c r="L15" s="14">
        <v>0.44</v>
      </c>
      <c r="M15" s="14">
        <v>0.5</v>
      </c>
      <c r="N15" s="14">
        <v>0.52</v>
      </c>
      <c r="O15" s="14">
        <v>0.49</v>
      </c>
      <c r="P15" s="14">
        <v>0.54</v>
      </c>
      <c r="Q15" s="14">
        <v>0.62</v>
      </c>
      <c r="R15" s="14">
        <v>0.32</v>
      </c>
      <c r="S15" s="14">
        <v>0.46</v>
      </c>
      <c r="T15" s="14">
        <v>0.53</v>
      </c>
      <c r="U15" s="14">
        <v>0.48</v>
      </c>
      <c r="V15" s="14">
        <v>0.6</v>
      </c>
      <c r="W15" s="14">
        <v>0.42</v>
      </c>
      <c r="X15" s="14">
        <v>0.44</v>
      </c>
      <c r="Y15" s="14">
        <v>0.45</v>
      </c>
      <c r="Z15" s="14">
        <v>0.65</v>
      </c>
      <c r="AA15" s="14">
        <v>0.6</v>
      </c>
      <c r="AB15" s="14">
        <v>0.45</v>
      </c>
      <c r="AC15" s="14">
        <v>0.51</v>
      </c>
      <c r="AD15" s="14">
        <v>0.52</v>
      </c>
      <c r="AE15" s="14">
        <v>0.54</v>
      </c>
      <c r="AF15" s="14">
        <v>0.57999999999999996</v>
      </c>
    </row>
    <row r="16" spans="1:32" x14ac:dyDescent="0.35">
      <c r="A16" s="31"/>
      <c r="B16" s="11" t="s">
        <v>554</v>
      </c>
      <c r="C16" s="12">
        <v>3452</v>
      </c>
      <c r="D16" s="12">
        <v>124</v>
      </c>
      <c r="E16" s="12">
        <v>126</v>
      </c>
      <c r="F16" s="12">
        <v>237</v>
      </c>
      <c r="G16" s="12">
        <v>110</v>
      </c>
      <c r="H16" s="12">
        <v>143</v>
      </c>
      <c r="I16" s="12">
        <v>199</v>
      </c>
      <c r="J16" s="12">
        <v>56</v>
      </c>
      <c r="K16" s="12">
        <v>134</v>
      </c>
      <c r="L16" s="12">
        <v>53</v>
      </c>
      <c r="M16" s="12">
        <v>100</v>
      </c>
      <c r="N16" s="12">
        <v>107</v>
      </c>
      <c r="O16" s="12">
        <v>112</v>
      </c>
      <c r="P16" s="12">
        <v>143</v>
      </c>
      <c r="Q16" s="12">
        <v>116</v>
      </c>
      <c r="R16" s="12">
        <v>41</v>
      </c>
      <c r="S16" s="12">
        <v>97</v>
      </c>
      <c r="T16" s="12">
        <v>75</v>
      </c>
      <c r="U16" s="12">
        <v>40</v>
      </c>
      <c r="V16" s="12">
        <v>148</v>
      </c>
      <c r="W16" s="12">
        <v>28</v>
      </c>
      <c r="X16" s="12">
        <v>151</v>
      </c>
      <c r="Y16" s="12">
        <v>189</v>
      </c>
      <c r="Z16" s="12">
        <v>174</v>
      </c>
      <c r="AA16" s="12">
        <v>71</v>
      </c>
      <c r="AB16" s="12">
        <v>268</v>
      </c>
      <c r="AC16" s="12">
        <v>106</v>
      </c>
      <c r="AD16" s="12">
        <v>166</v>
      </c>
      <c r="AE16" s="12">
        <v>161</v>
      </c>
      <c r="AF16" s="12">
        <v>81</v>
      </c>
    </row>
    <row r="17" spans="1:32" x14ac:dyDescent="0.35">
      <c r="A17" s="31"/>
      <c r="B17" s="13" t="s">
        <v>555</v>
      </c>
      <c r="C17" s="14">
        <v>0.13</v>
      </c>
      <c r="D17" s="14">
        <v>0.12</v>
      </c>
      <c r="E17" s="14">
        <v>0.12</v>
      </c>
      <c r="F17" s="14">
        <v>0.23</v>
      </c>
      <c r="G17" s="14">
        <v>0.11</v>
      </c>
      <c r="H17" s="14">
        <v>0.11</v>
      </c>
      <c r="I17" s="14">
        <v>0.13</v>
      </c>
      <c r="J17" s="14">
        <v>0.19</v>
      </c>
      <c r="K17" s="14">
        <v>0.13</v>
      </c>
      <c r="L17" s="14">
        <v>0.05</v>
      </c>
      <c r="M17" s="14">
        <v>0.1</v>
      </c>
      <c r="N17" s="14">
        <v>0.11</v>
      </c>
      <c r="O17" s="14">
        <v>0.11</v>
      </c>
      <c r="P17" s="14">
        <v>0.14000000000000001</v>
      </c>
      <c r="Q17" s="14">
        <v>0.11</v>
      </c>
      <c r="R17" s="14">
        <v>0.08</v>
      </c>
      <c r="S17" s="14">
        <v>0.09</v>
      </c>
      <c r="T17" s="14">
        <v>7.0000000000000007E-2</v>
      </c>
      <c r="U17" s="14">
        <v>0.08</v>
      </c>
      <c r="V17" s="14">
        <v>0.15</v>
      </c>
      <c r="W17" s="14">
        <v>0.06</v>
      </c>
      <c r="X17" s="14">
        <v>0.15</v>
      </c>
      <c r="Y17" s="14">
        <v>0.19</v>
      </c>
      <c r="Z17" s="14">
        <v>0.17</v>
      </c>
      <c r="AA17" s="14">
        <v>7.0000000000000007E-2</v>
      </c>
      <c r="AB17" s="14">
        <v>0.25</v>
      </c>
      <c r="AC17" s="14">
        <v>0.1</v>
      </c>
      <c r="AD17" s="14">
        <v>0.17</v>
      </c>
      <c r="AE17" s="14">
        <v>0.16</v>
      </c>
      <c r="AF17" s="14">
        <v>0.08</v>
      </c>
    </row>
    <row r="18" spans="1:32" x14ac:dyDescent="0.35">
      <c r="A18" s="31"/>
      <c r="B18" s="11" t="s">
        <v>556</v>
      </c>
      <c r="C18" s="12">
        <v>1075</v>
      </c>
      <c r="D18" s="12">
        <v>37</v>
      </c>
      <c r="E18" s="12">
        <v>51</v>
      </c>
      <c r="F18" s="12">
        <v>49</v>
      </c>
      <c r="G18" s="12">
        <v>24</v>
      </c>
      <c r="H18" s="12">
        <v>60</v>
      </c>
      <c r="I18" s="12">
        <v>78</v>
      </c>
      <c r="J18" s="12">
        <v>18</v>
      </c>
      <c r="K18" s="12">
        <v>48</v>
      </c>
      <c r="L18" s="12">
        <v>20</v>
      </c>
      <c r="M18" s="12">
        <v>51</v>
      </c>
      <c r="N18" s="12">
        <v>25</v>
      </c>
      <c r="O18" s="12">
        <v>38</v>
      </c>
      <c r="P18" s="12">
        <v>67</v>
      </c>
      <c r="Q18" s="12">
        <v>36</v>
      </c>
      <c r="R18" s="12">
        <v>15</v>
      </c>
      <c r="S18" s="12">
        <v>30</v>
      </c>
      <c r="T18" s="12">
        <v>26</v>
      </c>
      <c r="U18" s="12">
        <v>15</v>
      </c>
      <c r="V18" s="12">
        <v>33</v>
      </c>
      <c r="W18" s="12">
        <v>7</v>
      </c>
      <c r="X18" s="12">
        <v>52</v>
      </c>
      <c r="Y18" s="12">
        <v>96</v>
      </c>
      <c r="Z18" s="12">
        <v>21</v>
      </c>
      <c r="AA18" s="12">
        <v>23</v>
      </c>
      <c r="AB18" s="12">
        <v>94</v>
      </c>
      <c r="AC18" s="12">
        <v>34</v>
      </c>
      <c r="AD18" s="12">
        <v>53</v>
      </c>
      <c r="AE18" s="12">
        <v>50</v>
      </c>
      <c r="AF18" s="12">
        <v>17</v>
      </c>
    </row>
    <row r="19" spans="1:32" x14ac:dyDescent="0.35">
      <c r="A19" s="31"/>
      <c r="B19" s="13" t="s">
        <v>557</v>
      </c>
      <c r="C19" s="14">
        <v>0.04</v>
      </c>
      <c r="D19" s="14">
        <v>0.03</v>
      </c>
      <c r="E19" s="14">
        <v>0.05</v>
      </c>
      <c r="F19" s="14">
        <v>0.05</v>
      </c>
      <c r="G19" s="14">
        <v>0.02</v>
      </c>
      <c r="H19" s="14">
        <v>0.05</v>
      </c>
      <c r="I19" s="14">
        <v>0.05</v>
      </c>
      <c r="J19" s="14">
        <v>0.06</v>
      </c>
      <c r="K19" s="14">
        <v>0.05</v>
      </c>
      <c r="L19" s="14">
        <v>0.02</v>
      </c>
      <c r="M19" s="14">
        <v>0.05</v>
      </c>
      <c r="N19" s="14">
        <v>0.02</v>
      </c>
      <c r="O19" s="14">
        <v>0.04</v>
      </c>
      <c r="P19" s="14">
        <v>7.0000000000000007E-2</v>
      </c>
      <c r="Q19" s="14">
        <v>0.04</v>
      </c>
      <c r="R19" s="14">
        <v>0.03</v>
      </c>
      <c r="S19" s="14">
        <v>0.03</v>
      </c>
      <c r="T19" s="14">
        <v>0.03</v>
      </c>
      <c r="U19" s="14">
        <v>0.03</v>
      </c>
      <c r="V19" s="14">
        <v>0.03</v>
      </c>
      <c r="W19" s="14">
        <v>0.01</v>
      </c>
      <c r="X19" s="14">
        <v>0.05</v>
      </c>
      <c r="Y19" s="14">
        <v>0.1</v>
      </c>
      <c r="Z19" s="14">
        <v>0.02</v>
      </c>
      <c r="AA19" s="14">
        <v>0.02</v>
      </c>
      <c r="AB19" s="14">
        <v>0.09</v>
      </c>
      <c r="AC19" s="14">
        <v>0.03</v>
      </c>
      <c r="AD19" s="14">
        <v>0.05</v>
      </c>
      <c r="AE19" s="14">
        <v>0.05</v>
      </c>
      <c r="AF19" s="14">
        <v>0.01</v>
      </c>
    </row>
    <row r="20" spans="1:32" x14ac:dyDescent="0.35">
      <c r="A20" s="31"/>
      <c r="B20" s="11" t="s">
        <v>344</v>
      </c>
      <c r="C20" s="12">
        <v>1373</v>
      </c>
      <c r="D20" s="12">
        <v>7</v>
      </c>
      <c r="E20" s="12">
        <v>108</v>
      </c>
      <c r="F20" s="12">
        <v>77</v>
      </c>
      <c r="G20" s="12">
        <v>57</v>
      </c>
      <c r="H20" s="12">
        <v>48</v>
      </c>
      <c r="I20" s="12">
        <v>57</v>
      </c>
      <c r="J20" s="12">
        <v>9</v>
      </c>
      <c r="K20" s="12">
        <v>63</v>
      </c>
      <c r="L20" s="12">
        <v>30</v>
      </c>
      <c r="M20" s="12">
        <v>34</v>
      </c>
      <c r="N20" s="12">
        <v>93</v>
      </c>
      <c r="O20" s="12">
        <v>59</v>
      </c>
      <c r="P20" s="12">
        <v>42</v>
      </c>
      <c r="Q20" s="12">
        <v>52</v>
      </c>
      <c r="R20" s="12">
        <v>9</v>
      </c>
      <c r="S20" s="12">
        <v>90</v>
      </c>
      <c r="T20" s="12">
        <v>86</v>
      </c>
      <c r="U20" s="12">
        <v>17</v>
      </c>
      <c r="V20" s="12">
        <v>28</v>
      </c>
      <c r="W20" s="12">
        <v>7</v>
      </c>
      <c r="X20" s="12">
        <v>7</v>
      </c>
      <c r="Y20" s="12">
        <v>45</v>
      </c>
      <c r="Z20" s="12">
        <v>66</v>
      </c>
      <c r="AA20" s="12">
        <v>52</v>
      </c>
      <c r="AB20" s="12">
        <v>63</v>
      </c>
      <c r="AC20" s="12">
        <v>26</v>
      </c>
      <c r="AD20" s="12">
        <v>52</v>
      </c>
      <c r="AE20" s="12">
        <v>40</v>
      </c>
      <c r="AF20" s="12">
        <v>18</v>
      </c>
    </row>
    <row r="21" spans="1:32" x14ac:dyDescent="0.35">
      <c r="A21" s="31"/>
      <c r="B21" s="13" t="s">
        <v>419</v>
      </c>
      <c r="C21" s="14">
        <v>0.05</v>
      </c>
      <c r="D21" s="14">
        <v>0.01</v>
      </c>
      <c r="E21" s="14">
        <v>0.1</v>
      </c>
      <c r="F21" s="14">
        <v>0.08</v>
      </c>
      <c r="G21" s="14">
        <v>0.06</v>
      </c>
      <c r="H21" s="14">
        <v>0.04</v>
      </c>
      <c r="I21" s="14">
        <v>0.04</v>
      </c>
      <c r="J21" s="14">
        <v>0.03</v>
      </c>
      <c r="K21" s="14">
        <v>0.06</v>
      </c>
      <c r="L21" s="14">
        <v>0.03</v>
      </c>
      <c r="M21" s="14">
        <v>0.03</v>
      </c>
      <c r="N21" s="14">
        <v>0.09</v>
      </c>
      <c r="O21" s="14">
        <v>0.06</v>
      </c>
      <c r="P21" s="14">
        <v>0.04</v>
      </c>
      <c r="Q21" s="14">
        <v>0.05</v>
      </c>
      <c r="R21" s="14">
        <v>0.02</v>
      </c>
      <c r="S21" s="14">
        <v>0.09</v>
      </c>
      <c r="T21" s="14">
        <v>0.08</v>
      </c>
      <c r="U21" s="14">
        <v>0.03</v>
      </c>
      <c r="V21" s="14">
        <v>0.03</v>
      </c>
      <c r="W21" s="14">
        <v>0.01</v>
      </c>
      <c r="X21" s="14">
        <v>0.01</v>
      </c>
      <c r="Y21" s="14">
        <v>0.04</v>
      </c>
      <c r="Z21" s="14">
        <v>0.06</v>
      </c>
      <c r="AA21" s="14">
        <v>0.05</v>
      </c>
      <c r="AB21" s="14">
        <v>0.06</v>
      </c>
      <c r="AC21" s="14">
        <v>0.03</v>
      </c>
      <c r="AD21" s="14">
        <v>0.05</v>
      </c>
      <c r="AE21" s="14">
        <v>0.04</v>
      </c>
      <c r="AF21" s="14">
        <v>0.02</v>
      </c>
    </row>
    <row r="22" spans="1:32" x14ac:dyDescent="0.35">
      <c r="A22" s="31"/>
      <c r="B22" s="11" t="s">
        <v>366</v>
      </c>
      <c r="C22" s="12">
        <v>20510</v>
      </c>
      <c r="D22" s="12">
        <v>858</v>
      </c>
      <c r="E22" s="12">
        <v>755</v>
      </c>
      <c r="F22" s="12">
        <v>656</v>
      </c>
      <c r="G22" s="12">
        <v>826</v>
      </c>
      <c r="H22" s="12">
        <v>982</v>
      </c>
      <c r="I22" s="12">
        <v>1195</v>
      </c>
      <c r="J22" s="12">
        <v>214</v>
      </c>
      <c r="K22" s="12">
        <v>763</v>
      </c>
      <c r="L22" s="12">
        <v>901</v>
      </c>
      <c r="M22" s="12">
        <v>819</v>
      </c>
      <c r="N22" s="12">
        <v>775</v>
      </c>
      <c r="O22" s="12">
        <v>792</v>
      </c>
      <c r="P22" s="12">
        <v>753</v>
      </c>
      <c r="Q22" s="12">
        <v>832</v>
      </c>
      <c r="R22" s="12">
        <v>436</v>
      </c>
      <c r="S22" s="12">
        <v>804</v>
      </c>
      <c r="T22" s="12">
        <v>831</v>
      </c>
      <c r="U22" s="12">
        <v>437</v>
      </c>
      <c r="V22" s="12">
        <v>805</v>
      </c>
      <c r="W22" s="12">
        <v>459</v>
      </c>
      <c r="X22" s="12">
        <v>800</v>
      </c>
      <c r="Y22" s="12">
        <v>674</v>
      </c>
      <c r="Z22" s="12">
        <v>757</v>
      </c>
      <c r="AA22" s="12">
        <v>883</v>
      </c>
      <c r="AB22" s="12">
        <v>630</v>
      </c>
      <c r="AC22" s="12">
        <v>847</v>
      </c>
      <c r="AD22" s="12">
        <v>732</v>
      </c>
      <c r="AE22" s="12">
        <v>755</v>
      </c>
      <c r="AF22" s="12">
        <v>904</v>
      </c>
    </row>
    <row r="23" spans="1:32" x14ac:dyDescent="0.35">
      <c r="A23" s="31"/>
      <c r="B23" s="13" t="s">
        <v>367</v>
      </c>
      <c r="C23" s="14">
        <v>0.78</v>
      </c>
      <c r="D23" s="14">
        <v>0.84</v>
      </c>
      <c r="E23" s="14">
        <v>0.73</v>
      </c>
      <c r="F23" s="14">
        <v>0.64</v>
      </c>
      <c r="G23" s="14">
        <v>0.81</v>
      </c>
      <c r="H23" s="14">
        <v>0.8</v>
      </c>
      <c r="I23" s="14">
        <v>0.78</v>
      </c>
      <c r="J23" s="14">
        <v>0.72</v>
      </c>
      <c r="K23" s="14">
        <v>0.76</v>
      </c>
      <c r="L23" s="14">
        <v>0.9</v>
      </c>
      <c r="M23" s="14">
        <v>0.82000000000000006</v>
      </c>
      <c r="N23" s="14">
        <v>0.78</v>
      </c>
      <c r="O23" s="14">
        <v>0.79</v>
      </c>
      <c r="P23" s="14">
        <v>0.75</v>
      </c>
      <c r="Q23" s="14">
        <v>0.8</v>
      </c>
      <c r="R23" s="14">
        <v>0.87</v>
      </c>
      <c r="S23" s="14">
        <v>0.79</v>
      </c>
      <c r="T23" s="14">
        <v>0.82000000000000006</v>
      </c>
      <c r="U23" s="14">
        <v>0.86</v>
      </c>
      <c r="V23" s="14">
        <v>0.79</v>
      </c>
      <c r="W23" s="14">
        <v>0.92</v>
      </c>
      <c r="X23" s="14">
        <v>0.79</v>
      </c>
      <c r="Y23" s="14">
        <v>0.67</v>
      </c>
      <c r="Z23" s="14">
        <v>0.75</v>
      </c>
      <c r="AA23" s="14">
        <v>0.86</v>
      </c>
      <c r="AB23" s="14">
        <v>0.6</v>
      </c>
      <c r="AC23" s="14">
        <v>0.84</v>
      </c>
      <c r="AD23" s="14">
        <v>0.73</v>
      </c>
      <c r="AE23" s="14">
        <v>0.75</v>
      </c>
      <c r="AF23" s="14">
        <v>0.89</v>
      </c>
    </row>
    <row r="24" spans="1:32" x14ac:dyDescent="0.35">
      <c r="A24" s="31"/>
      <c r="B24" s="11" t="s">
        <v>368</v>
      </c>
      <c r="C24" s="12">
        <v>4527</v>
      </c>
      <c r="D24" s="12">
        <v>161</v>
      </c>
      <c r="E24" s="12">
        <v>177</v>
      </c>
      <c r="F24" s="12">
        <v>286</v>
      </c>
      <c r="G24" s="12">
        <v>134</v>
      </c>
      <c r="H24" s="12">
        <v>203</v>
      </c>
      <c r="I24" s="12">
        <v>277</v>
      </c>
      <c r="J24" s="12">
        <v>74</v>
      </c>
      <c r="K24" s="12">
        <v>182</v>
      </c>
      <c r="L24" s="12">
        <v>73</v>
      </c>
      <c r="M24" s="12">
        <v>151</v>
      </c>
      <c r="N24" s="12">
        <v>132</v>
      </c>
      <c r="O24" s="12">
        <v>150</v>
      </c>
      <c r="P24" s="12">
        <v>210</v>
      </c>
      <c r="Q24" s="12">
        <v>152</v>
      </c>
      <c r="R24" s="12">
        <v>56</v>
      </c>
      <c r="S24" s="12">
        <v>127</v>
      </c>
      <c r="T24" s="12">
        <v>101</v>
      </c>
      <c r="U24" s="12">
        <v>55</v>
      </c>
      <c r="V24" s="12">
        <v>181</v>
      </c>
      <c r="W24" s="12">
        <v>35</v>
      </c>
      <c r="X24" s="12">
        <v>203</v>
      </c>
      <c r="Y24" s="12">
        <v>285</v>
      </c>
      <c r="Z24" s="12">
        <v>195</v>
      </c>
      <c r="AA24" s="12">
        <v>94</v>
      </c>
      <c r="AB24" s="12">
        <v>362</v>
      </c>
      <c r="AC24" s="12">
        <v>140</v>
      </c>
      <c r="AD24" s="12">
        <v>219</v>
      </c>
      <c r="AE24" s="12">
        <v>211</v>
      </c>
      <c r="AF24" s="12">
        <v>98</v>
      </c>
    </row>
    <row r="25" spans="1:32" x14ac:dyDescent="0.35">
      <c r="A25" s="31"/>
      <c r="B25" s="13" t="s">
        <v>369</v>
      </c>
      <c r="C25" s="14">
        <v>0.17</v>
      </c>
      <c r="D25" s="14">
        <v>0.15</v>
      </c>
      <c r="E25" s="14">
        <v>0.17</v>
      </c>
      <c r="F25" s="14">
        <v>0.28000000000000003</v>
      </c>
      <c r="G25" s="14">
        <v>0.13</v>
      </c>
      <c r="H25" s="14">
        <v>0.16</v>
      </c>
      <c r="I25" s="14">
        <v>0.18</v>
      </c>
      <c r="J25" s="14">
        <v>0.25</v>
      </c>
      <c r="K25" s="14">
        <v>0.18</v>
      </c>
      <c r="L25" s="14">
        <v>7.0000000000000007E-2</v>
      </c>
      <c r="M25" s="14">
        <v>0.15</v>
      </c>
      <c r="N25" s="14">
        <v>0.13</v>
      </c>
      <c r="O25" s="14">
        <v>0.15</v>
      </c>
      <c r="P25" s="14">
        <v>0.21</v>
      </c>
      <c r="Q25" s="14">
        <v>0.15</v>
      </c>
      <c r="R25" s="14">
        <v>0.11</v>
      </c>
      <c r="S25" s="14">
        <v>0.12</v>
      </c>
      <c r="T25" s="14">
        <v>0.1</v>
      </c>
      <c r="U25" s="14">
        <v>0.11</v>
      </c>
      <c r="V25" s="14">
        <v>0.18</v>
      </c>
      <c r="W25" s="14">
        <v>7.0000000000000007E-2</v>
      </c>
      <c r="X25" s="14">
        <v>0.2</v>
      </c>
      <c r="Y25" s="14">
        <v>0.28999999999999998</v>
      </c>
      <c r="Z25" s="14">
        <v>0.19</v>
      </c>
      <c r="AA25" s="14">
        <v>0.09</v>
      </c>
      <c r="AB25" s="14">
        <v>0.34</v>
      </c>
      <c r="AC25" s="14">
        <v>0.13</v>
      </c>
      <c r="AD25" s="14">
        <v>0.22</v>
      </c>
      <c r="AE25" s="14">
        <v>0.21</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57</v>
      </c>
      <c r="C3" s="30"/>
      <c r="D3" s="30"/>
      <c r="E3" s="30"/>
      <c r="F3" s="30"/>
      <c r="H3" s="30" t="s">
        <v>58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558</v>
      </c>
      <c r="C12" s="12">
        <v>2902</v>
      </c>
      <c r="D12" s="12">
        <v>114</v>
      </c>
      <c r="E12" s="12">
        <v>100</v>
      </c>
      <c r="F12" s="12">
        <v>137</v>
      </c>
      <c r="G12" s="12">
        <v>88</v>
      </c>
      <c r="H12" s="12">
        <v>173</v>
      </c>
      <c r="I12" s="12">
        <v>209</v>
      </c>
      <c r="J12" s="12">
        <v>36</v>
      </c>
      <c r="K12" s="12">
        <v>134</v>
      </c>
      <c r="L12" s="12">
        <v>97</v>
      </c>
      <c r="M12" s="12">
        <v>103</v>
      </c>
      <c r="N12" s="12">
        <v>117</v>
      </c>
      <c r="O12" s="12">
        <v>62</v>
      </c>
      <c r="P12" s="12">
        <v>192</v>
      </c>
      <c r="Q12" s="12">
        <v>104</v>
      </c>
      <c r="R12" s="12">
        <v>51</v>
      </c>
      <c r="S12" s="12">
        <v>137</v>
      </c>
      <c r="T12" s="12">
        <v>172</v>
      </c>
      <c r="U12" s="12">
        <v>75</v>
      </c>
      <c r="V12" s="12">
        <v>117</v>
      </c>
      <c r="W12" s="12">
        <v>71</v>
      </c>
      <c r="X12" s="12">
        <v>136</v>
      </c>
      <c r="Y12" s="12">
        <v>204</v>
      </c>
      <c r="Z12" s="12">
        <v>127</v>
      </c>
      <c r="AA12" s="12">
        <v>104</v>
      </c>
      <c r="AB12" s="12">
        <v>74</v>
      </c>
      <c r="AC12" s="12">
        <v>99</v>
      </c>
      <c r="AD12" s="12">
        <v>151</v>
      </c>
      <c r="AE12" s="12">
        <v>86</v>
      </c>
      <c r="AF12" s="12">
        <v>66</v>
      </c>
    </row>
    <row r="13" spans="1:32" x14ac:dyDescent="0.35">
      <c r="A13" s="31"/>
      <c r="B13" s="13" t="s">
        <v>559</v>
      </c>
      <c r="C13" s="14">
        <v>0.11</v>
      </c>
      <c r="D13" s="14">
        <v>0.11</v>
      </c>
      <c r="E13" s="14">
        <v>0.1</v>
      </c>
      <c r="F13" s="14">
        <v>0.13</v>
      </c>
      <c r="G13" s="14">
        <v>0.09</v>
      </c>
      <c r="H13" s="14">
        <v>0.14000000000000001</v>
      </c>
      <c r="I13" s="14">
        <v>0.14000000000000001</v>
      </c>
      <c r="J13" s="14">
        <v>0.12</v>
      </c>
      <c r="K13" s="14">
        <v>0.13</v>
      </c>
      <c r="L13" s="14">
        <v>0.1</v>
      </c>
      <c r="M13" s="14">
        <v>0.1</v>
      </c>
      <c r="N13" s="14">
        <v>0.12</v>
      </c>
      <c r="O13" s="14">
        <v>0.06</v>
      </c>
      <c r="P13" s="14">
        <v>0.19</v>
      </c>
      <c r="Q13" s="14">
        <v>0.1</v>
      </c>
      <c r="R13" s="14">
        <v>0.1</v>
      </c>
      <c r="S13" s="14">
        <v>0.13</v>
      </c>
      <c r="T13" s="14">
        <v>0.17</v>
      </c>
      <c r="U13" s="14">
        <v>0.15</v>
      </c>
      <c r="V13" s="14">
        <v>0.12</v>
      </c>
      <c r="W13" s="14">
        <v>0.14000000000000001</v>
      </c>
      <c r="X13" s="14">
        <v>0.13</v>
      </c>
      <c r="Y13" s="14">
        <v>0.2</v>
      </c>
      <c r="Z13" s="14">
        <v>0.13</v>
      </c>
      <c r="AA13" s="14">
        <v>0.1</v>
      </c>
      <c r="AB13" s="14">
        <v>7.0000000000000007E-2</v>
      </c>
      <c r="AC13" s="14">
        <v>0.1</v>
      </c>
      <c r="AD13" s="14">
        <v>0.15</v>
      </c>
      <c r="AE13" s="14">
        <v>0.09</v>
      </c>
      <c r="AF13" s="14">
        <v>7.0000000000000007E-2</v>
      </c>
    </row>
    <row r="14" spans="1:32" ht="21.5" x14ac:dyDescent="0.35">
      <c r="A14" s="31"/>
      <c r="B14" s="11" t="s">
        <v>560</v>
      </c>
      <c r="C14" s="12">
        <v>6626</v>
      </c>
      <c r="D14" s="12">
        <v>279</v>
      </c>
      <c r="E14" s="12">
        <v>297</v>
      </c>
      <c r="F14" s="12">
        <v>263</v>
      </c>
      <c r="G14" s="12">
        <v>198</v>
      </c>
      <c r="H14" s="12">
        <v>413</v>
      </c>
      <c r="I14" s="12">
        <v>499</v>
      </c>
      <c r="J14" s="12">
        <v>85</v>
      </c>
      <c r="K14" s="12">
        <v>327</v>
      </c>
      <c r="L14" s="12">
        <v>154</v>
      </c>
      <c r="M14" s="12">
        <v>193</v>
      </c>
      <c r="N14" s="12">
        <v>155</v>
      </c>
      <c r="O14" s="12">
        <v>136</v>
      </c>
      <c r="P14" s="12">
        <v>372</v>
      </c>
      <c r="Q14" s="12">
        <v>325</v>
      </c>
      <c r="R14" s="12">
        <v>132</v>
      </c>
      <c r="S14" s="12">
        <v>359</v>
      </c>
      <c r="T14" s="12">
        <v>279</v>
      </c>
      <c r="U14" s="12">
        <v>103</v>
      </c>
      <c r="V14" s="12">
        <v>366</v>
      </c>
      <c r="W14" s="12">
        <v>142</v>
      </c>
      <c r="X14" s="12">
        <v>320</v>
      </c>
      <c r="Y14" s="12">
        <v>256</v>
      </c>
      <c r="Z14" s="12">
        <v>224</v>
      </c>
      <c r="AA14" s="12">
        <v>290</v>
      </c>
      <c r="AB14" s="12">
        <v>241</v>
      </c>
      <c r="AC14" s="12">
        <v>271</v>
      </c>
      <c r="AD14" s="12">
        <v>395</v>
      </c>
      <c r="AE14" s="12">
        <v>366</v>
      </c>
      <c r="AF14" s="12">
        <v>235</v>
      </c>
    </row>
    <row r="15" spans="1:32" ht="21.5" x14ac:dyDescent="0.35">
      <c r="A15" s="31"/>
      <c r="B15" s="13" t="s">
        <v>561</v>
      </c>
      <c r="C15" s="14">
        <v>0.25</v>
      </c>
      <c r="D15" s="14">
        <v>0.27</v>
      </c>
      <c r="E15" s="14">
        <v>0.28000000000000003</v>
      </c>
      <c r="F15" s="14">
        <v>0.26</v>
      </c>
      <c r="G15" s="14">
        <v>0.2</v>
      </c>
      <c r="H15" s="14">
        <v>0.34</v>
      </c>
      <c r="I15" s="14">
        <v>0.33</v>
      </c>
      <c r="J15" s="14">
        <v>0.28999999999999998</v>
      </c>
      <c r="K15" s="14">
        <v>0.33</v>
      </c>
      <c r="L15" s="14">
        <v>0.15</v>
      </c>
      <c r="M15" s="14">
        <v>0.19</v>
      </c>
      <c r="N15" s="14">
        <v>0.16</v>
      </c>
      <c r="O15" s="14">
        <v>0.14000000000000001</v>
      </c>
      <c r="P15" s="14">
        <v>0.37</v>
      </c>
      <c r="Q15" s="14">
        <v>0.32</v>
      </c>
      <c r="R15" s="14">
        <v>0.26</v>
      </c>
      <c r="S15" s="14">
        <v>0.35</v>
      </c>
      <c r="T15" s="14">
        <v>0.28000000000000003</v>
      </c>
      <c r="U15" s="14">
        <v>0.2</v>
      </c>
      <c r="V15" s="14">
        <v>0.36</v>
      </c>
      <c r="W15" s="14">
        <v>0.28000000000000003</v>
      </c>
      <c r="X15" s="14">
        <v>0.32</v>
      </c>
      <c r="Y15" s="14">
        <v>0.26</v>
      </c>
      <c r="Z15" s="14">
        <v>0.22</v>
      </c>
      <c r="AA15" s="14">
        <v>0.28000000000000003</v>
      </c>
      <c r="AB15" s="14">
        <v>0.23</v>
      </c>
      <c r="AC15" s="14">
        <v>0.27</v>
      </c>
      <c r="AD15" s="14">
        <v>0.4</v>
      </c>
      <c r="AE15" s="14">
        <v>0.36</v>
      </c>
      <c r="AF15" s="14">
        <v>0.23</v>
      </c>
    </row>
    <row r="16" spans="1:32" x14ac:dyDescent="0.35">
      <c r="A16" s="31"/>
      <c r="B16" s="11" t="s">
        <v>562</v>
      </c>
      <c r="C16" s="12">
        <v>16792</v>
      </c>
      <c r="D16" s="12">
        <v>624</v>
      </c>
      <c r="E16" s="12">
        <v>632</v>
      </c>
      <c r="F16" s="12">
        <v>607</v>
      </c>
      <c r="G16" s="12">
        <v>725</v>
      </c>
      <c r="H16" s="12">
        <v>643</v>
      </c>
      <c r="I16" s="12">
        <v>819</v>
      </c>
      <c r="J16" s="12">
        <v>177</v>
      </c>
      <c r="K16" s="12">
        <v>537</v>
      </c>
      <c r="L16" s="12">
        <v>753</v>
      </c>
      <c r="M16" s="12">
        <v>704</v>
      </c>
      <c r="N16" s="12">
        <v>724</v>
      </c>
      <c r="O16" s="12">
        <v>799</v>
      </c>
      <c r="P16" s="12">
        <v>438</v>
      </c>
      <c r="Q16" s="12">
        <v>605</v>
      </c>
      <c r="R16" s="12">
        <v>314</v>
      </c>
      <c r="S16" s="12">
        <v>520</v>
      </c>
      <c r="T16" s="12">
        <v>553</v>
      </c>
      <c r="U16" s="12">
        <v>331</v>
      </c>
      <c r="V16" s="12">
        <v>528</v>
      </c>
      <c r="W16" s="12">
        <v>281</v>
      </c>
      <c r="X16" s="12">
        <v>552</v>
      </c>
      <c r="Y16" s="12">
        <v>538</v>
      </c>
      <c r="Z16" s="12">
        <v>666</v>
      </c>
      <c r="AA16" s="12">
        <v>622</v>
      </c>
      <c r="AB16" s="12">
        <v>733</v>
      </c>
      <c r="AC16" s="12">
        <v>642</v>
      </c>
      <c r="AD16" s="12">
        <v>455</v>
      </c>
      <c r="AE16" s="12">
        <v>553</v>
      </c>
      <c r="AF16" s="12">
        <v>718</v>
      </c>
    </row>
    <row r="17" spans="1:32" x14ac:dyDescent="0.35">
      <c r="A17" s="31"/>
      <c r="B17" s="13" t="s">
        <v>563</v>
      </c>
      <c r="C17" s="14">
        <v>0.64</v>
      </c>
      <c r="D17" s="14">
        <v>0.61</v>
      </c>
      <c r="E17" s="14">
        <v>0.61</v>
      </c>
      <c r="F17" s="14">
        <v>0.6</v>
      </c>
      <c r="G17" s="14">
        <v>0.71</v>
      </c>
      <c r="H17" s="14">
        <v>0.52</v>
      </c>
      <c r="I17" s="14">
        <v>0.53</v>
      </c>
      <c r="J17" s="14">
        <v>0.59</v>
      </c>
      <c r="K17" s="14">
        <v>0.53</v>
      </c>
      <c r="L17" s="14">
        <v>0.75</v>
      </c>
      <c r="M17" s="14">
        <v>0.70000000000000007</v>
      </c>
      <c r="N17" s="14">
        <v>0.72</v>
      </c>
      <c r="O17" s="14">
        <v>0.8</v>
      </c>
      <c r="P17" s="14">
        <v>0.44</v>
      </c>
      <c r="Q17" s="14">
        <v>0.57999999999999996</v>
      </c>
      <c r="R17" s="14">
        <v>0.63</v>
      </c>
      <c r="S17" s="14">
        <v>0.51</v>
      </c>
      <c r="T17" s="14">
        <v>0.54</v>
      </c>
      <c r="U17" s="14">
        <v>0.65</v>
      </c>
      <c r="V17" s="14">
        <v>0.52</v>
      </c>
      <c r="W17" s="14">
        <v>0.56000000000000005</v>
      </c>
      <c r="X17" s="14">
        <v>0.55000000000000004</v>
      </c>
      <c r="Y17" s="14">
        <v>0.54</v>
      </c>
      <c r="Z17" s="14">
        <v>0.65</v>
      </c>
      <c r="AA17" s="14">
        <v>0.6</v>
      </c>
      <c r="AB17" s="14">
        <v>0.69000000000000006</v>
      </c>
      <c r="AC17" s="14">
        <v>0.63</v>
      </c>
      <c r="AD17" s="14">
        <v>0.45</v>
      </c>
      <c r="AE17" s="14">
        <v>0.55000000000000004</v>
      </c>
      <c r="AF17" s="14">
        <v>0.70000000000000007</v>
      </c>
    </row>
    <row r="18" spans="1:32" x14ac:dyDescent="0.35">
      <c r="A18" s="31"/>
      <c r="B18" s="11" t="s">
        <v>344</v>
      </c>
      <c r="C18" s="12">
        <v>90</v>
      </c>
      <c r="D18" s="12">
        <v>7</v>
      </c>
      <c r="E18" s="12">
        <v>9</v>
      </c>
      <c r="F18" s="12">
        <v>10</v>
      </c>
      <c r="G18" s="12">
        <v>5</v>
      </c>
      <c r="H18" s="12">
        <v>3</v>
      </c>
      <c r="I18" s="12">
        <v>3</v>
      </c>
      <c r="J18" s="12">
        <v>0</v>
      </c>
      <c r="K18" s="12">
        <v>11</v>
      </c>
      <c r="L18" s="12">
        <v>0</v>
      </c>
      <c r="M18" s="12">
        <v>4</v>
      </c>
      <c r="N18" s="12">
        <v>4</v>
      </c>
      <c r="O18" s="12">
        <v>3</v>
      </c>
      <c r="P18" s="12">
        <v>2</v>
      </c>
      <c r="Q18" s="12">
        <v>1</v>
      </c>
      <c r="R18" s="12">
        <v>4</v>
      </c>
      <c r="S18" s="12">
        <v>5</v>
      </c>
      <c r="T18" s="12">
        <v>14</v>
      </c>
      <c r="U18" s="12">
        <v>0</v>
      </c>
      <c r="V18" s="12">
        <v>2</v>
      </c>
      <c r="W18" s="12">
        <v>7</v>
      </c>
      <c r="X18" s="12">
        <v>2</v>
      </c>
      <c r="Y18" s="12">
        <v>5</v>
      </c>
      <c r="Z18" s="12">
        <v>2</v>
      </c>
      <c r="AA18" s="12">
        <v>14</v>
      </c>
      <c r="AB18" s="12">
        <v>8</v>
      </c>
      <c r="AC18" s="12">
        <v>1</v>
      </c>
      <c r="AD18" s="12">
        <v>3</v>
      </c>
      <c r="AE18" s="12">
        <v>2</v>
      </c>
      <c r="AF18" s="12">
        <v>1</v>
      </c>
    </row>
    <row r="19" spans="1:32" x14ac:dyDescent="0.35">
      <c r="A19" s="31"/>
      <c r="B19" s="13" t="s">
        <v>419</v>
      </c>
      <c r="C19" s="15" t="s">
        <v>333</v>
      </c>
      <c r="D19" s="14">
        <v>0.01</v>
      </c>
      <c r="E19" s="14">
        <v>0.01</v>
      </c>
      <c r="F19" s="14">
        <v>0.01</v>
      </c>
      <c r="G19" s="15" t="s">
        <v>333</v>
      </c>
      <c r="H19" s="15" t="s">
        <v>333</v>
      </c>
      <c r="I19" s="15" t="s">
        <v>333</v>
      </c>
      <c r="J19" s="15" t="s">
        <v>333</v>
      </c>
      <c r="K19" s="14">
        <v>0.01</v>
      </c>
      <c r="L19" s="15" t="s">
        <v>333</v>
      </c>
      <c r="M19" s="14">
        <v>0.01</v>
      </c>
      <c r="N19" s="15" t="s">
        <v>333</v>
      </c>
      <c r="O19" s="15" t="s">
        <v>333</v>
      </c>
      <c r="P19" s="15" t="s">
        <v>333</v>
      </c>
      <c r="Q19" s="15" t="s">
        <v>333</v>
      </c>
      <c r="R19" s="14">
        <v>0.01</v>
      </c>
      <c r="S19" s="14">
        <v>0.01</v>
      </c>
      <c r="T19" s="14">
        <v>0.01</v>
      </c>
      <c r="U19" s="15" t="s">
        <v>333</v>
      </c>
      <c r="V19" s="15" t="s">
        <v>333</v>
      </c>
      <c r="W19" s="14">
        <v>0.02</v>
      </c>
      <c r="X19" s="15" t="s">
        <v>333</v>
      </c>
      <c r="Y19" s="15" t="s">
        <v>333</v>
      </c>
      <c r="Z19" s="15" t="s">
        <v>333</v>
      </c>
      <c r="AA19" s="14">
        <v>0.02</v>
      </c>
      <c r="AB19" s="14">
        <v>0.01</v>
      </c>
      <c r="AC19" s="15" t="s">
        <v>333</v>
      </c>
      <c r="AD19" s="15" t="s">
        <v>333</v>
      </c>
      <c r="AE19" s="15" t="s">
        <v>333</v>
      </c>
      <c r="AF19" s="15" t="s">
        <v>333</v>
      </c>
    </row>
    <row r="20" spans="1:32" x14ac:dyDescent="0.35">
      <c r="A20" s="31"/>
      <c r="B20" s="11" t="s">
        <v>366</v>
      </c>
      <c r="C20" s="12">
        <v>9528</v>
      </c>
      <c r="D20" s="12">
        <v>393</v>
      </c>
      <c r="E20" s="12">
        <v>397</v>
      </c>
      <c r="F20" s="12">
        <v>400</v>
      </c>
      <c r="G20" s="12">
        <v>286</v>
      </c>
      <c r="H20" s="12">
        <v>586</v>
      </c>
      <c r="I20" s="12">
        <v>708</v>
      </c>
      <c r="J20" s="12">
        <v>121</v>
      </c>
      <c r="K20" s="12">
        <v>461</v>
      </c>
      <c r="L20" s="12">
        <v>251</v>
      </c>
      <c r="M20" s="12">
        <v>296</v>
      </c>
      <c r="N20" s="12">
        <v>272</v>
      </c>
      <c r="O20" s="12">
        <v>198</v>
      </c>
      <c r="P20" s="12">
        <v>564</v>
      </c>
      <c r="Q20" s="12">
        <v>429</v>
      </c>
      <c r="R20" s="12">
        <v>183</v>
      </c>
      <c r="S20" s="12">
        <v>496</v>
      </c>
      <c r="T20" s="12">
        <v>451</v>
      </c>
      <c r="U20" s="12">
        <v>178</v>
      </c>
      <c r="V20" s="12">
        <v>483</v>
      </c>
      <c r="W20" s="12">
        <v>213</v>
      </c>
      <c r="X20" s="12">
        <v>456</v>
      </c>
      <c r="Y20" s="12">
        <v>460</v>
      </c>
      <c r="Z20" s="12">
        <v>351</v>
      </c>
      <c r="AA20" s="12">
        <v>394</v>
      </c>
      <c r="AB20" s="12">
        <v>315</v>
      </c>
      <c r="AC20" s="12">
        <v>370</v>
      </c>
      <c r="AD20" s="12">
        <v>546</v>
      </c>
      <c r="AE20" s="12">
        <v>452</v>
      </c>
      <c r="AF20" s="12">
        <v>301</v>
      </c>
    </row>
    <row r="21" spans="1:32" x14ac:dyDescent="0.35">
      <c r="A21" s="31"/>
      <c r="B21" s="13" t="s">
        <v>367</v>
      </c>
      <c r="C21" s="14">
        <v>0.36</v>
      </c>
      <c r="D21" s="14">
        <v>0.38</v>
      </c>
      <c r="E21" s="14">
        <v>0.38</v>
      </c>
      <c r="F21" s="14">
        <v>0.39</v>
      </c>
      <c r="G21" s="14">
        <v>0.28999999999999998</v>
      </c>
      <c r="H21" s="14">
        <v>0.48</v>
      </c>
      <c r="I21" s="14">
        <v>0.47</v>
      </c>
      <c r="J21" s="14">
        <v>0.41</v>
      </c>
      <c r="K21" s="14">
        <v>0.46</v>
      </c>
      <c r="L21" s="14">
        <v>0.25</v>
      </c>
      <c r="M21" s="14">
        <v>0.28999999999999998</v>
      </c>
      <c r="N21" s="14">
        <v>0.28000000000000003</v>
      </c>
      <c r="O21" s="14">
        <v>0.2</v>
      </c>
      <c r="P21" s="14">
        <v>0.56000000000000005</v>
      </c>
      <c r="Q21" s="14">
        <v>0.42</v>
      </c>
      <c r="R21" s="14">
        <v>0.36</v>
      </c>
      <c r="S21" s="14">
        <v>0.48</v>
      </c>
      <c r="T21" s="14">
        <v>0.45</v>
      </c>
      <c r="U21" s="14">
        <v>0.35</v>
      </c>
      <c r="V21" s="14">
        <v>0.48</v>
      </c>
      <c r="W21" s="14">
        <v>0.42</v>
      </c>
      <c r="X21" s="14">
        <v>0.45</v>
      </c>
      <c r="Y21" s="14">
        <v>0.46</v>
      </c>
      <c r="Z21" s="14">
        <v>0.35</v>
      </c>
      <c r="AA21" s="14">
        <v>0.38</v>
      </c>
      <c r="AB21" s="14">
        <v>0.3</v>
      </c>
      <c r="AC21" s="14">
        <v>0.37</v>
      </c>
      <c r="AD21" s="14">
        <v>0.55000000000000004</v>
      </c>
      <c r="AE21" s="14">
        <v>0.45</v>
      </c>
      <c r="AF21" s="14">
        <v>0.3</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3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59</v>
      </c>
      <c r="C3" s="30"/>
      <c r="D3" s="30"/>
      <c r="E3" s="30"/>
      <c r="F3" s="30"/>
      <c r="H3" s="30" t="s">
        <v>60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564</v>
      </c>
      <c r="C12" s="12">
        <v>8253</v>
      </c>
      <c r="D12" s="12">
        <v>310</v>
      </c>
      <c r="E12" s="12">
        <v>272</v>
      </c>
      <c r="F12" s="12">
        <v>280</v>
      </c>
      <c r="G12" s="12">
        <v>385</v>
      </c>
      <c r="H12" s="12">
        <v>379</v>
      </c>
      <c r="I12" s="12">
        <v>485</v>
      </c>
      <c r="J12" s="12">
        <v>107</v>
      </c>
      <c r="K12" s="12">
        <v>285</v>
      </c>
      <c r="L12" s="12">
        <v>281</v>
      </c>
      <c r="M12" s="12">
        <v>434</v>
      </c>
      <c r="N12" s="12">
        <v>326</v>
      </c>
      <c r="O12" s="12">
        <v>350</v>
      </c>
      <c r="P12" s="12">
        <v>322</v>
      </c>
      <c r="Q12" s="12">
        <v>333</v>
      </c>
      <c r="R12" s="12">
        <v>190</v>
      </c>
      <c r="S12" s="12">
        <v>197</v>
      </c>
      <c r="T12" s="12">
        <v>295</v>
      </c>
      <c r="U12" s="12">
        <v>169</v>
      </c>
      <c r="V12" s="12">
        <v>264</v>
      </c>
      <c r="W12" s="12">
        <v>131</v>
      </c>
      <c r="X12" s="12">
        <v>338</v>
      </c>
      <c r="Y12" s="12">
        <v>370</v>
      </c>
      <c r="Z12" s="12">
        <v>211</v>
      </c>
      <c r="AA12" s="12">
        <v>209</v>
      </c>
      <c r="AB12" s="12">
        <v>283</v>
      </c>
      <c r="AC12" s="12">
        <v>281</v>
      </c>
      <c r="AD12" s="12">
        <v>347</v>
      </c>
      <c r="AE12" s="12">
        <v>392</v>
      </c>
      <c r="AF12" s="12">
        <v>358</v>
      </c>
    </row>
    <row r="13" spans="1:32" ht="31.5" x14ac:dyDescent="0.35">
      <c r="A13" s="31"/>
      <c r="B13" s="13" t="s">
        <v>565</v>
      </c>
      <c r="C13" s="14">
        <v>0.31</v>
      </c>
      <c r="D13" s="14">
        <v>0.3</v>
      </c>
      <c r="E13" s="14">
        <v>0.26</v>
      </c>
      <c r="F13" s="14">
        <v>0.27</v>
      </c>
      <c r="G13" s="14">
        <v>0.38</v>
      </c>
      <c r="H13" s="14">
        <v>0.31</v>
      </c>
      <c r="I13" s="14">
        <v>0.32</v>
      </c>
      <c r="J13" s="14">
        <v>0.36</v>
      </c>
      <c r="K13" s="14">
        <v>0.28000000000000003</v>
      </c>
      <c r="L13" s="14">
        <v>0.28000000000000003</v>
      </c>
      <c r="M13" s="14">
        <v>0.43</v>
      </c>
      <c r="N13" s="14">
        <v>0.33</v>
      </c>
      <c r="O13" s="14">
        <v>0.35</v>
      </c>
      <c r="P13" s="14">
        <v>0.32</v>
      </c>
      <c r="Q13" s="14">
        <v>0.32</v>
      </c>
      <c r="R13" s="14">
        <v>0.38</v>
      </c>
      <c r="S13" s="14">
        <v>0.19</v>
      </c>
      <c r="T13" s="14">
        <v>0.28999999999999998</v>
      </c>
      <c r="U13" s="14">
        <v>0.33</v>
      </c>
      <c r="V13" s="14">
        <v>0.26</v>
      </c>
      <c r="W13" s="14">
        <v>0.26</v>
      </c>
      <c r="X13" s="14">
        <v>0.33</v>
      </c>
      <c r="Y13" s="14">
        <v>0.37</v>
      </c>
      <c r="Z13" s="14">
        <v>0.21</v>
      </c>
      <c r="AA13" s="14">
        <v>0.2</v>
      </c>
      <c r="AB13" s="14">
        <v>0.27</v>
      </c>
      <c r="AC13" s="14">
        <v>0.28000000000000003</v>
      </c>
      <c r="AD13" s="14">
        <v>0.35</v>
      </c>
      <c r="AE13" s="14">
        <v>0.39</v>
      </c>
      <c r="AF13" s="14">
        <v>0.35</v>
      </c>
    </row>
    <row r="14" spans="1:32" ht="21.5" x14ac:dyDescent="0.35">
      <c r="A14" s="31"/>
      <c r="B14" s="11" t="s">
        <v>566</v>
      </c>
      <c r="C14" s="12">
        <v>8319</v>
      </c>
      <c r="D14" s="12">
        <v>292</v>
      </c>
      <c r="E14" s="12">
        <v>228</v>
      </c>
      <c r="F14" s="12">
        <v>389</v>
      </c>
      <c r="G14" s="12">
        <v>337</v>
      </c>
      <c r="H14" s="12">
        <v>377</v>
      </c>
      <c r="I14" s="12">
        <v>483</v>
      </c>
      <c r="J14" s="12">
        <v>106</v>
      </c>
      <c r="K14" s="12">
        <v>303</v>
      </c>
      <c r="L14" s="12">
        <v>340</v>
      </c>
      <c r="M14" s="12">
        <v>512</v>
      </c>
      <c r="N14" s="12">
        <v>276</v>
      </c>
      <c r="O14" s="12">
        <v>325</v>
      </c>
      <c r="P14" s="12">
        <v>269</v>
      </c>
      <c r="Q14" s="12">
        <v>344</v>
      </c>
      <c r="R14" s="12">
        <v>238</v>
      </c>
      <c r="S14" s="12">
        <v>256</v>
      </c>
      <c r="T14" s="12">
        <v>294</v>
      </c>
      <c r="U14" s="12">
        <v>136</v>
      </c>
      <c r="V14" s="12">
        <v>347</v>
      </c>
      <c r="W14" s="12">
        <v>187</v>
      </c>
      <c r="X14" s="12">
        <v>276</v>
      </c>
      <c r="Y14" s="12">
        <v>448</v>
      </c>
      <c r="Z14" s="12">
        <v>236</v>
      </c>
      <c r="AA14" s="12">
        <v>254</v>
      </c>
      <c r="AB14" s="12">
        <v>322</v>
      </c>
      <c r="AC14" s="12">
        <v>309</v>
      </c>
      <c r="AD14" s="12">
        <v>422</v>
      </c>
      <c r="AE14" s="12">
        <v>444</v>
      </c>
      <c r="AF14" s="12">
        <v>357</v>
      </c>
    </row>
    <row r="15" spans="1:32" ht="21.5" x14ac:dyDescent="0.35">
      <c r="A15" s="31"/>
      <c r="B15" s="13" t="s">
        <v>567</v>
      </c>
      <c r="C15" s="14">
        <v>0.32</v>
      </c>
      <c r="D15" s="14">
        <v>0.28999999999999998</v>
      </c>
      <c r="E15" s="14">
        <v>0.22</v>
      </c>
      <c r="F15" s="14">
        <v>0.38</v>
      </c>
      <c r="G15" s="14">
        <v>0.33</v>
      </c>
      <c r="H15" s="14">
        <v>0.31</v>
      </c>
      <c r="I15" s="14">
        <v>0.32</v>
      </c>
      <c r="J15" s="14">
        <v>0.36</v>
      </c>
      <c r="K15" s="14">
        <v>0.3</v>
      </c>
      <c r="L15" s="14">
        <v>0.34</v>
      </c>
      <c r="M15" s="14">
        <v>0.51</v>
      </c>
      <c r="N15" s="14">
        <v>0.28000000000000003</v>
      </c>
      <c r="O15" s="14">
        <v>0.33</v>
      </c>
      <c r="P15" s="14">
        <v>0.27</v>
      </c>
      <c r="Q15" s="14">
        <v>0.33</v>
      </c>
      <c r="R15" s="14">
        <v>0.48</v>
      </c>
      <c r="S15" s="14">
        <v>0.25</v>
      </c>
      <c r="T15" s="14">
        <v>0.28999999999999998</v>
      </c>
      <c r="U15" s="14">
        <v>0.27</v>
      </c>
      <c r="V15" s="14">
        <v>0.34</v>
      </c>
      <c r="W15" s="14">
        <v>0.37</v>
      </c>
      <c r="X15" s="14">
        <v>0.27</v>
      </c>
      <c r="Y15" s="14">
        <v>0.45</v>
      </c>
      <c r="Z15" s="14">
        <v>0.23</v>
      </c>
      <c r="AA15" s="14">
        <v>0.25</v>
      </c>
      <c r="AB15" s="14">
        <v>0.31</v>
      </c>
      <c r="AC15" s="14">
        <v>0.31</v>
      </c>
      <c r="AD15" s="14">
        <v>0.42</v>
      </c>
      <c r="AE15" s="14">
        <v>0.44</v>
      </c>
      <c r="AF15" s="14">
        <v>0.35</v>
      </c>
    </row>
    <row r="16" spans="1:32" ht="21.5" x14ac:dyDescent="0.35">
      <c r="A16" s="31"/>
      <c r="B16" s="11" t="s">
        <v>568</v>
      </c>
      <c r="C16" s="12">
        <v>9344</v>
      </c>
      <c r="D16" s="12">
        <v>306</v>
      </c>
      <c r="E16" s="12">
        <v>312</v>
      </c>
      <c r="F16" s="12">
        <v>373</v>
      </c>
      <c r="G16" s="12">
        <v>368</v>
      </c>
      <c r="H16" s="12">
        <v>467</v>
      </c>
      <c r="I16" s="12">
        <v>563</v>
      </c>
      <c r="J16" s="12">
        <v>96</v>
      </c>
      <c r="K16" s="12">
        <v>297</v>
      </c>
      <c r="L16" s="12">
        <v>400</v>
      </c>
      <c r="M16" s="12">
        <v>492</v>
      </c>
      <c r="N16" s="12">
        <v>352</v>
      </c>
      <c r="O16" s="12">
        <v>417</v>
      </c>
      <c r="P16" s="12">
        <v>293</v>
      </c>
      <c r="Q16" s="12">
        <v>361</v>
      </c>
      <c r="R16" s="12">
        <v>222</v>
      </c>
      <c r="S16" s="12">
        <v>259</v>
      </c>
      <c r="T16" s="12">
        <v>297</v>
      </c>
      <c r="U16" s="12">
        <v>231</v>
      </c>
      <c r="V16" s="12">
        <v>275</v>
      </c>
      <c r="W16" s="12">
        <v>172</v>
      </c>
      <c r="X16" s="12">
        <v>423</v>
      </c>
      <c r="Y16" s="12">
        <v>394</v>
      </c>
      <c r="Z16" s="12">
        <v>186</v>
      </c>
      <c r="AA16" s="12">
        <v>253</v>
      </c>
      <c r="AB16" s="12">
        <v>312</v>
      </c>
      <c r="AC16" s="12">
        <v>303</v>
      </c>
      <c r="AD16" s="12">
        <v>438</v>
      </c>
      <c r="AE16" s="12">
        <v>386</v>
      </c>
      <c r="AF16" s="12">
        <v>554</v>
      </c>
    </row>
    <row r="17" spans="1:32" ht="21.5" x14ac:dyDescent="0.35">
      <c r="A17" s="31"/>
      <c r="B17" s="13" t="s">
        <v>569</v>
      </c>
      <c r="C17" s="14">
        <v>0.35</v>
      </c>
      <c r="D17" s="14">
        <v>0.3</v>
      </c>
      <c r="E17" s="14">
        <v>0.3</v>
      </c>
      <c r="F17" s="14">
        <v>0.37</v>
      </c>
      <c r="G17" s="14">
        <v>0.36</v>
      </c>
      <c r="H17" s="14">
        <v>0.38</v>
      </c>
      <c r="I17" s="14">
        <v>0.37</v>
      </c>
      <c r="J17" s="14">
        <v>0.32</v>
      </c>
      <c r="K17" s="14">
        <v>0.28999999999999998</v>
      </c>
      <c r="L17" s="14">
        <v>0.4</v>
      </c>
      <c r="M17" s="14">
        <v>0.49</v>
      </c>
      <c r="N17" s="14">
        <v>0.35</v>
      </c>
      <c r="O17" s="14">
        <v>0.42</v>
      </c>
      <c r="P17" s="14">
        <v>0.28999999999999998</v>
      </c>
      <c r="Q17" s="14">
        <v>0.35</v>
      </c>
      <c r="R17" s="14">
        <v>0.44</v>
      </c>
      <c r="S17" s="14">
        <v>0.25</v>
      </c>
      <c r="T17" s="14">
        <v>0.28999999999999998</v>
      </c>
      <c r="U17" s="14">
        <v>0.45</v>
      </c>
      <c r="V17" s="14">
        <v>0.27</v>
      </c>
      <c r="W17" s="14">
        <v>0.34</v>
      </c>
      <c r="X17" s="14">
        <v>0.42</v>
      </c>
      <c r="Y17" s="14">
        <v>0.39</v>
      </c>
      <c r="Z17" s="14">
        <v>0.18</v>
      </c>
      <c r="AA17" s="14">
        <v>0.25</v>
      </c>
      <c r="AB17" s="14">
        <v>0.3</v>
      </c>
      <c r="AC17" s="14">
        <v>0.3</v>
      </c>
      <c r="AD17" s="14">
        <v>0.44</v>
      </c>
      <c r="AE17" s="14">
        <v>0.38</v>
      </c>
      <c r="AF17" s="14">
        <v>0.54</v>
      </c>
    </row>
    <row r="18" spans="1:32" ht="21.5" x14ac:dyDescent="0.35">
      <c r="A18" s="31"/>
      <c r="B18" s="11" t="s">
        <v>570</v>
      </c>
      <c r="C18" s="12">
        <v>8193</v>
      </c>
      <c r="D18" s="12">
        <v>245</v>
      </c>
      <c r="E18" s="12">
        <v>325</v>
      </c>
      <c r="F18" s="12">
        <v>341</v>
      </c>
      <c r="G18" s="12">
        <v>338</v>
      </c>
      <c r="H18" s="12">
        <v>392</v>
      </c>
      <c r="I18" s="12">
        <v>490</v>
      </c>
      <c r="J18" s="12">
        <v>98</v>
      </c>
      <c r="K18" s="12">
        <v>279</v>
      </c>
      <c r="L18" s="12">
        <v>335</v>
      </c>
      <c r="M18" s="12">
        <v>478</v>
      </c>
      <c r="N18" s="12">
        <v>321</v>
      </c>
      <c r="O18" s="12">
        <v>316</v>
      </c>
      <c r="P18" s="12">
        <v>353</v>
      </c>
      <c r="Q18" s="12">
        <v>333</v>
      </c>
      <c r="R18" s="12">
        <v>208</v>
      </c>
      <c r="S18" s="12">
        <v>212</v>
      </c>
      <c r="T18" s="12">
        <v>220</v>
      </c>
      <c r="U18" s="12">
        <v>184</v>
      </c>
      <c r="V18" s="12">
        <v>305</v>
      </c>
      <c r="W18" s="12">
        <v>157</v>
      </c>
      <c r="X18" s="12">
        <v>309</v>
      </c>
      <c r="Y18" s="12">
        <v>426</v>
      </c>
      <c r="Z18" s="12">
        <v>232</v>
      </c>
      <c r="AA18" s="12">
        <v>220</v>
      </c>
      <c r="AB18" s="12">
        <v>305</v>
      </c>
      <c r="AC18" s="12">
        <v>336</v>
      </c>
      <c r="AD18" s="12">
        <v>359</v>
      </c>
      <c r="AE18" s="12">
        <v>307</v>
      </c>
      <c r="AF18" s="12">
        <v>276</v>
      </c>
    </row>
    <row r="19" spans="1:32" ht="21.5" x14ac:dyDescent="0.35">
      <c r="A19" s="31"/>
      <c r="B19" s="13" t="s">
        <v>571</v>
      </c>
      <c r="C19" s="14">
        <v>0.31</v>
      </c>
      <c r="D19" s="14">
        <v>0.24</v>
      </c>
      <c r="E19" s="14">
        <v>0.31</v>
      </c>
      <c r="F19" s="14">
        <v>0.33</v>
      </c>
      <c r="G19" s="14">
        <v>0.33</v>
      </c>
      <c r="H19" s="14">
        <v>0.32</v>
      </c>
      <c r="I19" s="14">
        <v>0.32</v>
      </c>
      <c r="J19" s="14">
        <v>0.33</v>
      </c>
      <c r="K19" s="14">
        <v>0.28000000000000003</v>
      </c>
      <c r="L19" s="14">
        <v>0.33</v>
      </c>
      <c r="M19" s="14">
        <v>0.48</v>
      </c>
      <c r="N19" s="14">
        <v>0.32</v>
      </c>
      <c r="O19" s="14">
        <v>0.32</v>
      </c>
      <c r="P19" s="14">
        <v>0.35</v>
      </c>
      <c r="Q19" s="14">
        <v>0.32</v>
      </c>
      <c r="R19" s="14">
        <v>0.41</v>
      </c>
      <c r="S19" s="14">
        <v>0.21</v>
      </c>
      <c r="T19" s="14">
        <v>0.22</v>
      </c>
      <c r="U19" s="14">
        <v>0.36</v>
      </c>
      <c r="V19" s="14">
        <v>0.3</v>
      </c>
      <c r="W19" s="14">
        <v>0.31</v>
      </c>
      <c r="X19" s="14">
        <v>0.31</v>
      </c>
      <c r="Y19" s="14">
        <v>0.43</v>
      </c>
      <c r="Z19" s="14">
        <v>0.23</v>
      </c>
      <c r="AA19" s="14">
        <v>0.21</v>
      </c>
      <c r="AB19" s="14">
        <v>0.28999999999999998</v>
      </c>
      <c r="AC19" s="14">
        <v>0.33</v>
      </c>
      <c r="AD19" s="14">
        <v>0.36</v>
      </c>
      <c r="AE19" s="14">
        <v>0.31</v>
      </c>
      <c r="AF19" s="14">
        <v>0.27</v>
      </c>
    </row>
    <row r="20" spans="1:32" ht="21.5" x14ac:dyDescent="0.35">
      <c r="A20" s="31"/>
      <c r="B20" s="11" t="s">
        <v>572</v>
      </c>
      <c r="C20" s="12">
        <v>6362</v>
      </c>
      <c r="D20" s="12">
        <v>221</v>
      </c>
      <c r="E20" s="12">
        <v>209</v>
      </c>
      <c r="F20" s="12">
        <v>307</v>
      </c>
      <c r="G20" s="12">
        <v>189</v>
      </c>
      <c r="H20" s="12">
        <v>321</v>
      </c>
      <c r="I20" s="12">
        <v>381</v>
      </c>
      <c r="J20" s="12">
        <v>60</v>
      </c>
      <c r="K20" s="12">
        <v>181</v>
      </c>
      <c r="L20" s="12">
        <v>232</v>
      </c>
      <c r="M20" s="12">
        <v>339</v>
      </c>
      <c r="N20" s="12">
        <v>234</v>
      </c>
      <c r="O20" s="12">
        <v>286</v>
      </c>
      <c r="P20" s="12">
        <v>250</v>
      </c>
      <c r="Q20" s="12">
        <v>244</v>
      </c>
      <c r="R20" s="12">
        <v>191</v>
      </c>
      <c r="S20" s="12">
        <v>131</v>
      </c>
      <c r="T20" s="12">
        <v>198</v>
      </c>
      <c r="U20" s="12">
        <v>126</v>
      </c>
      <c r="V20" s="12">
        <v>244</v>
      </c>
      <c r="W20" s="12">
        <v>105</v>
      </c>
      <c r="X20" s="12">
        <v>170</v>
      </c>
      <c r="Y20" s="12">
        <v>343</v>
      </c>
      <c r="Z20" s="12">
        <v>198</v>
      </c>
      <c r="AA20" s="12">
        <v>172</v>
      </c>
      <c r="AB20" s="12">
        <v>254</v>
      </c>
      <c r="AC20" s="12">
        <v>170</v>
      </c>
      <c r="AD20" s="12">
        <v>342</v>
      </c>
      <c r="AE20" s="12">
        <v>158</v>
      </c>
      <c r="AF20" s="12">
        <v>192</v>
      </c>
    </row>
    <row r="21" spans="1:32" ht="21.5" x14ac:dyDescent="0.35">
      <c r="A21" s="31"/>
      <c r="B21" s="13" t="s">
        <v>573</v>
      </c>
      <c r="C21" s="14">
        <v>0.24</v>
      </c>
      <c r="D21" s="14">
        <v>0.22</v>
      </c>
      <c r="E21" s="14">
        <v>0.2</v>
      </c>
      <c r="F21" s="14">
        <v>0.3</v>
      </c>
      <c r="G21" s="14">
        <v>0.19</v>
      </c>
      <c r="H21" s="14">
        <v>0.26</v>
      </c>
      <c r="I21" s="14">
        <v>0.25</v>
      </c>
      <c r="J21" s="14">
        <v>0.2</v>
      </c>
      <c r="K21" s="14">
        <v>0.18</v>
      </c>
      <c r="L21" s="14">
        <v>0.23</v>
      </c>
      <c r="M21" s="14">
        <v>0.34</v>
      </c>
      <c r="N21" s="14">
        <v>0.23</v>
      </c>
      <c r="O21" s="14">
        <v>0.28999999999999998</v>
      </c>
      <c r="P21" s="14">
        <v>0.25</v>
      </c>
      <c r="Q21" s="14">
        <v>0.24</v>
      </c>
      <c r="R21" s="14">
        <v>0.38</v>
      </c>
      <c r="S21" s="14">
        <v>0.13</v>
      </c>
      <c r="T21" s="14">
        <v>0.2</v>
      </c>
      <c r="U21" s="14">
        <v>0.25</v>
      </c>
      <c r="V21" s="14">
        <v>0.24</v>
      </c>
      <c r="W21" s="14">
        <v>0.21</v>
      </c>
      <c r="X21" s="14">
        <v>0.17</v>
      </c>
      <c r="Y21" s="14">
        <v>0.34</v>
      </c>
      <c r="Z21" s="14">
        <v>0.19</v>
      </c>
      <c r="AA21" s="14">
        <v>0.17</v>
      </c>
      <c r="AB21" s="14">
        <v>0.24</v>
      </c>
      <c r="AC21" s="14">
        <v>0.17</v>
      </c>
      <c r="AD21" s="14">
        <v>0.34</v>
      </c>
      <c r="AE21" s="14">
        <v>0.16</v>
      </c>
      <c r="AF21" s="14">
        <v>0.19</v>
      </c>
    </row>
    <row r="22" spans="1:32" ht="31.5" x14ac:dyDescent="0.35">
      <c r="A22" s="31"/>
      <c r="B22" s="11" t="s">
        <v>574</v>
      </c>
      <c r="C22" s="12">
        <v>8413</v>
      </c>
      <c r="D22" s="12">
        <v>332</v>
      </c>
      <c r="E22" s="12">
        <v>301</v>
      </c>
      <c r="F22" s="12">
        <v>400</v>
      </c>
      <c r="G22" s="12">
        <v>273</v>
      </c>
      <c r="H22" s="12">
        <v>387</v>
      </c>
      <c r="I22" s="12">
        <v>491</v>
      </c>
      <c r="J22" s="12">
        <v>103</v>
      </c>
      <c r="K22" s="12">
        <v>299</v>
      </c>
      <c r="L22" s="12">
        <v>332</v>
      </c>
      <c r="M22" s="12">
        <v>562</v>
      </c>
      <c r="N22" s="12">
        <v>322</v>
      </c>
      <c r="O22" s="12">
        <v>343</v>
      </c>
      <c r="P22" s="12">
        <v>359</v>
      </c>
      <c r="Q22" s="12">
        <v>301</v>
      </c>
      <c r="R22" s="12">
        <v>247</v>
      </c>
      <c r="S22" s="12">
        <v>218</v>
      </c>
      <c r="T22" s="12">
        <v>296</v>
      </c>
      <c r="U22" s="12">
        <v>181</v>
      </c>
      <c r="V22" s="12">
        <v>306</v>
      </c>
      <c r="W22" s="12">
        <v>73</v>
      </c>
      <c r="X22" s="12">
        <v>278</v>
      </c>
      <c r="Y22" s="12">
        <v>410</v>
      </c>
      <c r="Z22" s="12">
        <v>266</v>
      </c>
      <c r="AA22" s="12">
        <v>288</v>
      </c>
      <c r="AB22" s="12">
        <v>331</v>
      </c>
      <c r="AC22" s="12">
        <v>283</v>
      </c>
      <c r="AD22" s="12">
        <v>461</v>
      </c>
      <c r="AE22" s="12">
        <v>252</v>
      </c>
      <c r="AF22" s="12">
        <v>251</v>
      </c>
    </row>
    <row r="23" spans="1:32" ht="21.5" x14ac:dyDescent="0.35">
      <c r="A23" s="31"/>
      <c r="B23" s="13" t="s">
        <v>575</v>
      </c>
      <c r="C23" s="14">
        <v>0.32</v>
      </c>
      <c r="D23" s="14">
        <v>0.32</v>
      </c>
      <c r="E23" s="14">
        <v>0.28999999999999998</v>
      </c>
      <c r="F23" s="14">
        <v>0.39</v>
      </c>
      <c r="G23" s="14">
        <v>0.27</v>
      </c>
      <c r="H23" s="14">
        <v>0.31</v>
      </c>
      <c r="I23" s="14">
        <v>0.32</v>
      </c>
      <c r="J23" s="14">
        <v>0.35</v>
      </c>
      <c r="K23" s="14">
        <v>0.3</v>
      </c>
      <c r="L23" s="14">
        <v>0.33</v>
      </c>
      <c r="M23" s="14">
        <v>0.56000000000000005</v>
      </c>
      <c r="N23" s="14">
        <v>0.32</v>
      </c>
      <c r="O23" s="14">
        <v>0.34</v>
      </c>
      <c r="P23" s="14">
        <v>0.36</v>
      </c>
      <c r="Q23" s="14">
        <v>0.28999999999999998</v>
      </c>
      <c r="R23" s="14">
        <v>0.49</v>
      </c>
      <c r="S23" s="14">
        <v>0.21</v>
      </c>
      <c r="T23" s="14">
        <v>0.28999999999999998</v>
      </c>
      <c r="U23" s="14">
        <v>0.36</v>
      </c>
      <c r="V23" s="14">
        <v>0.3</v>
      </c>
      <c r="W23" s="14">
        <v>0.15</v>
      </c>
      <c r="X23" s="14">
        <v>0.28000000000000003</v>
      </c>
      <c r="Y23" s="14">
        <v>0.41</v>
      </c>
      <c r="Z23" s="14">
        <v>0.26</v>
      </c>
      <c r="AA23" s="14">
        <v>0.28000000000000003</v>
      </c>
      <c r="AB23" s="14">
        <v>0.31</v>
      </c>
      <c r="AC23" s="14">
        <v>0.28000000000000003</v>
      </c>
      <c r="AD23" s="14">
        <v>0.46</v>
      </c>
      <c r="AE23" s="14">
        <v>0.25</v>
      </c>
      <c r="AF23" s="14">
        <v>0.25</v>
      </c>
    </row>
    <row r="24" spans="1:32" ht="51.5" x14ac:dyDescent="0.35">
      <c r="A24" s="31"/>
      <c r="B24" s="11" t="s">
        <v>576</v>
      </c>
      <c r="C24" s="12">
        <v>7581</v>
      </c>
      <c r="D24" s="12">
        <v>220</v>
      </c>
      <c r="E24" s="12">
        <v>395</v>
      </c>
      <c r="F24" s="12">
        <v>306</v>
      </c>
      <c r="G24" s="12">
        <v>147</v>
      </c>
      <c r="H24" s="12">
        <v>317</v>
      </c>
      <c r="I24" s="12">
        <v>403</v>
      </c>
      <c r="J24" s="12">
        <v>86</v>
      </c>
      <c r="K24" s="12">
        <v>207</v>
      </c>
      <c r="L24" s="12">
        <v>239</v>
      </c>
      <c r="M24" s="12">
        <v>396</v>
      </c>
      <c r="N24" s="12">
        <v>321</v>
      </c>
      <c r="O24" s="12">
        <v>259</v>
      </c>
      <c r="P24" s="12">
        <v>366</v>
      </c>
      <c r="Q24" s="12">
        <v>356</v>
      </c>
      <c r="R24" s="12">
        <v>192</v>
      </c>
      <c r="S24" s="12">
        <v>198</v>
      </c>
      <c r="T24" s="12">
        <v>270</v>
      </c>
      <c r="U24" s="12">
        <v>133</v>
      </c>
      <c r="V24" s="12">
        <v>328</v>
      </c>
      <c r="W24" s="12">
        <v>172</v>
      </c>
      <c r="X24" s="12">
        <v>186</v>
      </c>
      <c r="Y24" s="12">
        <v>427</v>
      </c>
      <c r="Z24" s="12">
        <v>250</v>
      </c>
      <c r="AA24" s="12">
        <v>256</v>
      </c>
      <c r="AB24" s="12">
        <v>404</v>
      </c>
      <c r="AC24" s="12">
        <v>274</v>
      </c>
      <c r="AD24" s="12">
        <v>408</v>
      </c>
      <c r="AE24" s="12">
        <v>202</v>
      </c>
      <c r="AF24" s="12">
        <v>184</v>
      </c>
    </row>
    <row r="25" spans="1:32" ht="51.5" x14ac:dyDescent="0.35">
      <c r="A25" s="31"/>
      <c r="B25" s="13" t="s">
        <v>577</v>
      </c>
      <c r="C25" s="14">
        <v>0.28999999999999998</v>
      </c>
      <c r="D25" s="14">
        <v>0.21</v>
      </c>
      <c r="E25" s="14">
        <v>0.38</v>
      </c>
      <c r="F25" s="14">
        <v>0.3</v>
      </c>
      <c r="G25" s="14">
        <v>0.14000000000000001</v>
      </c>
      <c r="H25" s="14">
        <v>0.26</v>
      </c>
      <c r="I25" s="14">
        <v>0.26</v>
      </c>
      <c r="J25" s="14">
        <v>0.28999999999999998</v>
      </c>
      <c r="K25" s="14">
        <v>0.21</v>
      </c>
      <c r="L25" s="14">
        <v>0.24</v>
      </c>
      <c r="M25" s="14">
        <v>0.39</v>
      </c>
      <c r="N25" s="14">
        <v>0.32</v>
      </c>
      <c r="O25" s="14">
        <v>0.26</v>
      </c>
      <c r="P25" s="14">
        <v>0.36</v>
      </c>
      <c r="Q25" s="14">
        <v>0.34</v>
      </c>
      <c r="R25" s="14">
        <v>0.38</v>
      </c>
      <c r="S25" s="14">
        <v>0.19</v>
      </c>
      <c r="T25" s="14">
        <v>0.27</v>
      </c>
      <c r="U25" s="14">
        <v>0.26</v>
      </c>
      <c r="V25" s="14">
        <v>0.32</v>
      </c>
      <c r="W25" s="14">
        <v>0.34</v>
      </c>
      <c r="X25" s="14">
        <v>0.18</v>
      </c>
      <c r="Y25" s="14">
        <v>0.43</v>
      </c>
      <c r="Z25" s="14">
        <v>0.25</v>
      </c>
      <c r="AA25" s="14">
        <v>0.25</v>
      </c>
      <c r="AB25" s="14">
        <v>0.38</v>
      </c>
      <c r="AC25" s="14">
        <v>0.27</v>
      </c>
      <c r="AD25" s="14">
        <v>0.41</v>
      </c>
      <c r="AE25" s="14">
        <v>0.2</v>
      </c>
      <c r="AF25" s="14">
        <v>0.18</v>
      </c>
    </row>
    <row r="26" spans="1:32" ht="41.5" x14ac:dyDescent="0.35">
      <c r="A26" s="31"/>
      <c r="B26" s="11" t="s">
        <v>578</v>
      </c>
      <c r="C26" s="12">
        <v>7509</v>
      </c>
      <c r="D26" s="12">
        <v>212</v>
      </c>
      <c r="E26" s="12">
        <v>398</v>
      </c>
      <c r="F26" s="12">
        <v>342</v>
      </c>
      <c r="G26" s="12">
        <v>172</v>
      </c>
      <c r="H26" s="12">
        <v>309</v>
      </c>
      <c r="I26" s="12">
        <v>402</v>
      </c>
      <c r="J26" s="12">
        <v>93</v>
      </c>
      <c r="K26" s="12">
        <v>256</v>
      </c>
      <c r="L26" s="12">
        <v>256</v>
      </c>
      <c r="M26" s="12">
        <v>503</v>
      </c>
      <c r="N26" s="12">
        <v>248</v>
      </c>
      <c r="O26" s="12">
        <v>281</v>
      </c>
      <c r="P26" s="12">
        <v>331</v>
      </c>
      <c r="Q26" s="12">
        <v>342</v>
      </c>
      <c r="R26" s="12">
        <v>221</v>
      </c>
      <c r="S26" s="12">
        <v>275</v>
      </c>
      <c r="T26" s="12">
        <v>298</v>
      </c>
      <c r="U26" s="12">
        <v>128</v>
      </c>
      <c r="V26" s="12">
        <v>296</v>
      </c>
      <c r="W26" s="12">
        <v>130</v>
      </c>
      <c r="X26" s="12">
        <v>189</v>
      </c>
      <c r="Y26" s="12">
        <v>418</v>
      </c>
      <c r="Z26" s="12">
        <v>216</v>
      </c>
      <c r="AA26" s="12">
        <v>283</v>
      </c>
      <c r="AB26" s="12">
        <v>383</v>
      </c>
      <c r="AC26" s="12">
        <v>329</v>
      </c>
      <c r="AD26" s="12">
        <v>469</v>
      </c>
      <c r="AE26" s="12">
        <v>251</v>
      </c>
      <c r="AF26" s="12">
        <v>283</v>
      </c>
    </row>
    <row r="27" spans="1:32" ht="41.5" x14ac:dyDescent="0.35">
      <c r="A27" s="31"/>
      <c r="B27" s="13" t="s">
        <v>579</v>
      </c>
      <c r="C27" s="14">
        <v>0.28000000000000003</v>
      </c>
      <c r="D27" s="14">
        <v>0.21</v>
      </c>
      <c r="E27" s="14">
        <v>0.38</v>
      </c>
      <c r="F27" s="14">
        <v>0.34</v>
      </c>
      <c r="G27" s="14">
        <v>0.17</v>
      </c>
      <c r="H27" s="14">
        <v>0.25</v>
      </c>
      <c r="I27" s="14">
        <v>0.26</v>
      </c>
      <c r="J27" s="14">
        <v>0.31</v>
      </c>
      <c r="K27" s="14">
        <v>0.25</v>
      </c>
      <c r="L27" s="14">
        <v>0.25</v>
      </c>
      <c r="M27" s="14">
        <v>0.5</v>
      </c>
      <c r="N27" s="14">
        <v>0.25</v>
      </c>
      <c r="O27" s="14">
        <v>0.28000000000000003</v>
      </c>
      <c r="P27" s="14">
        <v>0.33</v>
      </c>
      <c r="Q27" s="14">
        <v>0.33</v>
      </c>
      <c r="R27" s="14">
        <v>0.44</v>
      </c>
      <c r="S27" s="14">
        <v>0.27</v>
      </c>
      <c r="T27" s="14">
        <v>0.28999999999999998</v>
      </c>
      <c r="U27" s="14">
        <v>0.25</v>
      </c>
      <c r="V27" s="14">
        <v>0.28999999999999998</v>
      </c>
      <c r="W27" s="14">
        <v>0.26</v>
      </c>
      <c r="X27" s="14">
        <v>0.19</v>
      </c>
      <c r="Y27" s="14">
        <v>0.42</v>
      </c>
      <c r="Z27" s="14">
        <v>0.21</v>
      </c>
      <c r="AA27" s="14">
        <v>0.27</v>
      </c>
      <c r="AB27" s="14">
        <v>0.36</v>
      </c>
      <c r="AC27" s="14">
        <v>0.32</v>
      </c>
      <c r="AD27" s="14">
        <v>0.47</v>
      </c>
      <c r="AE27" s="14">
        <v>0.25</v>
      </c>
      <c r="AF27" s="14">
        <v>0.28000000000000003</v>
      </c>
    </row>
    <row r="28" spans="1:32" ht="41.5" x14ac:dyDescent="0.35">
      <c r="A28" s="31"/>
      <c r="B28" s="11" t="s">
        <v>580</v>
      </c>
      <c r="C28" s="12">
        <v>8008</v>
      </c>
      <c r="D28" s="12">
        <v>262</v>
      </c>
      <c r="E28" s="12">
        <v>386</v>
      </c>
      <c r="F28" s="12">
        <v>339</v>
      </c>
      <c r="G28" s="12">
        <v>348</v>
      </c>
      <c r="H28" s="12">
        <v>316</v>
      </c>
      <c r="I28" s="12">
        <v>412</v>
      </c>
      <c r="J28" s="12">
        <v>96</v>
      </c>
      <c r="K28" s="12">
        <v>334</v>
      </c>
      <c r="L28" s="12">
        <v>269</v>
      </c>
      <c r="M28" s="12">
        <v>518</v>
      </c>
      <c r="N28" s="12">
        <v>274</v>
      </c>
      <c r="O28" s="12">
        <v>323</v>
      </c>
      <c r="P28" s="12">
        <v>306</v>
      </c>
      <c r="Q28" s="12">
        <v>308</v>
      </c>
      <c r="R28" s="12">
        <v>220</v>
      </c>
      <c r="S28" s="12">
        <v>357</v>
      </c>
      <c r="T28" s="12">
        <v>358</v>
      </c>
      <c r="U28" s="12">
        <v>140</v>
      </c>
      <c r="V28" s="12">
        <v>303</v>
      </c>
      <c r="W28" s="12">
        <v>174</v>
      </c>
      <c r="X28" s="12">
        <v>288</v>
      </c>
      <c r="Y28" s="12">
        <v>424</v>
      </c>
      <c r="Z28" s="12">
        <v>199</v>
      </c>
      <c r="AA28" s="12">
        <v>311</v>
      </c>
      <c r="AB28" s="12">
        <v>342</v>
      </c>
      <c r="AC28" s="12">
        <v>370</v>
      </c>
      <c r="AD28" s="12">
        <v>424</v>
      </c>
      <c r="AE28" s="12">
        <v>443</v>
      </c>
      <c r="AF28" s="12">
        <v>482</v>
      </c>
    </row>
    <row r="29" spans="1:32" ht="41.5" x14ac:dyDescent="0.35">
      <c r="A29" s="31"/>
      <c r="B29" s="13" t="s">
        <v>581</v>
      </c>
      <c r="C29" s="14">
        <v>0.3</v>
      </c>
      <c r="D29" s="14">
        <v>0.26</v>
      </c>
      <c r="E29" s="14">
        <v>0.37</v>
      </c>
      <c r="F29" s="14">
        <v>0.33</v>
      </c>
      <c r="G29" s="14">
        <v>0.34</v>
      </c>
      <c r="H29" s="14">
        <v>0.26</v>
      </c>
      <c r="I29" s="14">
        <v>0.27</v>
      </c>
      <c r="J29" s="14">
        <v>0.32</v>
      </c>
      <c r="K29" s="14">
        <v>0.33</v>
      </c>
      <c r="L29" s="14">
        <v>0.27</v>
      </c>
      <c r="M29" s="14">
        <v>0.52</v>
      </c>
      <c r="N29" s="14">
        <v>0.27</v>
      </c>
      <c r="O29" s="14">
        <v>0.32</v>
      </c>
      <c r="P29" s="14">
        <v>0.31</v>
      </c>
      <c r="Q29" s="14">
        <v>0.3</v>
      </c>
      <c r="R29" s="14">
        <v>0.44</v>
      </c>
      <c r="S29" s="14">
        <v>0.35</v>
      </c>
      <c r="T29" s="14">
        <v>0.35</v>
      </c>
      <c r="U29" s="14">
        <v>0.28000000000000003</v>
      </c>
      <c r="V29" s="14">
        <v>0.3</v>
      </c>
      <c r="W29" s="14">
        <v>0.35</v>
      </c>
      <c r="X29" s="14">
        <v>0.28999999999999998</v>
      </c>
      <c r="Y29" s="14">
        <v>0.42</v>
      </c>
      <c r="Z29" s="14">
        <v>0.2</v>
      </c>
      <c r="AA29" s="14">
        <v>0.3</v>
      </c>
      <c r="AB29" s="14">
        <v>0.32</v>
      </c>
      <c r="AC29" s="14">
        <v>0.36</v>
      </c>
      <c r="AD29" s="14">
        <v>0.42</v>
      </c>
      <c r="AE29" s="14">
        <v>0.44</v>
      </c>
      <c r="AF29" s="14">
        <v>0.47</v>
      </c>
    </row>
    <row r="30" spans="1:32" ht="41.5" x14ac:dyDescent="0.35">
      <c r="A30" s="31"/>
      <c r="B30" s="11" t="s">
        <v>582</v>
      </c>
      <c r="C30" s="12">
        <v>4003</v>
      </c>
      <c r="D30" s="12">
        <v>134</v>
      </c>
      <c r="E30" s="12">
        <v>172</v>
      </c>
      <c r="F30" s="12">
        <v>179</v>
      </c>
      <c r="G30" s="12">
        <v>122</v>
      </c>
      <c r="H30" s="12">
        <v>215</v>
      </c>
      <c r="I30" s="12">
        <v>272</v>
      </c>
      <c r="J30" s="12">
        <v>57</v>
      </c>
      <c r="K30" s="12">
        <v>257</v>
      </c>
      <c r="L30" s="12">
        <v>171</v>
      </c>
      <c r="M30" s="12">
        <v>122</v>
      </c>
      <c r="N30" s="12">
        <v>177</v>
      </c>
      <c r="O30" s="12">
        <v>129</v>
      </c>
      <c r="P30" s="12">
        <v>128</v>
      </c>
      <c r="Q30" s="12">
        <v>163</v>
      </c>
      <c r="R30" s="12">
        <v>46</v>
      </c>
      <c r="S30" s="12">
        <v>146</v>
      </c>
      <c r="T30" s="12">
        <v>239</v>
      </c>
      <c r="U30" s="12">
        <v>77</v>
      </c>
      <c r="V30" s="12">
        <v>131</v>
      </c>
      <c r="W30" s="12">
        <v>40</v>
      </c>
      <c r="X30" s="12">
        <v>104</v>
      </c>
      <c r="Y30" s="12">
        <v>155</v>
      </c>
      <c r="Z30" s="12">
        <v>146</v>
      </c>
      <c r="AA30" s="12">
        <v>247</v>
      </c>
      <c r="AB30" s="12">
        <v>129</v>
      </c>
      <c r="AC30" s="12">
        <v>166</v>
      </c>
      <c r="AD30" s="12">
        <v>109</v>
      </c>
      <c r="AE30" s="12">
        <v>103</v>
      </c>
      <c r="AF30" s="12">
        <v>79</v>
      </c>
    </row>
    <row r="31" spans="1:32" ht="31.5" x14ac:dyDescent="0.35">
      <c r="A31" s="31"/>
      <c r="B31" s="13" t="s">
        <v>583</v>
      </c>
      <c r="C31" s="14">
        <v>0.15</v>
      </c>
      <c r="D31" s="14">
        <v>0.13</v>
      </c>
      <c r="E31" s="14">
        <v>0.17</v>
      </c>
      <c r="F31" s="14">
        <v>0.18</v>
      </c>
      <c r="G31" s="14">
        <v>0.12</v>
      </c>
      <c r="H31" s="14">
        <v>0.17</v>
      </c>
      <c r="I31" s="14">
        <v>0.18</v>
      </c>
      <c r="J31" s="14">
        <v>0.19</v>
      </c>
      <c r="K31" s="14">
        <v>0.26</v>
      </c>
      <c r="L31" s="14">
        <v>0.17</v>
      </c>
      <c r="M31" s="14">
        <v>0.12</v>
      </c>
      <c r="N31" s="14">
        <v>0.18</v>
      </c>
      <c r="O31" s="14">
        <v>0.13</v>
      </c>
      <c r="P31" s="14">
        <v>0.13</v>
      </c>
      <c r="Q31" s="14">
        <v>0.16</v>
      </c>
      <c r="R31" s="14">
        <v>0.09</v>
      </c>
      <c r="S31" s="14">
        <v>0.14000000000000001</v>
      </c>
      <c r="T31" s="14">
        <v>0.23</v>
      </c>
      <c r="U31" s="14">
        <v>0.15</v>
      </c>
      <c r="V31" s="14">
        <v>0.13</v>
      </c>
      <c r="W31" s="14">
        <v>0.08</v>
      </c>
      <c r="X31" s="14">
        <v>0.1</v>
      </c>
      <c r="Y31" s="14">
        <v>0.15</v>
      </c>
      <c r="Z31" s="14">
        <v>0.14000000000000001</v>
      </c>
      <c r="AA31" s="14">
        <v>0.24</v>
      </c>
      <c r="AB31" s="14">
        <v>0.12</v>
      </c>
      <c r="AC31" s="14">
        <v>0.16</v>
      </c>
      <c r="AD31" s="14">
        <v>0.11</v>
      </c>
      <c r="AE31" s="14">
        <v>0.1</v>
      </c>
      <c r="AF31" s="14">
        <v>0.08</v>
      </c>
    </row>
    <row r="32" spans="1:32" x14ac:dyDescent="0.35">
      <c r="A32" s="31"/>
      <c r="B32" s="11" t="s">
        <v>407</v>
      </c>
      <c r="C32" s="12">
        <v>92</v>
      </c>
      <c r="D32" s="12">
        <v>0</v>
      </c>
      <c r="E32" s="12">
        <v>5</v>
      </c>
      <c r="F32" s="12">
        <v>0</v>
      </c>
      <c r="G32" s="12">
        <v>10</v>
      </c>
      <c r="H32" s="12">
        <v>5</v>
      </c>
      <c r="I32" s="12">
        <v>5</v>
      </c>
      <c r="J32" s="12">
        <v>0</v>
      </c>
      <c r="K32" s="12">
        <v>3</v>
      </c>
      <c r="L32" s="12">
        <v>1</v>
      </c>
      <c r="M32" s="12">
        <v>0</v>
      </c>
      <c r="N32" s="12">
        <v>0</v>
      </c>
      <c r="O32" s="12">
        <v>12</v>
      </c>
      <c r="P32" s="12">
        <v>3</v>
      </c>
      <c r="Q32" s="12">
        <v>2</v>
      </c>
      <c r="R32" s="12">
        <v>8</v>
      </c>
      <c r="S32" s="12">
        <v>8</v>
      </c>
      <c r="T32" s="12">
        <v>11</v>
      </c>
      <c r="U32" s="12">
        <v>1</v>
      </c>
      <c r="V32" s="12">
        <v>0</v>
      </c>
      <c r="W32" s="12">
        <v>1</v>
      </c>
      <c r="X32" s="12">
        <v>8</v>
      </c>
      <c r="Y32" s="12">
        <v>1</v>
      </c>
      <c r="Z32" s="12">
        <v>0</v>
      </c>
      <c r="AA32" s="12">
        <v>4</v>
      </c>
      <c r="AB32" s="12">
        <v>0</v>
      </c>
      <c r="AC32" s="12">
        <v>6</v>
      </c>
      <c r="AD32" s="12">
        <v>1</v>
      </c>
      <c r="AE32" s="12">
        <v>3</v>
      </c>
      <c r="AF32" s="12">
        <v>3</v>
      </c>
    </row>
    <row r="33" spans="1:32" x14ac:dyDescent="0.35">
      <c r="A33" s="31"/>
      <c r="B33" s="13" t="s">
        <v>408</v>
      </c>
      <c r="C33" s="15" t="s">
        <v>333</v>
      </c>
      <c r="D33" s="15" t="s">
        <v>333</v>
      </c>
      <c r="E33" s="15" t="s">
        <v>333</v>
      </c>
      <c r="F33" s="15" t="s">
        <v>333</v>
      </c>
      <c r="G33" s="14">
        <v>0.01</v>
      </c>
      <c r="H33" s="15" t="s">
        <v>333</v>
      </c>
      <c r="I33" s="15" t="s">
        <v>333</v>
      </c>
      <c r="J33" s="15" t="s">
        <v>333</v>
      </c>
      <c r="K33" s="15" t="s">
        <v>333</v>
      </c>
      <c r="L33" s="15" t="s">
        <v>333</v>
      </c>
      <c r="M33" s="15" t="s">
        <v>333</v>
      </c>
      <c r="N33" s="15" t="s">
        <v>333</v>
      </c>
      <c r="O33" s="14">
        <v>0.01</v>
      </c>
      <c r="P33" s="15" t="s">
        <v>333</v>
      </c>
      <c r="Q33" s="15" t="s">
        <v>333</v>
      </c>
      <c r="R33" s="14">
        <v>0.02</v>
      </c>
      <c r="S33" s="14">
        <v>0.01</v>
      </c>
      <c r="T33" s="14">
        <v>0.01</v>
      </c>
      <c r="U33" s="15" t="s">
        <v>333</v>
      </c>
      <c r="V33" s="15" t="s">
        <v>333</v>
      </c>
      <c r="W33" s="15" t="s">
        <v>333</v>
      </c>
      <c r="X33" s="14">
        <v>0.01</v>
      </c>
      <c r="Y33" s="15" t="s">
        <v>333</v>
      </c>
      <c r="Z33" s="15" t="s">
        <v>333</v>
      </c>
      <c r="AA33" s="15" t="s">
        <v>333</v>
      </c>
      <c r="AB33" s="15" t="s">
        <v>333</v>
      </c>
      <c r="AC33" s="14">
        <v>0.01</v>
      </c>
      <c r="AD33" s="15" t="s">
        <v>333</v>
      </c>
      <c r="AE33" s="15" t="s">
        <v>333</v>
      </c>
      <c r="AF33" s="15" t="s">
        <v>333</v>
      </c>
    </row>
    <row r="34" spans="1:32" x14ac:dyDescent="0.35">
      <c r="A34" s="31"/>
      <c r="B34" s="11" t="s">
        <v>344</v>
      </c>
      <c r="C34" s="12">
        <v>441</v>
      </c>
      <c r="D34" s="12">
        <v>10</v>
      </c>
      <c r="E34" s="12">
        <v>12</v>
      </c>
      <c r="F34" s="12">
        <v>9</v>
      </c>
      <c r="G34" s="12">
        <v>14</v>
      </c>
      <c r="H34" s="12">
        <v>17</v>
      </c>
      <c r="I34" s="12">
        <v>18</v>
      </c>
      <c r="J34" s="12">
        <v>2</v>
      </c>
      <c r="K34" s="12">
        <v>15</v>
      </c>
      <c r="L34" s="12">
        <v>16</v>
      </c>
      <c r="M34" s="12">
        <v>2</v>
      </c>
      <c r="N34" s="12">
        <v>30</v>
      </c>
      <c r="O34" s="12">
        <v>36</v>
      </c>
      <c r="P34" s="12">
        <v>4</v>
      </c>
      <c r="Q34" s="12">
        <v>14</v>
      </c>
      <c r="R34" s="12">
        <v>24</v>
      </c>
      <c r="S34" s="12">
        <v>31</v>
      </c>
      <c r="T34" s="12">
        <v>16</v>
      </c>
      <c r="U34" s="12">
        <v>5</v>
      </c>
      <c r="V34" s="12">
        <v>3</v>
      </c>
      <c r="W34" s="12">
        <v>36</v>
      </c>
      <c r="X34" s="12">
        <v>1</v>
      </c>
      <c r="Y34" s="12">
        <v>5</v>
      </c>
      <c r="Z34" s="12">
        <v>12</v>
      </c>
      <c r="AA34" s="12">
        <v>32</v>
      </c>
      <c r="AB34" s="12">
        <v>7</v>
      </c>
      <c r="AC34" s="12">
        <v>16</v>
      </c>
      <c r="AD34" s="12">
        <v>1</v>
      </c>
      <c r="AE34" s="12">
        <v>9</v>
      </c>
      <c r="AF34" s="12">
        <v>5</v>
      </c>
    </row>
    <row r="35" spans="1:32" x14ac:dyDescent="0.35">
      <c r="A35" s="31"/>
      <c r="B35" s="13" t="s">
        <v>357</v>
      </c>
      <c r="C35" s="14">
        <v>0.02</v>
      </c>
      <c r="D35" s="14">
        <v>0.01</v>
      </c>
      <c r="E35" s="14">
        <v>0.01</v>
      </c>
      <c r="F35" s="14">
        <v>0.01</v>
      </c>
      <c r="G35" s="14">
        <v>0.01</v>
      </c>
      <c r="H35" s="14">
        <v>0.01</v>
      </c>
      <c r="I35" s="14">
        <v>0.01</v>
      </c>
      <c r="J35" s="14">
        <v>0.01</v>
      </c>
      <c r="K35" s="14">
        <v>0.02</v>
      </c>
      <c r="L35" s="14">
        <v>0.02</v>
      </c>
      <c r="M35" s="15" t="s">
        <v>333</v>
      </c>
      <c r="N35" s="14">
        <v>0.03</v>
      </c>
      <c r="O35" s="14">
        <v>0.04</v>
      </c>
      <c r="P35" s="15" t="s">
        <v>333</v>
      </c>
      <c r="Q35" s="14">
        <v>0.01</v>
      </c>
      <c r="R35" s="14">
        <v>0.05</v>
      </c>
      <c r="S35" s="14">
        <v>0.03</v>
      </c>
      <c r="T35" s="14">
        <v>0.02</v>
      </c>
      <c r="U35" s="14">
        <v>0.01</v>
      </c>
      <c r="V35" s="15" t="s">
        <v>333</v>
      </c>
      <c r="W35" s="14">
        <v>7.0000000000000007E-2</v>
      </c>
      <c r="X35" s="15" t="s">
        <v>333</v>
      </c>
      <c r="Y35" s="15" t="s">
        <v>333</v>
      </c>
      <c r="Z35" s="14">
        <v>0.01</v>
      </c>
      <c r="AA35" s="14">
        <v>0.03</v>
      </c>
      <c r="AB35" s="14">
        <v>0.01</v>
      </c>
      <c r="AC35" s="14">
        <v>0.02</v>
      </c>
      <c r="AD35" s="15" t="s">
        <v>333</v>
      </c>
      <c r="AE35" s="14">
        <v>0.01</v>
      </c>
      <c r="AF35" s="15" t="s">
        <v>333</v>
      </c>
    </row>
  </sheetData>
  <mergeCells count="9">
    <mergeCell ref="B10:B11"/>
    <mergeCell ref="H4:L4"/>
    <mergeCell ref="A10:A35"/>
    <mergeCell ref="B4:F4"/>
    <mergeCell ref="H3:L3"/>
    <mergeCell ref="C8:AF8"/>
    <mergeCell ref="B3:F3"/>
    <mergeCell ref="B5:F5"/>
    <mergeCell ref="H5:L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584</v>
      </c>
      <c r="C3" s="30"/>
      <c r="D3" s="30"/>
      <c r="E3" s="30"/>
      <c r="F3" s="30"/>
      <c r="H3" s="30" t="s">
        <v>585</v>
      </c>
      <c r="I3" s="30"/>
      <c r="J3" s="30"/>
      <c r="K3" s="30"/>
      <c r="L3" s="30"/>
    </row>
    <row r="4" spans="1:32" ht="27" customHeight="1" x14ac:dyDescent="0.35">
      <c r="B4" s="30" t="s">
        <v>586</v>
      </c>
      <c r="C4" s="30"/>
      <c r="D4" s="30"/>
      <c r="E4" s="30"/>
      <c r="F4" s="30"/>
      <c r="H4" s="30" t="s">
        <v>587</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13203</v>
      </c>
      <c r="D12" s="12">
        <v>527</v>
      </c>
      <c r="E12" s="12">
        <v>532</v>
      </c>
      <c r="F12" s="12">
        <v>478</v>
      </c>
      <c r="G12" s="12">
        <v>615</v>
      </c>
      <c r="H12" s="12">
        <v>657</v>
      </c>
      <c r="I12" s="12">
        <v>803</v>
      </c>
      <c r="J12" s="12">
        <v>147</v>
      </c>
      <c r="K12" s="12">
        <v>395</v>
      </c>
      <c r="L12" s="12">
        <v>700</v>
      </c>
      <c r="M12" s="12">
        <v>698</v>
      </c>
      <c r="N12" s="12">
        <v>563</v>
      </c>
      <c r="O12" s="12">
        <v>489</v>
      </c>
      <c r="P12" s="12">
        <v>458</v>
      </c>
      <c r="Q12" s="12">
        <v>485</v>
      </c>
      <c r="R12" s="12">
        <v>357</v>
      </c>
      <c r="S12" s="12">
        <v>592</v>
      </c>
      <c r="T12" s="12">
        <v>584</v>
      </c>
      <c r="U12" s="12">
        <v>307</v>
      </c>
      <c r="V12" s="12">
        <v>512</v>
      </c>
      <c r="W12" s="12">
        <v>330</v>
      </c>
      <c r="X12" s="12">
        <v>424</v>
      </c>
      <c r="Y12" s="12">
        <v>523</v>
      </c>
      <c r="Z12" s="12">
        <v>334</v>
      </c>
      <c r="AA12" s="12">
        <v>594</v>
      </c>
      <c r="AB12" s="12">
        <v>350</v>
      </c>
      <c r="AC12" s="12">
        <v>663</v>
      </c>
      <c r="AD12" s="12">
        <v>622</v>
      </c>
      <c r="AE12" s="12">
        <v>556</v>
      </c>
      <c r="AF12" s="12">
        <v>698</v>
      </c>
    </row>
    <row r="13" spans="1:32" x14ac:dyDescent="0.35">
      <c r="A13" s="31"/>
      <c r="B13" s="13" t="s">
        <v>589</v>
      </c>
      <c r="C13" s="14">
        <v>0.5</v>
      </c>
      <c r="D13" s="14">
        <v>0.51</v>
      </c>
      <c r="E13" s="14">
        <v>0.51</v>
      </c>
      <c r="F13" s="14">
        <v>0.47</v>
      </c>
      <c r="G13" s="14">
        <v>0.6</v>
      </c>
      <c r="H13" s="14">
        <v>0.53</v>
      </c>
      <c r="I13" s="14">
        <v>0.53</v>
      </c>
      <c r="J13" s="14">
        <v>0.49</v>
      </c>
      <c r="K13" s="14">
        <v>0.39</v>
      </c>
      <c r="L13" s="14">
        <v>0.70000000000000007</v>
      </c>
      <c r="M13" s="14">
        <v>0.69000000000000006</v>
      </c>
      <c r="N13" s="14">
        <v>0.56000000000000005</v>
      </c>
      <c r="O13" s="14">
        <v>0.49</v>
      </c>
      <c r="P13" s="14">
        <v>0.46</v>
      </c>
      <c r="Q13" s="14">
        <v>0.47</v>
      </c>
      <c r="R13" s="14">
        <v>0.71</v>
      </c>
      <c r="S13" s="14">
        <v>0.57999999999999996</v>
      </c>
      <c r="T13" s="14">
        <v>0.57000000000000006</v>
      </c>
      <c r="U13" s="14">
        <v>0.6</v>
      </c>
      <c r="V13" s="14">
        <v>0.5</v>
      </c>
      <c r="W13" s="14">
        <v>0.66</v>
      </c>
      <c r="X13" s="14">
        <v>0.42</v>
      </c>
      <c r="Y13" s="14">
        <v>0.52</v>
      </c>
      <c r="Z13" s="14">
        <v>0.33</v>
      </c>
      <c r="AA13" s="14">
        <v>0.57999999999999996</v>
      </c>
      <c r="AB13" s="14">
        <v>0.33</v>
      </c>
      <c r="AC13" s="14">
        <v>0.65</v>
      </c>
      <c r="AD13" s="14">
        <v>0.62</v>
      </c>
      <c r="AE13" s="14">
        <v>0.55000000000000004</v>
      </c>
      <c r="AF13" s="14">
        <v>0.68</v>
      </c>
    </row>
    <row r="14" spans="1:32" x14ac:dyDescent="0.35">
      <c r="A14" s="31"/>
      <c r="B14" s="11" t="s">
        <v>590</v>
      </c>
      <c r="C14" s="12">
        <v>10835</v>
      </c>
      <c r="D14" s="12">
        <v>440</v>
      </c>
      <c r="E14" s="12">
        <v>380</v>
      </c>
      <c r="F14" s="12">
        <v>398</v>
      </c>
      <c r="G14" s="12">
        <v>343</v>
      </c>
      <c r="H14" s="12">
        <v>467</v>
      </c>
      <c r="I14" s="12">
        <v>586</v>
      </c>
      <c r="J14" s="12">
        <v>119</v>
      </c>
      <c r="K14" s="12">
        <v>495</v>
      </c>
      <c r="L14" s="12">
        <v>276</v>
      </c>
      <c r="M14" s="12">
        <v>274</v>
      </c>
      <c r="N14" s="12">
        <v>376</v>
      </c>
      <c r="O14" s="12">
        <v>419</v>
      </c>
      <c r="P14" s="12">
        <v>445</v>
      </c>
      <c r="Q14" s="12">
        <v>460</v>
      </c>
      <c r="R14" s="12">
        <v>103</v>
      </c>
      <c r="S14" s="12">
        <v>359</v>
      </c>
      <c r="T14" s="12">
        <v>363</v>
      </c>
      <c r="U14" s="12">
        <v>177</v>
      </c>
      <c r="V14" s="12">
        <v>427</v>
      </c>
      <c r="W14" s="12">
        <v>134</v>
      </c>
      <c r="X14" s="12">
        <v>486</v>
      </c>
      <c r="Y14" s="12">
        <v>393</v>
      </c>
      <c r="Z14" s="12">
        <v>585</v>
      </c>
      <c r="AA14" s="12">
        <v>373</v>
      </c>
      <c r="AB14" s="12">
        <v>433</v>
      </c>
      <c r="AC14" s="12">
        <v>297</v>
      </c>
      <c r="AD14" s="12">
        <v>324</v>
      </c>
      <c r="AE14" s="12">
        <v>398</v>
      </c>
      <c r="AF14" s="12">
        <v>285</v>
      </c>
    </row>
    <row r="15" spans="1:32" x14ac:dyDescent="0.35">
      <c r="A15" s="31"/>
      <c r="B15" s="13" t="s">
        <v>591</v>
      </c>
      <c r="C15" s="14">
        <v>0.41</v>
      </c>
      <c r="D15" s="14">
        <v>0.43</v>
      </c>
      <c r="E15" s="14">
        <v>0.36</v>
      </c>
      <c r="F15" s="14">
        <v>0.39</v>
      </c>
      <c r="G15" s="14">
        <v>0.34</v>
      </c>
      <c r="H15" s="14">
        <v>0.38</v>
      </c>
      <c r="I15" s="14">
        <v>0.38</v>
      </c>
      <c r="J15" s="14">
        <v>0.4</v>
      </c>
      <c r="K15" s="14">
        <v>0.49</v>
      </c>
      <c r="L15" s="14">
        <v>0.27</v>
      </c>
      <c r="M15" s="14">
        <v>0.27</v>
      </c>
      <c r="N15" s="14">
        <v>0.38</v>
      </c>
      <c r="O15" s="14">
        <v>0.42</v>
      </c>
      <c r="P15" s="14">
        <v>0.44</v>
      </c>
      <c r="Q15" s="14">
        <v>0.44</v>
      </c>
      <c r="R15" s="14">
        <v>0.21</v>
      </c>
      <c r="S15" s="14">
        <v>0.35</v>
      </c>
      <c r="T15" s="14">
        <v>0.36</v>
      </c>
      <c r="U15" s="14">
        <v>0.35</v>
      </c>
      <c r="V15" s="14">
        <v>0.42</v>
      </c>
      <c r="W15" s="14">
        <v>0.27</v>
      </c>
      <c r="X15" s="14">
        <v>0.48</v>
      </c>
      <c r="Y15" s="14">
        <v>0.39</v>
      </c>
      <c r="Z15" s="14">
        <v>0.57999999999999996</v>
      </c>
      <c r="AA15" s="14">
        <v>0.36</v>
      </c>
      <c r="AB15" s="14">
        <v>0.41</v>
      </c>
      <c r="AC15" s="14">
        <v>0.28999999999999998</v>
      </c>
      <c r="AD15" s="14">
        <v>0.32</v>
      </c>
      <c r="AE15" s="14">
        <v>0.4</v>
      </c>
      <c r="AF15" s="14">
        <v>0.28000000000000003</v>
      </c>
    </row>
    <row r="16" spans="1:32" x14ac:dyDescent="0.35">
      <c r="A16" s="31"/>
      <c r="B16" s="11" t="s">
        <v>592</v>
      </c>
      <c r="C16" s="12">
        <v>1490</v>
      </c>
      <c r="D16" s="12">
        <v>37</v>
      </c>
      <c r="E16" s="12">
        <v>72</v>
      </c>
      <c r="F16" s="12">
        <v>103</v>
      </c>
      <c r="G16" s="12">
        <v>23</v>
      </c>
      <c r="H16" s="12">
        <v>60</v>
      </c>
      <c r="I16" s="12">
        <v>82</v>
      </c>
      <c r="J16" s="12">
        <v>22</v>
      </c>
      <c r="K16" s="12">
        <v>60</v>
      </c>
      <c r="L16" s="12">
        <v>13</v>
      </c>
      <c r="M16" s="12">
        <v>22</v>
      </c>
      <c r="N16" s="12">
        <v>25</v>
      </c>
      <c r="O16" s="12">
        <v>58</v>
      </c>
      <c r="P16" s="12">
        <v>76</v>
      </c>
      <c r="Q16" s="12">
        <v>59</v>
      </c>
      <c r="R16" s="12">
        <v>29</v>
      </c>
      <c r="S16" s="12">
        <v>33</v>
      </c>
      <c r="T16" s="12">
        <v>32</v>
      </c>
      <c r="U16" s="12">
        <v>12</v>
      </c>
      <c r="V16" s="12">
        <v>52</v>
      </c>
      <c r="W16" s="12">
        <v>29</v>
      </c>
      <c r="X16" s="12">
        <v>83</v>
      </c>
      <c r="Y16" s="12">
        <v>61</v>
      </c>
      <c r="Z16" s="12">
        <v>73</v>
      </c>
      <c r="AA16" s="12">
        <v>10</v>
      </c>
      <c r="AB16" s="12">
        <v>185</v>
      </c>
      <c r="AC16" s="12">
        <v>28</v>
      </c>
      <c r="AD16" s="12">
        <v>40</v>
      </c>
      <c r="AE16" s="12">
        <v>32</v>
      </c>
      <c r="AF16" s="12">
        <v>30</v>
      </c>
    </row>
    <row r="17" spans="1:32" x14ac:dyDescent="0.35">
      <c r="A17" s="31"/>
      <c r="B17" s="13" t="s">
        <v>593</v>
      </c>
      <c r="C17" s="14">
        <v>0.06</v>
      </c>
      <c r="D17" s="14">
        <v>0.04</v>
      </c>
      <c r="E17" s="14">
        <v>7.0000000000000007E-2</v>
      </c>
      <c r="F17" s="14">
        <v>0.1</v>
      </c>
      <c r="G17" s="14">
        <v>0.02</v>
      </c>
      <c r="H17" s="14">
        <v>0.05</v>
      </c>
      <c r="I17" s="14">
        <v>0.05</v>
      </c>
      <c r="J17" s="14">
        <v>7.0000000000000007E-2</v>
      </c>
      <c r="K17" s="14">
        <v>0.06</v>
      </c>
      <c r="L17" s="14">
        <v>0.01</v>
      </c>
      <c r="M17" s="14">
        <v>0.02</v>
      </c>
      <c r="N17" s="14">
        <v>0.03</v>
      </c>
      <c r="O17" s="14">
        <v>0.06</v>
      </c>
      <c r="P17" s="14">
        <v>7.0000000000000007E-2</v>
      </c>
      <c r="Q17" s="14">
        <v>0.06</v>
      </c>
      <c r="R17" s="14">
        <v>0.06</v>
      </c>
      <c r="S17" s="14">
        <v>0.03</v>
      </c>
      <c r="T17" s="14">
        <v>0.03</v>
      </c>
      <c r="U17" s="14">
        <v>0.02</v>
      </c>
      <c r="V17" s="14">
        <v>0.05</v>
      </c>
      <c r="W17" s="14">
        <v>0.06</v>
      </c>
      <c r="X17" s="14">
        <v>0.08</v>
      </c>
      <c r="Y17" s="14">
        <v>0.06</v>
      </c>
      <c r="Z17" s="14">
        <v>7.0000000000000007E-2</v>
      </c>
      <c r="AA17" s="14">
        <v>0.01</v>
      </c>
      <c r="AB17" s="14">
        <v>0.18</v>
      </c>
      <c r="AC17" s="14">
        <v>0.03</v>
      </c>
      <c r="AD17" s="14">
        <v>0.04</v>
      </c>
      <c r="AE17" s="14">
        <v>0.03</v>
      </c>
      <c r="AF17" s="14">
        <v>0.03</v>
      </c>
    </row>
    <row r="18" spans="1:32" x14ac:dyDescent="0.35">
      <c r="A18" s="31"/>
      <c r="B18" s="11" t="s">
        <v>594</v>
      </c>
      <c r="C18" s="12">
        <v>381</v>
      </c>
      <c r="D18" s="12">
        <v>12</v>
      </c>
      <c r="E18" s="12">
        <v>28</v>
      </c>
      <c r="F18" s="12">
        <v>27</v>
      </c>
      <c r="G18" s="12">
        <v>9</v>
      </c>
      <c r="H18" s="12">
        <v>20</v>
      </c>
      <c r="I18" s="12">
        <v>27</v>
      </c>
      <c r="J18" s="12">
        <v>7</v>
      </c>
      <c r="K18" s="12">
        <v>21</v>
      </c>
      <c r="L18" s="12">
        <v>6</v>
      </c>
      <c r="M18" s="12">
        <v>5</v>
      </c>
      <c r="N18" s="12">
        <v>10</v>
      </c>
      <c r="O18" s="12">
        <v>11</v>
      </c>
      <c r="P18" s="12">
        <v>7</v>
      </c>
      <c r="Q18" s="12">
        <v>11</v>
      </c>
      <c r="R18" s="12">
        <v>6</v>
      </c>
      <c r="S18" s="12">
        <v>8</v>
      </c>
      <c r="T18" s="12">
        <v>7</v>
      </c>
      <c r="U18" s="12">
        <v>8</v>
      </c>
      <c r="V18" s="12">
        <v>17</v>
      </c>
      <c r="W18" s="12">
        <v>3</v>
      </c>
      <c r="X18" s="12">
        <v>15</v>
      </c>
      <c r="Y18" s="12">
        <v>12</v>
      </c>
      <c r="Z18" s="12">
        <v>13</v>
      </c>
      <c r="AA18" s="12">
        <v>6</v>
      </c>
      <c r="AB18" s="12">
        <v>52</v>
      </c>
      <c r="AC18" s="12">
        <v>8</v>
      </c>
      <c r="AD18" s="12">
        <v>12</v>
      </c>
      <c r="AE18" s="12">
        <v>7</v>
      </c>
      <c r="AF18" s="12">
        <v>6</v>
      </c>
    </row>
    <row r="19" spans="1:32" x14ac:dyDescent="0.35">
      <c r="A19" s="31"/>
      <c r="B19" s="13" t="s">
        <v>595</v>
      </c>
      <c r="C19" s="14">
        <v>0.01</v>
      </c>
      <c r="D19" s="14">
        <v>0.01</v>
      </c>
      <c r="E19" s="14">
        <v>0.03</v>
      </c>
      <c r="F19" s="14">
        <v>0.03</v>
      </c>
      <c r="G19" s="14">
        <v>0.01</v>
      </c>
      <c r="H19" s="14">
        <v>0.02</v>
      </c>
      <c r="I19" s="14">
        <v>0.02</v>
      </c>
      <c r="J19" s="14">
        <v>0.03</v>
      </c>
      <c r="K19" s="14">
        <v>0.02</v>
      </c>
      <c r="L19" s="14">
        <v>0.01</v>
      </c>
      <c r="M19" s="14">
        <v>0.01</v>
      </c>
      <c r="N19" s="14">
        <v>0.01</v>
      </c>
      <c r="O19" s="14">
        <v>0.01</v>
      </c>
      <c r="P19" s="14">
        <v>0.01</v>
      </c>
      <c r="Q19" s="14">
        <v>0.01</v>
      </c>
      <c r="R19" s="14">
        <v>0.01</v>
      </c>
      <c r="S19" s="14">
        <v>0.01</v>
      </c>
      <c r="T19" s="14">
        <v>0.01</v>
      </c>
      <c r="U19" s="14">
        <v>0.02</v>
      </c>
      <c r="V19" s="14">
        <v>0.02</v>
      </c>
      <c r="W19" s="15" t="s">
        <v>333</v>
      </c>
      <c r="X19" s="14">
        <v>0.02</v>
      </c>
      <c r="Y19" s="14">
        <v>0.01</v>
      </c>
      <c r="Z19" s="14">
        <v>0.01</v>
      </c>
      <c r="AA19" s="14">
        <v>0.01</v>
      </c>
      <c r="AB19" s="14">
        <v>0.05</v>
      </c>
      <c r="AC19" s="14">
        <v>0.01</v>
      </c>
      <c r="AD19" s="14">
        <v>0.01</v>
      </c>
      <c r="AE19" s="14">
        <v>0.01</v>
      </c>
      <c r="AF19" s="14">
        <v>0.01</v>
      </c>
    </row>
    <row r="20" spans="1:32" x14ac:dyDescent="0.35">
      <c r="A20" s="31"/>
      <c r="B20" s="11" t="s">
        <v>344</v>
      </c>
      <c r="C20" s="12">
        <v>502</v>
      </c>
      <c r="D20" s="12">
        <v>8</v>
      </c>
      <c r="E20" s="12">
        <v>28</v>
      </c>
      <c r="F20" s="12">
        <v>12</v>
      </c>
      <c r="G20" s="12">
        <v>27</v>
      </c>
      <c r="H20" s="12">
        <v>28</v>
      </c>
      <c r="I20" s="12">
        <v>32</v>
      </c>
      <c r="J20" s="12">
        <v>4</v>
      </c>
      <c r="K20" s="12">
        <v>39</v>
      </c>
      <c r="L20" s="12">
        <v>9</v>
      </c>
      <c r="M20" s="12">
        <v>5</v>
      </c>
      <c r="N20" s="12">
        <v>25</v>
      </c>
      <c r="O20" s="12">
        <v>23</v>
      </c>
      <c r="P20" s="12">
        <v>18</v>
      </c>
      <c r="Q20" s="12">
        <v>19</v>
      </c>
      <c r="R20" s="12">
        <v>5</v>
      </c>
      <c r="S20" s="12">
        <v>29</v>
      </c>
      <c r="T20" s="12">
        <v>32</v>
      </c>
      <c r="U20" s="12">
        <v>6</v>
      </c>
      <c r="V20" s="12">
        <v>6</v>
      </c>
      <c r="W20" s="12">
        <v>6</v>
      </c>
      <c r="X20" s="12">
        <v>1</v>
      </c>
      <c r="Y20" s="12">
        <v>13</v>
      </c>
      <c r="Z20" s="12">
        <v>14</v>
      </c>
      <c r="AA20" s="12">
        <v>47</v>
      </c>
      <c r="AB20" s="12">
        <v>35</v>
      </c>
      <c r="AC20" s="12">
        <v>17</v>
      </c>
      <c r="AD20" s="12">
        <v>6</v>
      </c>
      <c r="AE20" s="12">
        <v>14</v>
      </c>
      <c r="AF20" s="12">
        <v>1</v>
      </c>
    </row>
    <row r="21" spans="1:32" x14ac:dyDescent="0.35">
      <c r="A21" s="31"/>
      <c r="B21" s="13" t="s">
        <v>357</v>
      </c>
      <c r="C21" s="14">
        <v>0.02</v>
      </c>
      <c r="D21" s="14">
        <v>0.01</v>
      </c>
      <c r="E21" s="14">
        <v>0.03</v>
      </c>
      <c r="F21" s="14">
        <v>0.01</v>
      </c>
      <c r="G21" s="14">
        <v>0.03</v>
      </c>
      <c r="H21" s="14">
        <v>0.02</v>
      </c>
      <c r="I21" s="14">
        <v>0.02</v>
      </c>
      <c r="J21" s="14">
        <v>0.01</v>
      </c>
      <c r="K21" s="14">
        <v>0.04</v>
      </c>
      <c r="L21" s="14">
        <v>0.01</v>
      </c>
      <c r="M21" s="14">
        <v>0.01</v>
      </c>
      <c r="N21" s="14">
        <v>0.02</v>
      </c>
      <c r="O21" s="14">
        <v>0.02</v>
      </c>
      <c r="P21" s="14">
        <v>0.02</v>
      </c>
      <c r="Q21" s="14">
        <v>0.02</v>
      </c>
      <c r="R21" s="14">
        <v>0.01</v>
      </c>
      <c r="S21" s="14">
        <v>0.03</v>
      </c>
      <c r="T21" s="14">
        <v>0.03</v>
      </c>
      <c r="U21" s="14">
        <v>0.01</v>
      </c>
      <c r="V21" s="14">
        <v>0.01</v>
      </c>
      <c r="W21" s="14">
        <v>0.01</v>
      </c>
      <c r="X21" s="15" t="s">
        <v>333</v>
      </c>
      <c r="Y21" s="14">
        <v>0.02</v>
      </c>
      <c r="Z21" s="14">
        <v>0.01</v>
      </c>
      <c r="AA21" s="14">
        <v>0.04</v>
      </c>
      <c r="AB21" s="14">
        <v>0.03</v>
      </c>
      <c r="AC21" s="14">
        <v>0.02</v>
      </c>
      <c r="AD21" s="14">
        <v>0.01</v>
      </c>
      <c r="AE21" s="14">
        <v>0.01</v>
      </c>
      <c r="AF21" s="15" t="s">
        <v>333</v>
      </c>
    </row>
    <row r="22" spans="1:32" x14ac:dyDescent="0.35">
      <c r="A22" s="31"/>
      <c r="B22" s="11" t="s">
        <v>596</v>
      </c>
      <c r="C22" s="12">
        <v>24038</v>
      </c>
      <c r="D22" s="12">
        <v>967</v>
      </c>
      <c r="E22" s="12">
        <v>912</v>
      </c>
      <c r="F22" s="12">
        <v>876</v>
      </c>
      <c r="G22" s="12">
        <v>958</v>
      </c>
      <c r="H22" s="12">
        <v>1124</v>
      </c>
      <c r="I22" s="12">
        <v>1389</v>
      </c>
      <c r="J22" s="12">
        <v>266</v>
      </c>
      <c r="K22" s="12">
        <v>890</v>
      </c>
      <c r="L22" s="12">
        <v>976</v>
      </c>
      <c r="M22" s="12">
        <v>972</v>
      </c>
      <c r="N22" s="12">
        <v>939</v>
      </c>
      <c r="O22" s="12">
        <v>908</v>
      </c>
      <c r="P22" s="12">
        <v>903</v>
      </c>
      <c r="Q22" s="12">
        <v>945</v>
      </c>
      <c r="R22" s="12">
        <v>460</v>
      </c>
      <c r="S22" s="12">
        <v>951</v>
      </c>
      <c r="T22" s="12">
        <v>947</v>
      </c>
      <c r="U22" s="12">
        <v>484</v>
      </c>
      <c r="V22" s="12">
        <v>939</v>
      </c>
      <c r="W22" s="12">
        <v>464</v>
      </c>
      <c r="X22" s="12">
        <v>910</v>
      </c>
      <c r="Y22" s="12">
        <v>916</v>
      </c>
      <c r="Z22" s="12">
        <v>919</v>
      </c>
      <c r="AA22" s="12">
        <v>967</v>
      </c>
      <c r="AB22" s="12">
        <v>783</v>
      </c>
      <c r="AC22" s="12">
        <v>960</v>
      </c>
      <c r="AD22" s="12">
        <v>946</v>
      </c>
      <c r="AE22" s="12">
        <v>954</v>
      </c>
      <c r="AF22" s="12">
        <v>983</v>
      </c>
    </row>
    <row r="23" spans="1:32" x14ac:dyDescent="0.35">
      <c r="A23" s="31"/>
      <c r="B23" s="13" t="s">
        <v>596</v>
      </c>
      <c r="C23" s="14">
        <v>0.91</v>
      </c>
      <c r="D23" s="14">
        <v>0.94000000000000006</v>
      </c>
      <c r="E23" s="14">
        <v>0.87</v>
      </c>
      <c r="F23" s="14">
        <v>0.86</v>
      </c>
      <c r="G23" s="14">
        <v>0.94000000000000006</v>
      </c>
      <c r="H23" s="14">
        <v>0.91</v>
      </c>
      <c r="I23" s="14">
        <v>0.91</v>
      </c>
      <c r="J23" s="14">
        <v>0.89</v>
      </c>
      <c r="K23" s="14">
        <v>0.88</v>
      </c>
      <c r="L23" s="14">
        <v>0.97</v>
      </c>
      <c r="M23" s="14">
        <v>0.96</v>
      </c>
      <c r="N23" s="14">
        <v>0.94000000000000006</v>
      </c>
      <c r="O23" s="14">
        <v>0.91</v>
      </c>
      <c r="P23" s="14">
        <v>0.9</v>
      </c>
      <c r="Q23" s="14">
        <v>0.91</v>
      </c>
      <c r="R23" s="14">
        <v>0.92</v>
      </c>
      <c r="S23" s="14">
        <v>0.93</v>
      </c>
      <c r="T23" s="14">
        <v>0.93</v>
      </c>
      <c r="U23" s="14">
        <v>0.95000000000000007</v>
      </c>
      <c r="V23" s="14">
        <v>0.92</v>
      </c>
      <c r="W23" s="14">
        <v>0.93</v>
      </c>
      <c r="X23" s="14">
        <v>0.9</v>
      </c>
      <c r="Y23" s="14">
        <v>0.91</v>
      </c>
      <c r="Z23" s="14">
        <v>0.91</v>
      </c>
      <c r="AA23" s="14">
        <v>0.94000000000000006</v>
      </c>
      <c r="AB23" s="14">
        <v>0.74</v>
      </c>
      <c r="AC23" s="14">
        <v>0.94000000000000006</v>
      </c>
      <c r="AD23" s="14">
        <v>0.94000000000000006</v>
      </c>
      <c r="AE23" s="14">
        <v>0.95000000000000007</v>
      </c>
      <c r="AF23" s="14">
        <v>0.96</v>
      </c>
    </row>
    <row r="24" spans="1:32" x14ac:dyDescent="0.35">
      <c r="A24" s="31"/>
      <c r="B24" s="11" t="s">
        <v>597</v>
      </c>
      <c r="C24" s="12">
        <v>1871</v>
      </c>
      <c r="D24" s="12">
        <v>49</v>
      </c>
      <c r="E24" s="12">
        <v>100</v>
      </c>
      <c r="F24" s="12">
        <v>130</v>
      </c>
      <c r="G24" s="12">
        <v>32</v>
      </c>
      <c r="H24" s="12">
        <v>80</v>
      </c>
      <c r="I24" s="12">
        <v>109</v>
      </c>
      <c r="J24" s="12">
        <v>29</v>
      </c>
      <c r="K24" s="12">
        <v>81</v>
      </c>
      <c r="L24" s="12">
        <v>19</v>
      </c>
      <c r="M24" s="12">
        <v>27</v>
      </c>
      <c r="N24" s="12">
        <v>35</v>
      </c>
      <c r="O24" s="12">
        <v>69</v>
      </c>
      <c r="P24" s="12">
        <v>83</v>
      </c>
      <c r="Q24" s="12">
        <v>70</v>
      </c>
      <c r="R24" s="12">
        <v>35</v>
      </c>
      <c r="S24" s="12">
        <v>41</v>
      </c>
      <c r="T24" s="12">
        <v>39</v>
      </c>
      <c r="U24" s="12">
        <v>20</v>
      </c>
      <c r="V24" s="12">
        <v>69</v>
      </c>
      <c r="W24" s="12">
        <v>32</v>
      </c>
      <c r="X24" s="12">
        <v>98</v>
      </c>
      <c r="Y24" s="12">
        <v>73</v>
      </c>
      <c r="Z24" s="12">
        <v>86</v>
      </c>
      <c r="AA24" s="12">
        <v>16</v>
      </c>
      <c r="AB24" s="12">
        <v>237</v>
      </c>
      <c r="AC24" s="12">
        <v>36</v>
      </c>
      <c r="AD24" s="12">
        <v>52</v>
      </c>
      <c r="AE24" s="12">
        <v>39</v>
      </c>
      <c r="AF24" s="12">
        <v>36</v>
      </c>
    </row>
    <row r="25" spans="1:32" x14ac:dyDescent="0.35">
      <c r="A25" s="31"/>
      <c r="B25" s="13" t="s">
        <v>598</v>
      </c>
      <c r="C25" s="14">
        <v>7.0000000000000007E-2</v>
      </c>
      <c r="D25" s="14">
        <v>0.05</v>
      </c>
      <c r="E25" s="14">
        <v>0.1</v>
      </c>
      <c r="F25" s="14">
        <v>0.13</v>
      </c>
      <c r="G25" s="14">
        <v>0.03</v>
      </c>
      <c r="H25" s="14">
        <v>7.0000000000000007E-2</v>
      </c>
      <c r="I25" s="14">
        <v>7.0000000000000007E-2</v>
      </c>
      <c r="J25" s="14">
        <v>0.1</v>
      </c>
      <c r="K25" s="14">
        <v>0.08</v>
      </c>
      <c r="L25" s="14">
        <v>0.02</v>
      </c>
      <c r="M25" s="14">
        <v>0.03</v>
      </c>
      <c r="N25" s="14">
        <v>0.04</v>
      </c>
      <c r="O25" s="14">
        <v>7.0000000000000007E-2</v>
      </c>
      <c r="P25" s="14">
        <v>0.08</v>
      </c>
      <c r="Q25" s="14">
        <v>7.0000000000000007E-2</v>
      </c>
      <c r="R25" s="14">
        <v>7.0000000000000007E-2</v>
      </c>
      <c r="S25" s="14">
        <v>0.04</v>
      </c>
      <c r="T25" s="14">
        <v>0.04</v>
      </c>
      <c r="U25" s="14">
        <v>0.04</v>
      </c>
      <c r="V25" s="14">
        <v>7.0000000000000007E-2</v>
      </c>
      <c r="W25" s="14">
        <v>0.06</v>
      </c>
      <c r="X25" s="14">
        <v>0.1</v>
      </c>
      <c r="Y25" s="14">
        <v>7.0000000000000007E-2</v>
      </c>
      <c r="Z25" s="14">
        <v>0.08</v>
      </c>
      <c r="AA25" s="14">
        <v>0.02</v>
      </c>
      <c r="AB25" s="14">
        <v>0.23</v>
      </c>
      <c r="AC25" s="14">
        <v>0.04</v>
      </c>
      <c r="AD25" s="14">
        <v>0.05</v>
      </c>
      <c r="AE25" s="14">
        <v>0.04</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599</v>
      </c>
      <c r="C3" s="30"/>
      <c r="D3" s="30"/>
      <c r="E3" s="30"/>
      <c r="F3" s="30"/>
      <c r="H3" s="30" t="s">
        <v>600</v>
      </c>
      <c r="I3" s="30"/>
      <c r="J3" s="30"/>
      <c r="K3" s="30"/>
      <c r="L3" s="30"/>
    </row>
    <row r="4" spans="1:32" ht="27" customHeight="1" x14ac:dyDescent="0.35">
      <c r="B4" s="30" t="s">
        <v>601</v>
      </c>
      <c r="C4" s="30"/>
      <c r="D4" s="30"/>
      <c r="E4" s="30"/>
      <c r="F4" s="30"/>
      <c r="H4" s="30" t="s">
        <v>602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13949</v>
      </c>
      <c r="D12" s="12">
        <v>580</v>
      </c>
      <c r="E12" s="12">
        <v>637</v>
      </c>
      <c r="F12" s="12">
        <v>513</v>
      </c>
      <c r="G12" s="12">
        <v>658</v>
      </c>
      <c r="H12" s="12">
        <v>695</v>
      </c>
      <c r="I12" s="12">
        <v>872</v>
      </c>
      <c r="J12" s="12">
        <v>178</v>
      </c>
      <c r="K12" s="12">
        <v>427</v>
      </c>
      <c r="L12" s="12">
        <v>765</v>
      </c>
      <c r="M12" s="12">
        <v>658</v>
      </c>
      <c r="N12" s="12">
        <v>577</v>
      </c>
      <c r="O12" s="12">
        <v>570</v>
      </c>
      <c r="P12" s="12">
        <v>433</v>
      </c>
      <c r="Q12" s="12">
        <v>500</v>
      </c>
      <c r="R12" s="12">
        <v>324</v>
      </c>
      <c r="S12" s="12">
        <v>583</v>
      </c>
      <c r="T12" s="12">
        <v>541</v>
      </c>
      <c r="U12" s="12">
        <v>351</v>
      </c>
      <c r="V12" s="12">
        <v>496</v>
      </c>
      <c r="W12" s="12">
        <v>285</v>
      </c>
      <c r="X12" s="12">
        <v>541</v>
      </c>
      <c r="Y12" s="12">
        <v>560</v>
      </c>
      <c r="Z12" s="12">
        <v>310</v>
      </c>
      <c r="AA12" s="12">
        <v>567</v>
      </c>
      <c r="AB12" s="12">
        <v>338</v>
      </c>
      <c r="AC12" s="12">
        <v>644</v>
      </c>
      <c r="AD12" s="12">
        <v>635</v>
      </c>
      <c r="AE12" s="12">
        <v>679</v>
      </c>
      <c r="AF12" s="12">
        <v>584</v>
      </c>
    </row>
    <row r="13" spans="1:32" x14ac:dyDescent="0.35">
      <c r="A13" s="31"/>
      <c r="B13" s="13" t="s">
        <v>589</v>
      </c>
      <c r="C13" s="14">
        <v>0.53</v>
      </c>
      <c r="D13" s="14">
        <v>0.57000000000000006</v>
      </c>
      <c r="E13" s="14">
        <v>0.61</v>
      </c>
      <c r="F13" s="14">
        <v>0.5</v>
      </c>
      <c r="G13" s="14">
        <v>0.65</v>
      </c>
      <c r="H13" s="14">
        <v>0.56000000000000005</v>
      </c>
      <c r="I13" s="14">
        <v>0.57000000000000006</v>
      </c>
      <c r="J13" s="14">
        <v>0.6</v>
      </c>
      <c r="K13" s="14">
        <v>0.42</v>
      </c>
      <c r="L13" s="14">
        <v>0.76</v>
      </c>
      <c r="M13" s="14">
        <v>0.65</v>
      </c>
      <c r="N13" s="14">
        <v>0.57999999999999996</v>
      </c>
      <c r="O13" s="14">
        <v>0.57000000000000006</v>
      </c>
      <c r="P13" s="14">
        <v>0.43</v>
      </c>
      <c r="Q13" s="14">
        <v>0.48</v>
      </c>
      <c r="R13" s="14">
        <v>0.65</v>
      </c>
      <c r="S13" s="14">
        <v>0.57000000000000006</v>
      </c>
      <c r="T13" s="14">
        <v>0.53</v>
      </c>
      <c r="U13" s="14">
        <v>0.69000000000000006</v>
      </c>
      <c r="V13" s="14">
        <v>0.49</v>
      </c>
      <c r="W13" s="14">
        <v>0.57000000000000006</v>
      </c>
      <c r="X13" s="14">
        <v>0.54</v>
      </c>
      <c r="Y13" s="14">
        <v>0.56000000000000005</v>
      </c>
      <c r="Z13" s="14">
        <v>0.3</v>
      </c>
      <c r="AA13" s="14">
        <v>0.55000000000000004</v>
      </c>
      <c r="AB13" s="14">
        <v>0.32</v>
      </c>
      <c r="AC13" s="14">
        <v>0.64</v>
      </c>
      <c r="AD13" s="14">
        <v>0.63</v>
      </c>
      <c r="AE13" s="14">
        <v>0.67</v>
      </c>
      <c r="AF13" s="14">
        <v>0.57000000000000006</v>
      </c>
    </row>
    <row r="14" spans="1:32" x14ac:dyDescent="0.35">
      <c r="A14" s="31"/>
      <c r="B14" s="11" t="s">
        <v>590</v>
      </c>
      <c r="C14" s="12">
        <v>9887</v>
      </c>
      <c r="D14" s="12">
        <v>364</v>
      </c>
      <c r="E14" s="12">
        <v>293</v>
      </c>
      <c r="F14" s="12">
        <v>368</v>
      </c>
      <c r="G14" s="12">
        <v>292</v>
      </c>
      <c r="H14" s="12">
        <v>435</v>
      </c>
      <c r="I14" s="12">
        <v>527</v>
      </c>
      <c r="J14" s="12">
        <v>92</v>
      </c>
      <c r="K14" s="12">
        <v>430</v>
      </c>
      <c r="L14" s="12">
        <v>216</v>
      </c>
      <c r="M14" s="12">
        <v>310</v>
      </c>
      <c r="N14" s="12">
        <v>359</v>
      </c>
      <c r="O14" s="12">
        <v>356</v>
      </c>
      <c r="P14" s="12">
        <v>422</v>
      </c>
      <c r="Q14" s="12">
        <v>418</v>
      </c>
      <c r="R14" s="12">
        <v>141</v>
      </c>
      <c r="S14" s="12">
        <v>346</v>
      </c>
      <c r="T14" s="12">
        <v>395</v>
      </c>
      <c r="U14" s="12">
        <v>127</v>
      </c>
      <c r="V14" s="12">
        <v>404</v>
      </c>
      <c r="W14" s="12">
        <v>152</v>
      </c>
      <c r="X14" s="12">
        <v>368</v>
      </c>
      <c r="Y14" s="12">
        <v>351</v>
      </c>
      <c r="Z14" s="12">
        <v>580</v>
      </c>
      <c r="AA14" s="12">
        <v>368</v>
      </c>
      <c r="AB14" s="12">
        <v>419</v>
      </c>
      <c r="AC14" s="12">
        <v>298</v>
      </c>
      <c r="AD14" s="12">
        <v>301</v>
      </c>
      <c r="AE14" s="12">
        <v>267</v>
      </c>
      <c r="AF14" s="12">
        <v>359</v>
      </c>
    </row>
    <row r="15" spans="1:32" x14ac:dyDescent="0.35">
      <c r="A15" s="31"/>
      <c r="B15" s="13" t="s">
        <v>591</v>
      </c>
      <c r="C15" s="14">
        <v>0.37</v>
      </c>
      <c r="D15" s="14">
        <v>0.36</v>
      </c>
      <c r="E15" s="14">
        <v>0.28000000000000003</v>
      </c>
      <c r="F15" s="14">
        <v>0.36</v>
      </c>
      <c r="G15" s="14">
        <v>0.28999999999999998</v>
      </c>
      <c r="H15" s="14">
        <v>0.35</v>
      </c>
      <c r="I15" s="14">
        <v>0.34</v>
      </c>
      <c r="J15" s="14">
        <v>0.31</v>
      </c>
      <c r="K15" s="14">
        <v>0.43</v>
      </c>
      <c r="L15" s="14">
        <v>0.22</v>
      </c>
      <c r="M15" s="14">
        <v>0.31</v>
      </c>
      <c r="N15" s="14">
        <v>0.36</v>
      </c>
      <c r="O15" s="14">
        <v>0.36</v>
      </c>
      <c r="P15" s="14">
        <v>0.42</v>
      </c>
      <c r="Q15" s="14">
        <v>0.4</v>
      </c>
      <c r="R15" s="14">
        <v>0.28000000000000003</v>
      </c>
      <c r="S15" s="14">
        <v>0.34</v>
      </c>
      <c r="T15" s="14">
        <v>0.39</v>
      </c>
      <c r="U15" s="14">
        <v>0.25</v>
      </c>
      <c r="V15" s="14">
        <v>0.4</v>
      </c>
      <c r="W15" s="14">
        <v>0.3</v>
      </c>
      <c r="X15" s="14">
        <v>0.36</v>
      </c>
      <c r="Y15" s="14">
        <v>0.35</v>
      </c>
      <c r="Z15" s="14">
        <v>0.57000000000000006</v>
      </c>
      <c r="AA15" s="14">
        <v>0.36</v>
      </c>
      <c r="AB15" s="14">
        <v>0.4</v>
      </c>
      <c r="AC15" s="14">
        <v>0.28999999999999998</v>
      </c>
      <c r="AD15" s="14">
        <v>0.3</v>
      </c>
      <c r="AE15" s="14">
        <v>0.27</v>
      </c>
      <c r="AF15" s="14">
        <v>0.35</v>
      </c>
    </row>
    <row r="16" spans="1:32" x14ac:dyDescent="0.35">
      <c r="A16" s="31"/>
      <c r="B16" s="11" t="s">
        <v>592</v>
      </c>
      <c r="C16" s="12">
        <v>1688</v>
      </c>
      <c r="D16" s="12">
        <v>65</v>
      </c>
      <c r="E16" s="12">
        <v>62</v>
      </c>
      <c r="F16" s="12">
        <v>91</v>
      </c>
      <c r="G16" s="12">
        <v>31</v>
      </c>
      <c r="H16" s="12">
        <v>67</v>
      </c>
      <c r="I16" s="12">
        <v>88</v>
      </c>
      <c r="J16" s="12">
        <v>21</v>
      </c>
      <c r="K16" s="12">
        <v>94</v>
      </c>
      <c r="L16" s="12">
        <v>16</v>
      </c>
      <c r="M16" s="12">
        <v>22</v>
      </c>
      <c r="N16" s="12">
        <v>32</v>
      </c>
      <c r="O16" s="12">
        <v>45</v>
      </c>
      <c r="P16" s="12">
        <v>122</v>
      </c>
      <c r="Q16" s="12">
        <v>75</v>
      </c>
      <c r="R16" s="12">
        <v>20</v>
      </c>
      <c r="S16" s="12">
        <v>62</v>
      </c>
      <c r="T16" s="12">
        <v>40</v>
      </c>
      <c r="U16" s="12">
        <v>25</v>
      </c>
      <c r="V16" s="12">
        <v>84</v>
      </c>
      <c r="W16" s="12">
        <v>48</v>
      </c>
      <c r="X16" s="12">
        <v>91</v>
      </c>
      <c r="Y16" s="12">
        <v>67</v>
      </c>
      <c r="Z16" s="12">
        <v>90</v>
      </c>
      <c r="AA16" s="12">
        <v>34</v>
      </c>
      <c r="AB16" s="12">
        <v>199</v>
      </c>
      <c r="AC16" s="12">
        <v>50</v>
      </c>
      <c r="AD16" s="12">
        <v>53</v>
      </c>
      <c r="AE16" s="12">
        <v>41</v>
      </c>
      <c r="AF16" s="12">
        <v>61</v>
      </c>
    </row>
    <row r="17" spans="1:32" x14ac:dyDescent="0.35">
      <c r="A17" s="31"/>
      <c r="B17" s="13" t="s">
        <v>593</v>
      </c>
      <c r="C17" s="14">
        <v>0.06</v>
      </c>
      <c r="D17" s="14">
        <v>0.06</v>
      </c>
      <c r="E17" s="14">
        <v>0.06</v>
      </c>
      <c r="F17" s="14">
        <v>0.09</v>
      </c>
      <c r="G17" s="14">
        <v>0.03</v>
      </c>
      <c r="H17" s="14">
        <v>0.06</v>
      </c>
      <c r="I17" s="14">
        <v>0.06</v>
      </c>
      <c r="J17" s="14">
        <v>7.0000000000000007E-2</v>
      </c>
      <c r="K17" s="14">
        <v>0.09</v>
      </c>
      <c r="L17" s="14">
        <v>0.02</v>
      </c>
      <c r="M17" s="14">
        <v>0.02</v>
      </c>
      <c r="N17" s="14">
        <v>0.03</v>
      </c>
      <c r="O17" s="14">
        <v>0.04</v>
      </c>
      <c r="P17" s="14">
        <v>0.12</v>
      </c>
      <c r="Q17" s="14">
        <v>7.0000000000000007E-2</v>
      </c>
      <c r="R17" s="14">
        <v>0.04</v>
      </c>
      <c r="S17" s="14">
        <v>0.06</v>
      </c>
      <c r="T17" s="14">
        <v>0.04</v>
      </c>
      <c r="U17" s="14">
        <v>0.05</v>
      </c>
      <c r="V17" s="14">
        <v>0.08</v>
      </c>
      <c r="W17" s="14">
        <v>0.09</v>
      </c>
      <c r="X17" s="14">
        <v>0.09</v>
      </c>
      <c r="Y17" s="14">
        <v>7.0000000000000007E-2</v>
      </c>
      <c r="Z17" s="14">
        <v>0.09</v>
      </c>
      <c r="AA17" s="14">
        <v>0.03</v>
      </c>
      <c r="AB17" s="14">
        <v>0.19</v>
      </c>
      <c r="AC17" s="14">
        <v>0.05</v>
      </c>
      <c r="AD17" s="14">
        <v>0.05</v>
      </c>
      <c r="AE17" s="14">
        <v>0.04</v>
      </c>
      <c r="AF17" s="14">
        <v>0.06</v>
      </c>
    </row>
    <row r="18" spans="1:32" x14ac:dyDescent="0.35">
      <c r="A18" s="31"/>
      <c r="B18" s="11" t="s">
        <v>594</v>
      </c>
      <c r="C18" s="12">
        <v>451</v>
      </c>
      <c r="D18" s="12">
        <v>12</v>
      </c>
      <c r="E18" s="12">
        <v>20</v>
      </c>
      <c r="F18" s="12">
        <v>30</v>
      </c>
      <c r="G18" s="12">
        <v>11</v>
      </c>
      <c r="H18" s="12">
        <v>18</v>
      </c>
      <c r="I18" s="12">
        <v>23</v>
      </c>
      <c r="J18" s="12">
        <v>6</v>
      </c>
      <c r="K18" s="12">
        <v>25</v>
      </c>
      <c r="L18" s="12">
        <v>3</v>
      </c>
      <c r="M18" s="12">
        <v>8</v>
      </c>
      <c r="N18" s="12">
        <v>9</v>
      </c>
      <c r="O18" s="12">
        <v>11</v>
      </c>
      <c r="P18" s="12">
        <v>16</v>
      </c>
      <c r="Q18" s="12">
        <v>26</v>
      </c>
      <c r="R18" s="12">
        <v>10</v>
      </c>
      <c r="S18" s="12">
        <v>7</v>
      </c>
      <c r="T18" s="12">
        <v>9</v>
      </c>
      <c r="U18" s="12">
        <v>4</v>
      </c>
      <c r="V18" s="12">
        <v>25</v>
      </c>
      <c r="W18" s="12">
        <v>8</v>
      </c>
      <c r="X18" s="12">
        <v>9</v>
      </c>
      <c r="Y18" s="12">
        <v>21</v>
      </c>
      <c r="Z18" s="12">
        <v>25</v>
      </c>
      <c r="AA18" s="12">
        <v>8</v>
      </c>
      <c r="AB18" s="12">
        <v>57</v>
      </c>
      <c r="AC18" s="12">
        <v>9</v>
      </c>
      <c r="AD18" s="12">
        <v>11</v>
      </c>
      <c r="AE18" s="12">
        <v>4</v>
      </c>
      <c r="AF18" s="12">
        <v>14</v>
      </c>
    </row>
    <row r="19" spans="1:32" x14ac:dyDescent="0.35">
      <c r="A19" s="31"/>
      <c r="B19" s="13" t="s">
        <v>595</v>
      </c>
      <c r="C19" s="14">
        <v>0.02</v>
      </c>
      <c r="D19" s="14">
        <v>0.01</v>
      </c>
      <c r="E19" s="14">
        <v>0.02</v>
      </c>
      <c r="F19" s="14">
        <v>0.03</v>
      </c>
      <c r="G19" s="14">
        <v>0.01</v>
      </c>
      <c r="H19" s="14">
        <v>0.02</v>
      </c>
      <c r="I19" s="14">
        <v>0.02</v>
      </c>
      <c r="J19" s="14">
        <v>0.02</v>
      </c>
      <c r="K19" s="14">
        <v>0.03</v>
      </c>
      <c r="L19" s="15" t="s">
        <v>333</v>
      </c>
      <c r="M19" s="14">
        <v>0.01</v>
      </c>
      <c r="N19" s="14">
        <v>0.01</v>
      </c>
      <c r="O19" s="14">
        <v>0.01</v>
      </c>
      <c r="P19" s="14">
        <v>0.02</v>
      </c>
      <c r="Q19" s="14">
        <v>0.03</v>
      </c>
      <c r="R19" s="14">
        <v>0.02</v>
      </c>
      <c r="S19" s="14">
        <v>0.01</v>
      </c>
      <c r="T19" s="14">
        <v>0.01</v>
      </c>
      <c r="U19" s="14">
        <v>0.01</v>
      </c>
      <c r="V19" s="14">
        <v>0.02</v>
      </c>
      <c r="W19" s="14">
        <v>0.02</v>
      </c>
      <c r="X19" s="14">
        <v>0.01</v>
      </c>
      <c r="Y19" s="14">
        <v>0.02</v>
      </c>
      <c r="Z19" s="14">
        <v>0.03</v>
      </c>
      <c r="AA19" s="14">
        <v>0.01</v>
      </c>
      <c r="AB19" s="14">
        <v>0.05</v>
      </c>
      <c r="AC19" s="14">
        <v>0.01</v>
      </c>
      <c r="AD19" s="14">
        <v>0.01</v>
      </c>
      <c r="AE19" s="15" t="s">
        <v>333</v>
      </c>
      <c r="AF19" s="14">
        <v>0.02</v>
      </c>
    </row>
    <row r="20" spans="1:32" x14ac:dyDescent="0.35">
      <c r="A20" s="31"/>
      <c r="B20" s="11" t="s">
        <v>344</v>
      </c>
      <c r="C20" s="12">
        <v>435</v>
      </c>
      <c r="D20" s="12">
        <v>3</v>
      </c>
      <c r="E20" s="12">
        <v>28</v>
      </c>
      <c r="F20" s="12">
        <v>16</v>
      </c>
      <c r="G20" s="12">
        <v>26</v>
      </c>
      <c r="H20" s="12">
        <v>17</v>
      </c>
      <c r="I20" s="12">
        <v>19</v>
      </c>
      <c r="J20" s="12">
        <v>2</v>
      </c>
      <c r="K20" s="12">
        <v>32</v>
      </c>
      <c r="L20" s="12">
        <v>4</v>
      </c>
      <c r="M20" s="12">
        <v>7</v>
      </c>
      <c r="N20" s="12">
        <v>23</v>
      </c>
      <c r="O20" s="12">
        <v>19</v>
      </c>
      <c r="P20" s="12">
        <v>12</v>
      </c>
      <c r="Q20" s="12">
        <v>17</v>
      </c>
      <c r="R20" s="12">
        <v>7</v>
      </c>
      <c r="S20" s="12">
        <v>24</v>
      </c>
      <c r="T20" s="12">
        <v>32</v>
      </c>
      <c r="U20" s="12">
        <v>2</v>
      </c>
      <c r="V20" s="12">
        <v>5</v>
      </c>
      <c r="W20" s="12">
        <v>8</v>
      </c>
      <c r="X20" s="12">
        <v>1</v>
      </c>
      <c r="Y20" s="12">
        <v>5</v>
      </c>
      <c r="Z20" s="12">
        <v>15</v>
      </c>
      <c r="AA20" s="12">
        <v>52</v>
      </c>
      <c r="AB20" s="12">
        <v>43</v>
      </c>
      <c r="AC20" s="12">
        <v>12</v>
      </c>
      <c r="AD20" s="12">
        <v>4</v>
      </c>
      <c r="AE20" s="12">
        <v>16</v>
      </c>
      <c r="AF20" s="12">
        <v>2</v>
      </c>
    </row>
    <row r="21" spans="1:32" x14ac:dyDescent="0.35">
      <c r="A21" s="31"/>
      <c r="B21" s="13" t="s">
        <v>357</v>
      </c>
      <c r="C21" s="14">
        <v>0.02</v>
      </c>
      <c r="D21" s="15" t="s">
        <v>333</v>
      </c>
      <c r="E21" s="14">
        <v>0.03</v>
      </c>
      <c r="F21" s="14">
        <v>0.02</v>
      </c>
      <c r="G21" s="14">
        <v>0.02</v>
      </c>
      <c r="H21" s="14">
        <v>0.01</v>
      </c>
      <c r="I21" s="14">
        <v>0.01</v>
      </c>
      <c r="J21" s="15" t="s">
        <v>333</v>
      </c>
      <c r="K21" s="14">
        <v>0.03</v>
      </c>
      <c r="L21" s="15" t="s">
        <v>333</v>
      </c>
      <c r="M21" s="14">
        <v>0.01</v>
      </c>
      <c r="N21" s="14">
        <v>0.02</v>
      </c>
      <c r="O21" s="14">
        <v>0.02</v>
      </c>
      <c r="P21" s="14">
        <v>0.01</v>
      </c>
      <c r="Q21" s="14">
        <v>0.02</v>
      </c>
      <c r="R21" s="14">
        <v>0.01</v>
      </c>
      <c r="S21" s="14">
        <v>0.02</v>
      </c>
      <c r="T21" s="14">
        <v>0.03</v>
      </c>
      <c r="U21" s="15" t="s">
        <v>333</v>
      </c>
      <c r="V21" s="14">
        <v>0.01</v>
      </c>
      <c r="W21" s="14">
        <v>0.02</v>
      </c>
      <c r="X21" s="15" t="s">
        <v>333</v>
      </c>
      <c r="Y21" s="15" t="s">
        <v>333</v>
      </c>
      <c r="Z21" s="14">
        <v>0.01</v>
      </c>
      <c r="AA21" s="14">
        <v>0.05</v>
      </c>
      <c r="AB21" s="14">
        <v>0.04</v>
      </c>
      <c r="AC21" s="14">
        <v>0.01</v>
      </c>
      <c r="AD21" s="14">
        <v>0.01</v>
      </c>
      <c r="AE21" s="14">
        <v>0.02</v>
      </c>
      <c r="AF21" s="15" t="s">
        <v>333</v>
      </c>
    </row>
    <row r="22" spans="1:32" x14ac:dyDescent="0.35">
      <c r="A22" s="31"/>
      <c r="B22" s="11" t="s">
        <v>596</v>
      </c>
      <c r="C22" s="12">
        <v>23836</v>
      </c>
      <c r="D22" s="12">
        <v>944</v>
      </c>
      <c r="E22" s="12">
        <v>930</v>
      </c>
      <c r="F22" s="12">
        <v>881</v>
      </c>
      <c r="G22" s="12">
        <v>950</v>
      </c>
      <c r="H22" s="12">
        <v>1130</v>
      </c>
      <c r="I22" s="12">
        <v>1399</v>
      </c>
      <c r="J22" s="12">
        <v>270</v>
      </c>
      <c r="K22" s="12">
        <v>857</v>
      </c>
      <c r="L22" s="12">
        <v>981</v>
      </c>
      <c r="M22" s="12">
        <v>968</v>
      </c>
      <c r="N22" s="12">
        <v>936</v>
      </c>
      <c r="O22" s="12">
        <v>926</v>
      </c>
      <c r="P22" s="12">
        <v>855</v>
      </c>
      <c r="Q22" s="12">
        <v>918</v>
      </c>
      <c r="R22" s="12">
        <v>465</v>
      </c>
      <c r="S22" s="12">
        <v>929</v>
      </c>
      <c r="T22" s="12">
        <v>936</v>
      </c>
      <c r="U22" s="12">
        <v>478</v>
      </c>
      <c r="V22" s="12">
        <v>900</v>
      </c>
      <c r="W22" s="12">
        <v>437</v>
      </c>
      <c r="X22" s="12">
        <v>909</v>
      </c>
      <c r="Y22" s="12">
        <v>911</v>
      </c>
      <c r="Z22" s="12">
        <v>890</v>
      </c>
      <c r="AA22" s="12">
        <v>935</v>
      </c>
      <c r="AB22" s="12">
        <v>757</v>
      </c>
      <c r="AC22" s="12">
        <v>942</v>
      </c>
      <c r="AD22" s="12">
        <v>936</v>
      </c>
      <c r="AE22" s="12">
        <v>946</v>
      </c>
      <c r="AF22" s="12">
        <v>943</v>
      </c>
    </row>
    <row r="23" spans="1:32" x14ac:dyDescent="0.35">
      <c r="A23" s="31"/>
      <c r="B23" s="13" t="s">
        <v>596</v>
      </c>
      <c r="C23" s="14">
        <v>0.9</v>
      </c>
      <c r="D23" s="14">
        <v>0.93</v>
      </c>
      <c r="E23" s="14">
        <v>0.89</v>
      </c>
      <c r="F23" s="14">
        <v>0.86</v>
      </c>
      <c r="G23" s="14">
        <v>0.94000000000000006</v>
      </c>
      <c r="H23" s="14">
        <v>0.91</v>
      </c>
      <c r="I23" s="14">
        <v>0.91</v>
      </c>
      <c r="J23" s="14">
        <v>0.91</v>
      </c>
      <c r="K23" s="14">
        <v>0.85</v>
      </c>
      <c r="L23" s="14">
        <v>0.98</v>
      </c>
      <c r="M23" s="14">
        <v>0.96</v>
      </c>
      <c r="N23" s="14">
        <v>0.94000000000000006</v>
      </c>
      <c r="O23" s="14">
        <v>0.93</v>
      </c>
      <c r="P23" s="14">
        <v>0.85</v>
      </c>
      <c r="Q23" s="14">
        <v>0.88</v>
      </c>
      <c r="R23" s="14">
        <v>0.93</v>
      </c>
      <c r="S23" s="14">
        <v>0.91</v>
      </c>
      <c r="T23" s="14">
        <v>0.92</v>
      </c>
      <c r="U23" s="14">
        <v>0.94000000000000006</v>
      </c>
      <c r="V23" s="14">
        <v>0.89</v>
      </c>
      <c r="W23" s="14">
        <v>0.87</v>
      </c>
      <c r="X23" s="14">
        <v>0.9</v>
      </c>
      <c r="Y23" s="14">
        <v>0.91</v>
      </c>
      <c r="Z23" s="14">
        <v>0.87</v>
      </c>
      <c r="AA23" s="14">
        <v>0.91</v>
      </c>
      <c r="AB23" s="14">
        <v>0.72</v>
      </c>
      <c r="AC23" s="14">
        <v>0.93</v>
      </c>
      <c r="AD23" s="14">
        <v>0.93</v>
      </c>
      <c r="AE23" s="14">
        <v>0.94000000000000006</v>
      </c>
      <c r="AF23" s="14">
        <v>0.92</v>
      </c>
    </row>
    <row r="24" spans="1:32" x14ac:dyDescent="0.35">
      <c r="A24" s="31"/>
      <c r="B24" s="11" t="s">
        <v>597</v>
      </c>
      <c r="C24" s="12">
        <v>2139</v>
      </c>
      <c r="D24" s="12">
        <v>77</v>
      </c>
      <c r="E24" s="12">
        <v>82</v>
      </c>
      <c r="F24" s="12">
        <v>121</v>
      </c>
      <c r="G24" s="12">
        <v>42</v>
      </c>
      <c r="H24" s="12">
        <v>85</v>
      </c>
      <c r="I24" s="12">
        <v>111</v>
      </c>
      <c r="J24" s="12">
        <v>27</v>
      </c>
      <c r="K24" s="12">
        <v>119</v>
      </c>
      <c r="L24" s="12">
        <v>19</v>
      </c>
      <c r="M24" s="12">
        <v>30</v>
      </c>
      <c r="N24" s="12">
        <v>41</v>
      </c>
      <c r="O24" s="12">
        <v>56</v>
      </c>
      <c r="P24" s="12">
        <v>138</v>
      </c>
      <c r="Q24" s="12">
        <v>101</v>
      </c>
      <c r="R24" s="12">
        <v>30</v>
      </c>
      <c r="S24" s="12">
        <v>69</v>
      </c>
      <c r="T24" s="12">
        <v>49</v>
      </c>
      <c r="U24" s="12">
        <v>29</v>
      </c>
      <c r="V24" s="12">
        <v>109</v>
      </c>
      <c r="W24" s="12">
        <v>56</v>
      </c>
      <c r="X24" s="12">
        <v>100</v>
      </c>
      <c r="Y24" s="12">
        <v>88</v>
      </c>
      <c r="Z24" s="12">
        <v>115</v>
      </c>
      <c r="AA24" s="12">
        <v>42</v>
      </c>
      <c r="AB24" s="12">
        <v>256</v>
      </c>
      <c r="AC24" s="12">
        <v>59</v>
      </c>
      <c r="AD24" s="12">
        <v>64</v>
      </c>
      <c r="AE24" s="12">
        <v>45</v>
      </c>
      <c r="AF24" s="12">
        <v>75</v>
      </c>
    </row>
    <row r="25" spans="1:32" x14ac:dyDescent="0.35">
      <c r="A25" s="31"/>
      <c r="B25" s="13" t="s">
        <v>598</v>
      </c>
      <c r="C25" s="14">
        <v>0.08</v>
      </c>
      <c r="D25" s="14">
        <v>7.0000000000000007E-2</v>
      </c>
      <c r="E25" s="14">
        <v>0.08</v>
      </c>
      <c r="F25" s="14">
        <v>0.12</v>
      </c>
      <c r="G25" s="14">
        <v>0.04</v>
      </c>
      <c r="H25" s="14">
        <v>0.08</v>
      </c>
      <c r="I25" s="14">
        <v>0.08</v>
      </c>
      <c r="J25" s="14">
        <v>0.09</v>
      </c>
      <c r="K25" s="14">
        <v>0.12</v>
      </c>
      <c r="L25" s="14">
        <v>0.02</v>
      </c>
      <c r="M25" s="14">
        <v>0.03</v>
      </c>
      <c r="N25" s="14">
        <v>0.04</v>
      </c>
      <c r="O25" s="14">
        <v>0.05</v>
      </c>
      <c r="P25" s="14">
        <v>0.14000000000000001</v>
      </c>
      <c r="Q25" s="14">
        <v>0.1</v>
      </c>
      <c r="R25" s="14">
        <v>0.06</v>
      </c>
      <c r="S25" s="14">
        <v>7.0000000000000007E-2</v>
      </c>
      <c r="T25" s="14">
        <v>0.05</v>
      </c>
      <c r="U25" s="14">
        <v>0.06</v>
      </c>
      <c r="V25" s="14">
        <v>0.1</v>
      </c>
      <c r="W25" s="14">
        <v>0.11</v>
      </c>
      <c r="X25" s="14">
        <v>0.1</v>
      </c>
      <c r="Y25" s="14">
        <v>0.09</v>
      </c>
      <c r="Z25" s="14">
        <v>0.12</v>
      </c>
      <c r="AA25" s="14">
        <v>0.04</v>
      </c>
      <c r="AB25" s="14">
        <v>0.24</v>
      </c>
      <c r="AC25" s="14">
        <v>0.06</v>
      </c>
      <c r="AD25" s="14">
        <v>0.06</v>
      </c>
      <c r="AE25" s="14">
        <v>0.04</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603</v>
      </c>
      <c r="C3" s="30"/>
      <c r="D3" s="30"/>
      <c r="E3" s="30"/>
      <c r="F3" s="30"/>
      <c r="H3" s="30" t="s">
        <v>604</v>
      </c>
      <c r="I3" s="30"/>
      <c r="J3" s="30"/>
      <c r="K3" s="30"/>
      <c r="L3" s="30"/>
    </row>
    <row r="4" spans="1:32" ht="27" customHeight="1" x14ac:dyDescent="0.35">
      <c r="B4" s="30" t="s">
        <v>605</v>
      </c>
      <c r="C4" s="30"/>
      <c r="D4" s="30"/>
      <c r="E4" s="30"/>
      <c r="F4" s="30"/>
      <c r="H4" s="30" t="s">
        <v>606</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14450</v>
      </c>
      <c r="D12" s="12">
        <v>587</v>
      </c>
      <c r="E12" s="12">
        <v>597</v>
      </c>
      <c r="F12" s="12">
        <v>498</v>
      </c>
      <c r="G12" s="12">
        <v>667</v>
      </c>
      <c r="H12" s="12">
        <v>679</v>
      </c>
      <c r="I12" s="12">
        <v>842</v>
      </c>
      <c r="J12" s="12">
        <v>163</v>
      </c>
      <c r="K12" s="12">
        <v>454</v>
      </c>
      <c r="L12" s="12">
        <v>756</v>
      </c>
      <c r="M12" s="12">
        <v>733</v>
      </c>
      <c r="N12" s="12">
        <v>631</v>
      </c>
      <c r="O12" s="12">
        <v>561</v>
      </c>
      <c r="P12" s="12">
        <v>411</v>
      </c>
      <c r="Q12" s="12">
        <v>539</v>
      </c>
      <c r="R12" s="12">
        <v>378</v>
      </c>
      <c r="S12" s="12">
        <v>585</v>
      </c>
      <c r="T12" s="12">
        <v>597</v>
      </c>
      <c r="U12" s="12">
        <v>353</v>
      </c>
      <c r="V12" s="12">
        <v>536</v>
      </c>
      <c r="W12" s="12">
        <v>307</v>
      </c>
      <c r="X12" s="12">
        <v>608</v>
      </c>
      <c r="Y12" s="12">
        <v>537</v>
      </c>
      <c r="Z12" s="12">
        <v>343</v>
      </c>
      <c r="AA12" s="12">
        <v>628</v>
      </c>
      <c r="AB12" s="12">
        <v>373</v>
      </c>
      <c r="AC12" s="12">
        <v>633</v>
      </c>
      <c r="AD12" s="12">
        <v>613</v>
      </c>
      <c r="AE12" s="12">
        <v>678</v>
      </c>
      <c r="AF12" s="12">
        <v>734</v>
      </c>
    </row>
    <row r="13" spans="1:32" x14ac:dyDescent="0.35">
      <c r="A13" s="31"/>
      <c r="B13" s="13" t="s">
        <v>589</v>
      </c>
      <c r="C13" s="14">
        <v>0.55000000000000004</v>
      </c>
      <c r="D13" s="14">
        <v>0.57000000000000006</v>
      </c>
      <c r="E13" s="14">
        <v>0.57999999999999996</v>
      </c>
      <c r="F13" s="14">
        <v>0.49</v>
      </c>
      <c r="G13" s="14">
        <v>0.66</v>
      </c>
      <c r="H13" s="14">
        <v>0.55000000000000004</v>
      </c>
      <c r="I13" s="14">
        <v>0.55000000000000004</v>
      </c>
      <c r="J13" s="14">
        <v>0.55000000000000004</v>
      </c>
      <c r="K13" s="14">
        <v>0.45</v>
      </c>
      <c r="L13" s="14">
        <v>0.75</v>
      </c>
      <c r="M13" s="14">
        <v>0.73</v>
      </c>
      <c r="N13" s="14">
        <v>0.63</v>
      </c>
      <c r="O13" s="14">
        <v>0.56000000000000005</v>
      </c>
      <c r="P13" s="14">
        <v>0.41</v>
      </c>
      <c r="Q13" s="14">
        <v>0.52</v>
      </c>
      <c r="R13" s="14">
        <v>0.75</v>
      </c>
      <c r="S13" s="14">
        <v>0.57000000000000006</v>
      </c>
      <c r="T13" s="14">
        <v>0.59</v>
      </c>
      <c r="U13" s="14">
        <v>0.69000000000000006</v>
      </c>
      <c r="V13" s="14">
        <v>0.53</v>
      </c>
      <c r="W13" s="14">
        <v>0.61</v>
      </c>
      <c r="X13" s="14">
        <v>0.6</v>
      </c>
      <c r="Y13" s="14">
        <v>0.54</v>
      </c>
      <c r="Z13" s="14">
        <v>0.34</v>
      </c>
      <c r="AA13" s="14">
        <v>0.61</v>
      </c>
      <c r="AB13" s="14">
        <v>0.35</v>
      </c>
      <c r="AC13" s="14">
        <v>0.62</v>
      </c>
      <c r="AD13" s="14">
        <v>0.61</v>
      </c>
      <c r="AE13" s="14">
        <v>0.67</v>
      </c>
      <c r="AF13" s="14">
        <v>0.72</v>
      </c>
    </row>
    <row r="14" spans="1:32" x14ac:dyDescent="0.35">
      <c r="A14" s="31"/>
      <c r="B14" s="11" t="s">
        <v>590</v>
      </c>
      <c r="C14" s="12">
        <v>9529</v>
      </c>
      <c r="D14" s="12">
        <v>358</v>
      </c>
      <c r="E14" s="12">
        <v>337</v>
      </c>
      <c r="F14" s="12">
        <v>380</v>
      </c>
      <c r="G14" s="12">
        <v>257</v>
      </c>
      <c r="H14" s="12">
        <v>445</v>
      </c>
      <c r="I14" s="12">
        <v>549</v>
      </c>
      <c r="J14" s="12">
        <v>104</v>
      </c>
      <c r="K14" s="12">
        <v>427</v>
      </c>
      <c r="L14" s="12">
        <v>228</v>
      </c>
      <c r="M14" s="12">
        <v>241</v>
      </c>
      <c r="N14" s="12">
        <v>322</v>
      </c>
      <c r="O14" s="12">
        <v>354</v>
      </c>
      <c r="P14" s="12">
        <v>455</v>
      </c>
      <c r="Q14" s="12">
        <v>395</v>
      </c>
      <c r="R14" s="12">
        <v>84</v>
      </c>
      <c r="S14" s="12">
        <v>361</v>
      </c>
      <c r="T14" s="12">
        <v>336</v>
      </c>
      <c r="U14" s="12">
        <v>134</v>
      </c>
      <c r="V14" s="12">
        <v>387</v>
      </c>
      <c r="W14" s="12">
        <v>151</v>
      </c>
      <c r="X14" s="12">
        <v>320</v>
      </c>
      <c r="Y14" s="12">
        <v>380</v>
      </c>
      <c r="Z14" s="12">
        <v>559</v>
      </c>
      <c r="AA14" s="12">
        <v>325</v>
      </c>
      <c r="AB14" s="12">
        <v>399</v>
      </c>
      <c r="AC14" s="12">
        <v>310</v>
      </c>
      <c r="AD14" s="12">
        <v>314</v>
      </c>
      <c r="AE14" s="12">
        <v>260</v>
      </c>
      <c r="AF14" s="12">
        <v>248</v>
      </c>
    </row>
    <row r="15" spans="1:32" x14ac:dyDescent="0.35">
      <c r="A15" s="31"/>
      <c r="B15" s="13" t="s">
        <v>591</v>
      </c>
      <c r="C15" s="14">
        <v>0.36</v>
      </c>
      <c r="D15" s="14">
        <v>0.35</v>
      </c>
      <c r="E15" s="14">
        <v>0.32</v>
      </c>
      <c r="F15" s="14">
        <v>0.37</v>
      </c>
      <c r="G15" s="14">
        <v>0.25</v>
      </c>
      <c r="H15" s="14">
        <v>0.36</v>
      </c>
      <c r="I15" s="14">
        <v>0.36</v>
      </c>
      <c r="J15" s="14">
        <v>0.35</v>
      </c>
      <c r="K15" s="14">
        <v>0.42</v>
      </c>
      <c r="L15" s="14">
        <v>0.23</v>
      </c>
      <c r="M15" s="14">
        <v>0.24</v>
      </c>
      <c r="N15" s="14">
        <v>0.32</v>
      </c>
      <c r="O15" s="14">
        <v>0.36</v>
      </c>
      <c r="P15" s="14">
        <v>0.45</v>
      </c>
      <c r="Q15" s="14">
        <v>0.38</v>
      </c>
      <c r="R15" s="14">
        <v>0.17</v>
      </c>
      <c r="S15" s="14">
        <v>0.35</v>
      </c>
      <c r="T15" s="14">
        <v>0.33</v>
      </c>
      <c r="U15" s="14">
        <v>0.26</v>
      </c>
      <c r="V15" s="14">
        <v>0.38</v>
      </c>
      <c r="W15" s="14">
        <v>0.3</v>
      </c>
      <c r="X15" s="14">
        <v>0.32</v>
      </c>
      <c r="Y15" s="14">
        <v>0.38</v>
      </c>
      <c r="Z15" s="14">
        <v>0.55000000000000004</v>
      </c>
      <c r="AA15" s="14">
        <v>0.32</v>
      </c>
      <c r="AB15" s="14">
        <v>0.38</v>
      </c>
      <c r="AC15" s="14">
        <v>0.31</v>
      </c>
      <c r="AD15" s="14">
        <v>0.31</v>
      </c>
      <c r="AE15" s="14">
        <v>0.26</v>
      </c>
      <c r="AF15" s="14">
        <v>0.24</v>
      </c>
    </row>
    <row r="16" spans="1:32" x14ac:dyDescent="0.35">
      <c r="A16" s="31"/>
      <c r="B16" s="11" t="s">
        <v>592</v>
      </c>
      <c r="C16" s="12">
        <v>1642</v>
      </c>
      <c r="D16" s="12">
        <v>64</v>
      </c>
      <c r="E16" s="12">
        <v>63</v>
      </c>
      <c r="F16" s="12">
        <v>96</v>
      </c>
      <c r="G16" s="12">
        <v>59</v>
      </c>
      <c r="H16" s="12">
        <v>75</v>
      </c>
      <c r="I16" s="12">
        <v>100</v>
      </c>
      <c r="J16" s="12">
        <v>25</v>
      </c>
      <c r="K16" s="12">
        <v>81</v>
      </c>
      <c r="L16" s="12">
        <v>9</v>
      </c>
      <c r="M16" s="12">
        <v>16</v>
      </c>
      <c r="N16" s="12">
        <v>21</v>
      </c>
      <c r="O16" s="12">
        <v>54</v>
      </c>
      <c r="P16" s="12">
        <v>106</v>
      </c>
      <c r="Q16" s="12">
        <v>67</v>
      </c>
      <c r="R16" s="12">
        <v>23</v>
      </c>
      <c r="S16" s="12">
        <v>48</v>
      </c>
      <c r="T16" s="12">
        <v>47</v>
      </c>
      <c r="U16" s="12">
        <v>18</v>
      </c>
      <c r="V16" s="12">
        <v>68</v>
      </c>
      <c r="W16" s="12">
        <v>33</v>
      </c>
      <c r="X16" s="12">
        <v>76</v>
      </c>
      <c r="Y16" s="12">
        <v>75</v>
      </c>
      <c r="Z16" s="12">
        <v>81</v>
      </c>
      <c r="AA16" s="12">
        <v>21</v>
      </c>
      <c r="AB16" s="12">
        <v>198</v>
      </c>
      <c r="AC16" s="12">
        <v>47</v>
      </c>
      <c r="AD16" s="12">
        <v>61</v>
      </c>
      <c r="AE16" s="12">
        <v>50</v>
      </c>
      <c r="AF16" s="12">
        <v>34</v>
      </c>
    </row>
    <row r="17" spans="1:32" x14ac:dyDescent="0.35">
      <c r="A17" s="31"/>
      <c r="B17" s="13" t="s">
        <v>593</v>
      </c>
      <c r="C17" s="14">
        <v>0.06</v>
      </c>
      <c r="D17" s="14">
        <v>0.06</v>
      </c>
      <c r="E17" s="14">
        <v>0.06</v>
      </c>
      <c r="F17" s="14">
        <v>0.09</v>
      </c>
      <c r="G17" s="14">
        <v>0.06</v>
      </c>
      <c r="H17" s="14">
        <v>0.06</v>
      </c>
      <c r="I17" s="14">
        <v>0.06</v>
      </c>
      <c r="J17" s="14">
        <v>0.08</v>
      </c>
      <c r="K17" s="14">
        <v>0.08</v>
      </c>
      <c r="L17" s="14">
        <v>0.01</v>
      </c>
      <c r="M17" s="14">
        <v>0.01</v>
      </c>
      <c r="N17" s="14">
        <v>0.02</v>
      </c>
      <c r="O17" s="14">
        <v>0.05</v>
      </c>
      <c r="P17" s="14">
        <v>0.11</v>
      </c>
      <c r="Q17" s="14">
        <v>0.06</v>
      </c>
      <c r="R17" s="14">
        <v>0.05</v>
      </c>
      <c r="S17" s="14">
        <v>0.05</v>
      </c>
      <c r="T17" s="14">
        <v>0.05</v>
      </c>
      <c r="U17" s="14">
        <v>0.04</v>
      </c>
      <c r="V17" s="14">
        <v>7.0000000000000007E-2</v>
      </c>
      <c r="W17" s="14">
        <v>7.0000000000000007E-2</v>
      </c>
      <c r="X17" s="14">
        <v>0.08</v>
      </c>
      <c r="Y17" s="14">
        <v>7.0000000000000007E-2</v>
      </c>
      <c r="Z17" s="14">
        <v>0.08</v>
      </c>
      <c r="AA17" s="14">
        <v>0.02</v>
      </c>
      <c r="AB17" s="14">
        <v>0.19</v>
      </c>
      <c r="AC17" s="14">
        <v>0.05</v>
      </c>
      <c r="AD17" s="14">
        <v>0.06</v>
      </c>
      <c r="AE17" s="14">
        <v>0.05</v>
      </c>
      <c r="AF17" s="14">
        <v>0.04</v>
      </c>
    </row>
    <row r="18" spans="1:32" x14ac:dyDescent="0.35">
      <c r="A18" s="31"/>
      <c r="B18" s="11" t="s">
        <v>594</v>
      </c>
      <c r="C18" s="12">
        <v>354</v>
      </c>
      <c r="D18" s="12">
        <v>10</v>
      </c>
      <c r="E18" s="12">
        <v>21</v>
      </c>
      <c r="F18" s="12">
        <v>26</v>
      </c>
      <c r="G18" s="12">
        <v>10</v>
      </c>
      <c r="H18" s="12">
        <v>10</v>
      </c>
      <c r="I18" s="12">
        <v>14</v>
      </c>
      <c r="J18" s="12">
        <v>4</v>
      </c>
      <c r="K18" s="12">
        <v>20</v>
      </c>
      <c r="L18" s="12">
        <v>8</v>
      </c>
      <c r="M18" s="12">
        <v>7</v>
      </c>
      <c r="N18" s="12">
        <v>6</v>
      </c>
      <c r="O18" s="12">
        <v>11</v>
      </c>
      <c r="P18" s="12">
        <v>20</v>
      </c>
      <c r="Q18" s="12">
        <v>19</v>
      </c>
      <c r="R18" s="12">
        <v>8</v>
      </c>
      <c r="S18" s="12">
        <v>6</v>
      </c>
      <c r="T18" s="12">
        <v>3</v>
      </c>
      <c r="U18" s="12">
        <v>3</v>
      </c>
      <c r="V18" s="12">
        <v>18</v>
      </c>
      <c r="W18" s="12">
        <v>5</v>
      </c>
      <c r="X18" s="12">
        <v>5</v>
      </c>
      <c r="Y18" s="12">
        <v>8</v>
      </c>
      <c r="Z18" s="12">
        <v>22</v>
      </c>
      <c r="AA18" s="12">
        <v>5</v>
      </c>
      <c r="AB18" s="12">
        <v>54</v>
      </c>
      <c r="AC18" s="12">
        <v>10</v>
      </c>
      <c r="AD18" s="12">
        <v>12</v>
      </c>
      <c r="AE18" s="12">
        <v>6</v>
      </c>
      <c r="AF18" s="12">
        <v>3</v>
      </c>
    </row>
    <row r="19" spans="1:32" x14ac:dyDescent="0.35">
      <c r="A19" s="31"/>
      <c r="B19" s="13" t="s">
        <v>595</v>
      </c>
      <c r="C19" s="14">
        <v>0.01</v>
      </c>
      <c r="D19" s="14">
        <v>0.01</v>
      </c>
      <c r="E19" s="14">
        <v>0.02</v>
      </c>
      <c r="F19" s="14">
        <v>0.03</v>
      </c>
      <c r="G19" s="14">
        <v>0.01</v>
      </c>
      <c r="H19" s="14">
        <v>0.01</v>
      </c>
      <c r="I19" s="14">
        <v>0.01</v>
      </c>
      <c r="J19" s="14">
        <v>0.01</v>
      </c>
      <c r="K19" s="14">
        <v>0.02</v>
      </c>
      <c r="L19" s="14">
        <v>0.01</v>
      </c>
      <c r="M19" s="14">
        <v>0.01</v>
      </c>
      <c r="N19" s="14">
        <v>0.01</v>
      </c>
      <c r="O19" s="14">
        <v>0.01</v>
      </c>
      <c r="P19" s="14">
        <v>0.02</v>
      </c>
      <c r="Q19" s="14">
        <v>0.02</v>
      </c>
      <c r="R19" s="14">
        <v>0.02</v>
      </c>
      <c r="S19" s="14">
        <v>0.01</v>
      </c>
      <c r="T19" s="15" t="s">
        <v>333</v>
      </c>
      <c r="U19" s="14">
        <v>0.01</v>
      </c>
      <c r="V19" s="14">
        <v>0.02</v>
      </c>
      <c r="W19" s="14">
        <v>0.01</v>
      </c>
      <c r="X19" s="15" t="s">
        <v>333</v>
      </c>
      <c r="Y19" s="14">
        <v>0.01</v>
      </c>
      <c r="Z19" s="14">
        <v>0.02</v>
      </c>
      <c r="AA19" s="15" t="s">
        <v>333</v>
      </c>
      <c r="AB19" s="14">
        <v>0.05</v>
      </c>
      <c r="AC19" s="14">
        <v>0.01</v>
      </c>
      <c r="AD19" s="14">
        <v>0.01</v>
      </c>
      <c r="AE19" s="14">
        <v>0.01</v>
      </c>
      <c r="AF19" s="15" t="s">
        <v>333</v>
      </c>
    </row>
    <row r="20" spans="1:32" x14ac:dyDescent="0.35">
      <c r="A20" s="31"/>
      <c r="B20" s="11" t="s">
        <v>344</v>
      </c>
      <c r="C20" s="12">
        <v>435</v>
      </c>
      <c r="D20" s="12">
        <v>6</v>
      </c>
      <c r="E20" s="12">
        <v>21</v>
      </c>
      <c r="F20" s="12">
        <v>17</v>
      </c>
      <c r="G20" s="12">
        <v>24</v>
      </c>
      <c r="H20" s="12">
        <v>22</v>
      </c>
      <c r="I20" s="12">
        <v>25</v>
      </c>
      <c r="J20" s="12">
        <v>2</v>
      </c>
      <c r="K20" s="12">
        <v>27</v>
      </c>
      <c r="L20" s="12">
        <v>3</v>
      </c>
      <c r="M20" s="12">
        <v>6</v>
      </c>
      <c r="N20" s="12">
        <v>20</v>
      </c>
      <c r="O20" s="12">
        <v>21</v>
      </c>
      <c r="P20" s="12">
        <v>12</v>
      </c>
      <c r="Q20" s="12">
        <v>16</v>
      </c>
      <c r="R20" s="12">
        <v>7</v>
      </c>
      <c r="S20" s="12">
        <v>22</v>
      </c>
      <c r="T20" s="12">
        <v>34</v>
      </c>
      <c r="U20" s="12">
        <v>2</v>
      </c>
      <c r="V20" s="12">
        <v>5</v>
      </c>
      <c r="W20" s="12">
        <v>6</v>
      </c>
      <c r="X20" s="12">
        <v>1</v>
      </c>
      <c r="Y20" s="12">
        <v>4</v>
      </c>
      <c r="Z20" s="12">
        <v>14</v>
      </c>
      <c r="AA20" s="12">
        <v>50</v>
      </c>
      <c r="AB20" s="12">
        <v>33</v>
      </c>
      <c r="AC20" s="12">
        <v>12</v>
      </c>
      <c r="AD20" s="12">
        <v>3</v>
      </c>
      <c r="AE20" s="12">
        <v>12</v>
      </c>
      <c r="AF20" s="12">
        <v>0</v>
      </c>
    </row>
    <row r="21" spans="1:32" x14ac:dyDescent="0.35">
      <c r="A21" s="31"/>
      <c r="B21" s="13" t="s">
        <v>357</v>
      </c>
      <c r="C21" s="14">
        <v>0.02</v>
      </c>
      <c r="D21" s="14">
        <v>0.01</v>
      </c>
      <c r="E21" s="14">
        <v>0.02</v>
      </c>
      <c r="F21" s="14">
        <v>0.02</v>
      </c>
      <c r="G21" s="14">
        <v>0.02</v>
      </c>
      <c r="H21" s="14">
        <v>0.02</v>
      </c>
      <c r="I21" s="14">
        <v>0.02</v>
      </c>
      <c r="J21" s="14">
        <v>0.01</v>
      </c>
      <c r="K21" s="14">
        <v>0.03</v>
      </c>
      <c r="L21" s="15" t="s">
        <v>333</v>
      </c>
      <c r="M21" s="14">
        <v>0.01</v>
      </c>
      <c r="N21" s="14">
        <v>0.02</v>
      </c>
      <c r="O21" s="14">
        <v>0.02</v>
      </c>
      <c r="P21" s="14">
        <v>0.01</v>
      </c>
      <c r="Q21" s="14">
        <v>0.02</v>
      </c>
      <c r="R21" s="14">
        <v>0.01</v>
      </c>
      <c r="S21" s="14">
        <v>0.02</v>
      </c>
      <c r="T21" s="14">
        <v>0.03</v>
      </c>
      <c r="U21" s="15" t="s">
        <v>333</v>
      </c>
      <c r="V21" s="15" t="s">
        <v>333</v>
      </c>
      <c r="W21" s="14">
        <v>0.01</v>
      </c>
      <c r="X21" s="15" t="s">
        <v>333</v>
      </c>
      <c r="Y21" s="15" t="s">
        <v>333</v>
      </c>
      <c r="Z21" s="14">
        <v>0.01</v>
      </c>
      <c r="AA21" s="14">
        <v>0.05</v>
      </c>
      <c r="AB21" s="14">
        <v>0.03</v>
      </c>
      <c r="AC21" s="14">
        <v>0.01</v>
      </c>
      <c r="AD21" s="14">
        <v>0.01</v>
      </c>
      <c r="AE21" s="14">
        <v>0.01</v>
      </c>
      <c r="AF21" s="15" t="s">
        <v>333</v>
      </c>
    </row>
    <row r="22" spans="1:32" x14ac:dyDescent="0.35">
      <c r="A22" s="31"/>
      <c r="B22" s="11" t="s">
        <v>596</v>
      </c>
      <c r="C22" s="12">
        <v>23979</v>
      </c>
      <c r="D22" s="12">
        <v>945</v>
      </c>
      <c r="E22" s="12">
        <v>934</v>
      </c>
      <c r="F22" s="12">
        <v>878</v>
      </c>
      <c r="G22" s="12">
        <v>924</v>
      </c>
      <c r="H22" s="12">
        <v>1124</v>
      </c>
      <c r="I22" s="12">
        <v>1391</v>
      </c>
      <c r="J22" s="12">
        <v>267</v>
      </c>
      <c r="K22" s="12">
        <v>881</v>
      </c>
      <c r="L22" s="12">
        <v>984</v>
      </c>
      <c r="M22" s="12">
        <v>974</v>
      </c>
      <c r="N22" s="12">
        <v>953</v>
      </c>
      <c r="O22" s="12">
        <v>915</v>
      </c>
      <c r="P22" s="12">
        <v>866</v>
      </c>
      <c r="Q22" s="12">
        <v>934</v>
      </c>
      <c r="R22" s="12">
        <v>462</v>
      </c>
      <c r="S22" s="12">
        <v>946</v>
      </c>
      <c r="T22" s="12">
        <v>933</v>
      </c>
      <c r="U22" s="12">
        <v>487</v>
      </c>
      <c r="V22" s="12">
        <v>923</v>
      </c>
      <c r="W22" s="12">
        <v>458</v>
      </c>
      <c r="X22" s="12">
        <v>928</v>
      </c>
      <c r="Y22" s="12">
        <v>917</v>
      </c>
      <c r="Z22" s="12">
        <v>902</v>
      </c>
      <c r="AA22" s="12">
        <v>953</v>
      </c>
      <c r="AB22" s="12">
        <v>772</v>
      </c>
      <c r="AC22" s="12">
        <v>943</v>
      </c>
      <c r="AD22" s="12">
        <v>927</v>
      </c>
      <c r="AE22" s="12">
        <v>938</v>
      </c>
      <c r="AF22" s="12">
        <v>982</v>
      </c>
    </row>
    <row r="23" spans="1:32" x14ac:dyDescent="0.35">
      <c r="A23" s="31"/>
      <c r="B23" s="13" t="s">
        <v>596</v>
      </c>
      <c r="C23" s="14">
        <v>0.91</v>
      </c>
      <c r="D23" s="14">
        <v>0.92</v>
      </c>
      <c r="E23" s="14">
        <v>0.9</v>
      </c>
      <c r="F23" s="14">
        <v>0.86</v>
      </c>
      <c r="G23" s="14">
        <v>0.91</v>
      </c>
      <c r="H23" s="14">
        <v>0.91</v>
      </c>
      <c r="I23" s="14">
        <v>0.91</v>
      </c>
      <c r="J23" s="14">
        <v>0.9</v>
      </c>
      <c r="K23" s="14">
        <v>0.87</v>
      </c>
      <c r="L23" s="14">
        <v>0.98</v>
      </c>
      <c r="M23" s="14">
        <v>0.97</v>
      </c>
      <c r="N23" s="14">
        <v>0.95000000000000007</v>
      </c>
      <c r="O23" s="14">
        <v>0.92</v>
      </c>
      <c r="P23" s="14">
        <v>0.86</v>
      </c>
      <c r="Q23" s="14">
        <v>0.9</v>
      </c>
      <c r="R23" s="14">
        <v>0.92</v>
      </c>
      <c r="S23" s="14">
        <v>0.92</v>
      </c>
      <c r="T23" s="14">
        <v>0.92</v>
      </c>
      <c r="U23" s="14">
        <v>0.95000000000000007</v>
      </c>
      <c r="V23" s="14">
        <v>0.91</v>
      </c>
      <c r="W23" s="14">
        <v>0.91</v>
      </c>
      <c r="X23" s="14">
        <v>0.92</v>
      </c>
      <c r="Y23" s="14">
        <v>0.92</v>
      </c>
      <c r="Z23" s="14">
        <v>0.89</v>
      </c>
      <c r="AA23" s="14">
        <v>0.93</v>
      </c>
      <c r="AB23" s="14">
        <v>0.73</v>
      </c>
      <c r="AC23" s="14">
        <v>0.93</v>
      </c>
      <c r="AD23" s="14">
        <v>0.92</v>
      </c>
      <c r="AE23" s="14">
        <v>0.93</v>
      </c>
      <c r="AF23" s="14">
        <v>0.96</v>
      </c>
    </row>
    <row r="24" spans="1:32" x14ac:dyDescent="0.35">
      <c r="A24" s="31"/>
      <c r="B24" s="11" t="s">
        <v>597</v>
      </c>
      <c r="C24" s="12">
        <v>1996</v>
      </c>
      <c r="D24" s="12">
        <v>74</v>
      </c>
      <c r="E24" s="12">
        <v>84</v>
      </c>
      <c r="F24" s="12">
        <v>122</v>
      </c>
      <c r="G24" s="12">
        <v>69</v>
      </c>
      <c r="H24" s="12">
        <v>85</v>
      </c>
      <c r="I24" s="12">
        <v>114</v>
      </c>
      <c r="J24" s="12">
        <v>29</v>
      </c>
      <c r="K24" s="12">
        <v>101</v>
      </c>
      <c r="L24" s="12">
        <v>17</v>
      </c>
      <c r="M24" s="12">
        <v>23</v>
      </c>
      <c r="N24" s="12">
        <v>27</v>
      </c>
      <c r="O24" s="12">
        <v>65</v>
      </c>
      <c r="P24" s="12">
        <v>126</v>
      </c>
      <c r="Q24" s="12">
        <v>86</v>
      </c>
      <c r="R24" s="12">
        <v>31</v>
      </c>
      <c r="S24" s="12">
        <v>54</v>
      </c>
      <c r="T24" s="12">
        <v>50</v>
      </c>
      <c r="U24" s="12">
        <v>21</v>
      </c>
      <c r="V24" s="12">
        <v>86</v>
      </c>
      <c r="W24" s="12">
        <v>38</v>
      </c>
      <c r="X24" s="12">
        <v>81</v>
      </c>
      <c r="Y24" s="12">
        <v>83</v>
      </c>
      <c r="Z24" s="12">
        <v>103</v>
      </c>
      <c r="AA24" s="12">
        <v>26</v>
      </c>
      <c r="AB24" s="12">
        <v>252</v>
      </c>
      <c r="AC24" s="12">
        <v>57</v>
      </c>
      <c r="AD24" s="12">
        <v>73</v>
      </c>
      <c r="AE24" s="12">
        <v>56</v>
      </c>
      <c r="AF24" s="12">
        <v>37</v>
      </c>
    </row>
    <row r="25" spans="1:32" x14ac:dyDescent="0.35">
      <c r="A25" s="31"/>
      <c r="B25" s="13" t="s">
        <v>598</v>
      </c>
      <c r="C25" s="14">
        <v>7.0000000000000007E-2</v>
      </c>
      <c r="D25" s="14">
        <v>7.0000000000000007E-2</v>
      </c>
      <c r="E25" s="14">
        <v>0.08</v>
      </c>
      <c r="F25" s="14">
        <v>0.12</v>
      </c>
      <c r="G25" s="14">
        <v>7.0000000000000007E-2</v>
      </c>
      <c r="H25" s="14">
        <v>7.0000000000000007E-2</v>
      </c>
      <c r="I25" s="14">
        <v>7.0000000000000007E-2</v>
      </c>
      <c r="J25" s="14">
        <v>0.09</v>
      </c>
      <c r="K25" s="14">
        <v>0.1</v>
      </c>
      <c r="L25" s="14">
        <v>0.02</v>
      </c>
      <c r="M25" s="14">
        <v>0.02</v>
      </c>
      <c r="N25" s="14">
        <v>0.03</v>
      </c>
      <c r="O25" s="14">
        <v>0.06</v>
      </c>
      <c r="P25" s="14">
        <v>0.13</v>
      </c>
      <c r="Q25" s="14">
        <v>0.08</v>
      </c>
      <c r="R25" s="14">
        <v>7.0000000000000007E-2</v>
      </c>
      <c r="S25" s="14">
        <v>0.06</v>
      </c>
      <c r="T25" s="14">
        <v>0.05</v>
      </c>
      <c r="U25" s="14">
        <v>0.05</v>
      </c>
      <c r="V25" s="14">
        <v>0.09</v>
      </c>
      <c r="W25" s="14">
        <v>0.08</v>
      </c>
      <c r="X25" s="14">
        <v>0.08</v>
      </c>
      <c r="Y25" s="14">
        <v>0.08</v>
      </c>
      <c r="Z25" s="14">
        <v>0.1</v>
      </c>
      <c r="AA25" s="14">
        <v>0.02</v>
      </c>
      <c r="AB25" s="14">
        <v>0.24</v>
      </c>
      <c r="AC25" s="14">
        <v>0.06</v>
      </c>
      <c r="AD25" s="14">
        <v>7.0000000000000007E-2</v>
      </c>
      <c r="AE25" s="14">
        <v>0.06</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607</v>
      </c>
      <c r="C3" s="30"/>
      <c r="D3" s="30"/>
      <c r="E3" s="30"/>
      <c r="F3" s="30"/>
      <c r="H3" s="30" t="s">
        <v>608</v>
      </c>
      <c r="I3" s="30"/>
      <c r="J3" s="30"/>
      <c r="K3" s="30"/>
      <c r="L3" s="30"/>
    </row>
    <row r="4" spans="1:32" ht="27" customHeight="1" x14ac:dyDescent="0.35">
      <c r="B4" s="30" t="s">
        <v>609</v>
      </c>
      <c r="C4" s="30"/>
      <c r="D4" s="30"/>
      <c r="E4" s="30"/>
      <c r="F4" s="30"/>
      <c r="H4" s="30" t="s">
        <v>610</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14209</v>
      </c>
      <c r="D12" s="12">
        <v>558</v>
      </c>
      <c r="E12" s="12">
        <v>611</v>
      </c>
      <c r="F12" s="12">
        <v>544</v>
      </c>
      <c r="G12" s="12">
        <v>660</v>
      </c>
      <c r="H12" s="12">
        <v>704</v>
      </c>
      <c r="I12" s="12">
        <v>880</v>
      </c>
      <c r="J12" s="12">
        <v>176</v>
      </c>
      <c r="K12" s="12">
        <v>486</v>
      </c>
      <c r="L12" s="12">
        <v>748</v>
      </c>
      <c r="M12" s="12">
        <v>709</v>
      </c>
      <c r="N12" s="12">
        <v>598</v>
      </c>
      <c r="O12" s="12">
        <v>537</v>
      </c>
      <c r="P12" s="12">
        <v>461</v>
      </c>
      <c r="Q12" s="12">
        <v>508</v>
      </c>
      <c r="R12" s="12">
        <v>365</v>
      </c>
      <c r="S12" s="12">
        <v>578</v>
      </c>
      <c r="T12" s="12">
        <v>583</v>
      </c>
      <c r="U12" s="12">
        <v>343</v>
      </c>
      <c r="V12" s="12">
        <v>537</v>
      </c>
      <c r="W12" s="12">
        <v>299</v>
      </c>
      <c r="X12" s="12">
        <v>584</v>
      </c>
      <c r="Y12" s="12">
        <v>566</v>
      </c>
      <c r="Z12" s="12">
        <v>319</v>
      </c>
      <c r="AA12" s="12">
        <v>621</v>
      </c>
      <c r="AB12" s="12">
        <v>364</v>
      </c>
      <c r="AC12" s="12">
        <v>636</v>
      </c>
      <c r="AD12" s="12">
        <v>635</v>
      </c>
      <c r="AE12" s="12">
        <v>605</v>
      </c>
      <c r="AF12" s="12">
        <v>760</v>
      </c>
    </row>
    <row r="13" spans="1:32" x14ac:dyDescent="0.35">
      <c r="A13" s="31"/>
      <c r="B13" s="13" t="s">
        <v>589</v>
      </c>
      <c r="C13" s="14">
        <v>0.54</v>
      </c>
      <c r="D13" s="14">
        <v>0.54</v>
      </c>
      <c r="E13" s="14">
        <v>0.59</v>
      </c>
      <c r="F13" s="14">
        <v>0.53</v>
      </c>
      <c r="G13" s="14">
        <v>0.65</v>
      </c>
      <c r="H13" s="14">
        <v>0.57000000000000006</v>
      </c>
      <c r="I13" s="14">
        <v>0.57000000000000006</v>
      </c>
      <c r="J13" s="14">
        <v>0.59</v>
      </c>
      <c r="K13" s="14">
        <v>0.48</v>
      </c>
      <c r="L13" s="14">
        <v>0.74</v>
      </c>
      <c r="M13" s="14">
        <v>0.70000000000000007</v>
      </c>
      <c r="N13" s="14">
        <v>0.6</v>
      </c>
      <c r="O13" s="14">
        <v>0.54</v>
      </c>
      <c r="P13" s="14">
        <v>0.46</v>
      </c>
      <c r="Q13" s="14">
        <v>0.49</v>
      </c>
      <c r="R13" s="14">
        <v>0.73</v>
      </c>
      <c r="S13" s="14">
        <v>0.57000000000000006</v>
      </c>
      <c r="T13" s="14">
        <v>0.57000000000000006</v>
      </c>
      <c r="U13" s="14">
        <v>0.68</v>
      </c>
      <c r="V13" s="14">
        <v>0.53</v>
      </c>
      <c r="W13" s="14">
        <v>0.6</v>
      </c>
      <c r="X13" s="14">
        <v>0.57999999999999996</v>
      </c>
      <c r="Y13" s="14">
        <v>0.57000000000000006</v>
      </c>
      <c r="Z13" s="14">
        <v>0.31</v>
      </c>
      <c r="AA13" s="14">
        <v>0.6</v>
      </c>
      <c r="AB13" s="14">
        <v>0.34</v>
      </c>
      <c r="AC13" s="14">
        <v>0.63</v>
      </c>
      <c r="AD13" s="14">
        <v>0.63</v>
      </c>
      <c r="AE13" s="14">
        <v>0.6</v>
      </c>
      <c r="AF13" s="14">
        <v>0.75</v>
      </c>
    </row>
    <row r="14" spans="1:32" x14ac:dyDescent="0.35">
      <c r="A14" s="31"/>
      <c r="B14" s="11" t="s">
        <v>590</v>
      </c>
      <c r="C14" s="12">
        <v>9952</v>
      </c>
      <c r="D14" s="12">
        <v>402</v>
      </c>
      <c r="E14" s="12">
        <v>329</v>
      </c>
      <c r="F14" s="12">
        <v>350</v>
      </c>
      <c r="G14" s="12">
        <v>285</v>
      </c>
      <c r="H14" s="12">
        <v>441</v>
      </c>
      <c r="I14" s="12">
        <v>539</v>
      </c>
      <c r="J14" s="12">
        <v>98</v>
      </c>
      <c r="K14" s="12">
        <v>416</v>
      </c>
      <c r="L14" s="12">
        <v>220</v>
      </c>
      <c r="M14" s="12">
        <v>261</v>
      </c>
      <c r="N14" s="12">
        <v>348</v>
      </c>
      <c r="O14" s="12">
        <v>373</v>
      </c>
      <c r="P14" s="12">
        <v>436</v>
      </c>
      <c r="Q14" s="12">
        <v>429</v>
      </c>
      <c r="R14" s="12">
        <v>105</v>
      </c>
      <c r="S14" s="12">
        <v>370</v>
      </c>
      <c r="T14" s="12">
        <v>375</v>
      </c>
      <c r="U14" s="12">
        <v>144</v>
      </c>
      <c r="V14" s="12">
        <v>411</v>
      </c>
      <c r="W14" s="12">
        <v>169</v>
      </c>
      <c r="X14" s="12">
        <v>358</v>
      </c>
      <c r="Y14" s="12">
        <v>355</v>
      </c>
      <c r="Z14" s="12">
        <v>584</v>
      </c>
      <c r="AA14" s="12">
        <v>331</v>
      </c>
      <c r="AB14" s="12">
        <v>423</v>
      </c>
      <c r="AC14" s="12">
        <v>323</v>
      </c>
      <c r="AD14" s="12">
        <v>323</v>
      </c>
      <c r="AE14" s="12">
        <v>357</v>
      </c>
      <c r="AF14" s="12">
        <v>234</v>
      </c>
    </row>
    <row r="15" spans="1:32" x14ac:dyDescent="0.35">
      <c r="A15" s="31"/>
      <c r="B15" s="13" t="s">
        <v>591</v>
      </c>
      <c r="C15" s="14">
        <v>0.38</v>
      </c>
      <c r="D15" s="14">
        <v>0.39</v>
      </c>
      <c r="E15" s="14">
        <v>0.32</v>
      </c>
      <c r="F15" s="14">
        <v>0.34</v>
      </c>
      <c r="G15" s="14">
        <v>0.28000000000000003</v>
      </c>
      <c r="H15" s="14">
        <v>0.36</v>
      </c>
      <c r="I15" s="14">
        <v>0.35</v>
      </c>
      <c r="J15" s="14">
        <v>0.33</v>
      </c>
      <c r="K15" s="14">
        <v>0.42</v>
      </c>
      <c r="L15" s="14">
        <v>0.22</v>
      </c>
      <c r="M15" s="14">
        <v>0.26</v>
      </c>
      <c r="N15" s="14">
        <v>0.35</v>
      </c>
      <c r="O15" s="14">
        <v>0.37</v>
      </c>
      <c r="P15" s="14">
        <v>0.43</v>
      </c>
      <c r="Q15" s="14">
        <v>0.41</v>
      </c>
      <c r="R15" s="14">
        <v>0.21</v>
      </c>
      <c r="S15" s="14">
        <v>0.36</v>
      </c>
      <c r="T15" s="14">
        <v>0.37</v>
      </c>
      <c r="U15" s="14">
        <v>0.28000000000000003</v>
      </c>
      <c r="V15" s="14">
        <v>0.41</v>
      </c>
      <c r="W15" s="14">
        <v>0.34</v>
      </c>
      <c r="X15" s="14">
        <v>0.35</v>
      </c>
      <c r="Y15" s="14">
        <v>0.35</v>
      </c>
      <c r="Z15" s="14">
        <v>0.57000000000000006</v>
      </c>
      <c r="AA15" s="14">
        <v>0.32</v>
      </c>
      <c r="AB15" s="14">
        <v>0.4</v>
      </c>
      <c r="AC15" s="14">
        <v>0.32</v>
      </c>
      <c r="AD15" s="14">
        <v>0.32</v>
      </c>
      <c r="AE15" s="14">
        <v>0.35</v>
      </c>
      <c r="AF15" s="14">
        <v>0.23</v>
      </c>
    </row>
    <row r="16" spans="1:32" x14ac:dyDescent="0.35">
      <c r="A16" s="31"/>
      <c r="B16" s="11" t="s">
        <v>592</v>
      </c>
      <c r="C16" s="12">
        <v>1446</v>
      </c>
      <c r="D16" s="12">
        <v>48</v>
      </c>
      <c r="E16" s="12">
        <v>61</v>
      </c>
      <c r="F16" s="12">
        <v>88</v>
      </c>
      <c r="G16" s="12">
        <v>32</v>
      </c>
      <c r="H16" s="12">
        <v>55</v>
      </c>
      <c r="I16" s="12">
        <v>74</v>
      </c>
      <c r="J16" s="12">
        <v>19</v>
      </c>
      <c r="K16" s="12">
        <v>63</v>
      </c>
      <c r="L16" s="12">
        <v>22</v>
      </c>
      <c r="M16" s="12">
        <v>18</v>
      </c>
      <c r="N16" s="12">
        <v>19</v>
      </c>
      <c r="O16" s="12">
        <v>54</v>
      </c>
      <c r="P16" s="12">
        <v>80</v>
      </c>
      <c r="Q16" s="12">
        <v>65</v>
      </c>
      <c r="R16" s="12">
        <v>21</v>
      </c>
      <c r="S16" s="12">
        <v>40</v>
      </c>
      <c r="T16" s="12">
        <v>24</v>
      </c>
      <c r="U16" s="12">
        <v>18</v>
      </c>
      <c r="V16" s="12">
        <v>46</v>
      </c>
      <c r="W16" s="12">
        <v>20</v>
      </c>
      <c r="X16" s="12">
        <v>60</v>
      </c>
      <c r="Y16" s="12">
        <v>61</v>
      </c>
      <c r="Z16" s="12">
        <v>88</v>
      </c>
      <c r="AA16" s="12">
        <v>19</v>
      </c>
      <c r="AB16" s="12">
        <v>180</v>
      </c>
      <c r="AC16" s="12">
        <v>26</v>
      </c>
      <c r="AD16" s="12">
        <v>33</v>
      </c>
      <c r="AE16" s="12">
        <v>25</v>
      </c>
      <c r="AF16" s="12">
        <v>24</v>
      </c>
    </row>
    <row r="17" spans="1:32" x14ac:dyDescent="0.35">
      <c r="A17" s="31"/>
      <c r="B17" s="13" t="s">
        <v>593</v>
      </c>
      <c r="C17" s="14">
        <v>0.05</v>
      </c>
      <c r="D17" s="14">
        <v>0.05</v>
      </c>
      <c r="E17" s="14">
        <v>0.06</v>
      </c>
      <c r="F17" s="14">
        <v>0.09</v>
      </c>
      <c r="G17" s="14">
        <v>0.03</v>
      </c>
      <c r="H17" s="14">
        <v>0.04</v>
      </c>
      <c r="I17" s="14">
        <v>0.05</v>
      </c>
      <c r="J17" s="14">
        <v>0.06</v>
      </c>
      <c r="K17" s="14">
        <v>0.06</v>
      </c>
      <c r="L17" s="14">
        <v>0.02</v>
      </c>
      <c r="M17" s="14">
        <v>0.02</v>
      </c>
      <c r="N17" s="14">
        <v>0.02</v>
      </c>
      <c r="O17" s="14">
        <v>0.06</v>
      </c>
      <c r="P17" s="14">
        <v>0.08</v>
      </c>
      <c r="Q17" s="14">
        <v>0.06</v>
      </c>
      <c r="R17" s="14">
        <v>0.04</v>
      </c>
      <c r="S17" s="14">
        <v>0.04</v>
      </c>
      <c r="T17" s="14">
        <v>0.03</v>
      </c>
      <c r="U17" s="14">
        <v>0.04</v>
      </c>
      <c r="V17" s="14">
        <v>0.04</v>
      </c>
      <c r="W17" s="14">
        <v>0.04</v>
      </c>
      <c r="X17" s="14">
        <v>0.06</v>
      </c>
      <c r="Y17" s="14">
        <v>0.06</v>
      </c>
      <c r="Z17" s="14">
        <v>0.09</v>
      </c>
      <c r="AA17" s="14">
        <v>0.02</v>
      </c>
      <c r="AB17" s="14">
        <v>0.17</v>
      </c>
      <c r="AC17" s="14">
        <v>0.03</v>
      </c>
      <c r="AD17" s="14">
        <v>0.03</v>
      </c>
      <c r="AE17" s="14">
        <v>0.03</v>
      </c>
      <c r="AF17" s="14">
        <v>0.02</v>
      </c>
    </row>
    <row r="18" spans="1:32" x14ac:dyDescent="0.35">
      <c r="A18" s="31"/>
      <c r="B18" s="11" t="s">
        <v>594</v>
      </c>
      <c r="C18" s="12">
        <v>338</v>
      </c>
      <c r="D18" s="12">
        <v>7</v>
      </c>
      <c r="E18" s="12">
        <v>17</v>
      </c>
      <c r="F18" s="12">
        <v>26</v>
      </c>
      <c r="G18" s="12">
        <v>7</v>
      </c>
      <c r="H18" s="12">
        <v>8</v>
      </c>
      <c r="I18" s="12">
        <v>10</v>
      </c>
      <c r="J18" s="12">
        <v>2</v>
      </c>
      <c r="K18" s="12">
        <v>12</v>
      </c>
      <c r="L18" s="12">
        <v>6</v>
      </c>
      <c r="M18" s="12">
        <v>9</v>
      </c>
      <c r="N18" s="12">
        <v>9</v>
      </c>
      <c r="O18" s="12">
        <v>12</v>
      </c>
      <c r="P18" s="12">
        <v>15</v>
      </c>
      <c r="Q18" s="12">
        <v>16</v>
      </c>
      <c r="R18" s="12">
        <v>5</v>
      </c>
      <c r="S18" s="12">
        <v>5</v>
      </c>
      <c r="T18" s="12">
        <v>3</v>
      </c>
      <c r="U18" s="12">
        <v>2</v>
      </c>
      <c r="V18" s="12">
        <v>17</v>
      </c>
      <c r="W18" s="12">
        <v>2</v>
      </c>
      <c r="X18" s="12">
        <v>7</v>
      </c>
      <c r="Y18" s="12">
        <v>18</v>
      </c>
      <c r="Z18" s="12">
        <v>15</v>
      </c>
      <c r="AA18" s="12">
        <v>9</v>
      </c>
      <c r="AB18" s="12">
        <v>62</v>
      </c>
      <c r="AC18" s="12">
        <v>11</v>
      </c>
      <c r="AD18" s="12">
        <v>9</v>
      </c>
      <c r="AE18" s="12">
        <v>3</v>
      </c>
      <c r="AF18" s="12">
        <v>0</v>
      </c>
    </row>
    <row r="19" spans="1:32" x14ac:dyDescent="0.35">
      <c r="A19" s="31"/>
      <c r="B19" s="13" t="s">
        <v>595</v>
      </c>
      <c r="C19" s="14">
        <v>0.01</v>
      </c>
      <c r="D19" s="14">
        <v>0.01</v>
      </c>
      <c r="E19" s="14">
        <v>0.01</v>
      </c>
      <c r="F19" s="14">
        <v>0.03</v>
      </c>
      <c r="G19" s="14">
        <v>0.01</v>
      </c>
      <c r="H19" s="14">
        <v>0.01</v>
      </c>
      <c r="I19" s="14">
        <v>0.01</v>
      </c>
      <c r="J19" s="14">
        <v>0.01</v>
      </c>
      <c r="K19" s="14">
        <v>0.01</v>
      </c>
      <c r="L19" s="14">
        <v>0.01</v>
      </c>
      <c r="M19" s="14">
        <v>0.01</v>
      </c>
      <c r="N19" s="14">
        <v>0.01</v>
      </c>
      <c r="O19" s="14">
        <v>0.01</v>
      </c>
      <c r="P19" s="14">
        <v>0.02</v>
      </c>
      <c r="Q19" s="14">
        <v>0.02</v>
      </c>
      <c r="R19" s="14">
        <v>0.01</v>
      </c>
      <c r="S19" s="15" t="s">
        <v>333</v>
      </c>
      <c r="T19" s="15" t="s">
        <v>333</v>
      </c>
      <c r="U19" s="15" t="s">
        <v>333</v>
      </c>
      <c r="V19" s="14">
        <v>0.02</v>
      </c>
      <c r="W19" s="15" t="s">
        <v>333</v>
      </c>
      <c r="X19" s="14">
        <v>0.01</v>
      </c>
      <c r="Y19" s="14">
        <v>0.02</v>
      </c>
      <c r="Z19" s="14">
        <v>0.02</v>
      </c>
      <c r="AA19" s="14">
        <v>0.01</v>
      </c>
      <c r="AB19" s="14">
        <v>0.06</v>
      </c>
      <c r="AC19" s="14">
        <v>0.01</v>
      </c>
      <c r="AD19" s="14">
        <v>0.01</v>
      </c>
      <c r="AE19" s="15" t="s">
        <v>333</v>
      </c>
      <c r="AF19" s="15" t="s">
        <v>333</v>
      </c>
    </row>
    <row r="20" spans="1:32" x14ac:dyDescent="0.35">
      <c r="A20" s="31"/>
      <c r="B20" s="11" t="s">
        <v>344</v>
      </c>
      <c r="C20" s="12">
        <v>465</v>
      </c>
      <c r="D20" s="12">
        <v>9</v>
      </c>
      <c r="E20" s="12">
        <v>21</v>
      </c>
      <c r="F20" s="12">
        <v>10</v>
      </c>
      <c r="G20" s="12">
        <v>32</v>
      </c>
      <c r="H20" s="12">
        <v>25</v>
      </c>
      <c r="I20" s="12">
        <v>28</v>
      </c>
      <c r="J20" s="12">
        <v>3</v>
      </c>
      <c r="K20" s="12">
        <v>32</v>
      </c>
      <c r="L20" s="12">
        <v>8</v>
      </c>
      <c r="M20" s="12">
        <v>7</v>
      </c>
      <c r="N20" s="12">
        <v>26</v>
      </c>
      <c r="O20" s="12">
        <v>23</v>
      </c>
      <c r="P20" s="12">
        <v>12</v>
      </c>
      <c r="Q20" s="12">
        <v>17</v>
      </c>
      <c r="R20" s="12">
        <v>6</v>
      </c>
      <c r="S20" s="12">
        <v>26</v>
      </c>
      <c r="T20" s="12">
        <v>32</v>
      </c>
      <c r="U20" s="12">
        <v>2</v>
      </c>
      <c r="V20" s="12">
        <v>3</v>
      </c>
      <c r="W20" s="12">
        <v>10</v>
      </c>
      <c r="X20" s="12">
        <v>1</v>
      </c>
      <c r="Y20" s="12">
        <v>3</v>
      </c>
      <c r="Z20" s="12">
        <v>13</v>
      </c>
      <c r="AA20" s="12">
        <v>50</v>
      </c>
      <c r="AB20" s="12">
        <v>27</v>
      </c>
      <c r="AC20" s="12">
        <v>16</v>
      </c>
      <c r="AD20" s="12">
        <v>4</v>
      </c>
      <c r="AE20" s="12">
        <v>17</v>
      </c>
      <c r="AF20" s="12">
        <v>2</v>
      </c>
    </row>
    <row r="21" spans="1:32" x14ac:dyDescent="0.35">
      <c r="A21" s="31"/>
      <c r="B21" s="13" t="s">
        <v>357</v>
      </c>
      <c r="C21" s="14">
        <v>0.02</v>
      </c>
      <c r="D21" s="14">
        <v>0.01</v>
      </c>
      <c r="E21" s="14">
        <v>0.02</v>
      </c>
      <c r="F21" s="14">
        <v>0.01</v>
      </c>
      <c r="G21" s="14">
        <v>0.03</v>
      </c>
      <c r="H21" s="14">
        <v>0.02</v>
      </c>
      <c r="I21" s="14">
        <v>0.02</v>
      </c>
      <c r="J21" s="14">
        <v>0.01</v>
      </c>
      <c r="K21" s="14">
        <v>0.03</v>
      </c>
      <c r="L21" s="14">
        <v>0.01</v>
      </c>
      <c r="M21" s="14">
        <v>0.01</v>
      </c>
      <c r="N21" s="14">
        <v>0.02</v>
      </c>
      <c r="O21" s="14">
        <v>0.02</v>
      </c>
      <c r="P21" s="14">
        <v>0.01</v>
      </c>
      <c r="Q21" s="14">
        <v>0.02</v>
      </c>
      <c r="R21" s="14">
        <v>0.01</v>
      </c>
      <c r="S21" s="14">
        <v>0.03</v>
      </c>
      <c r="T21" s="14">
        <v>0.03</v>
      </c>
      <c r="U21" s="15" t="s">
        <v>333</v>
      </c>
      <c r="V21" s="15" t="s">
        <v>333</v>
      </c>
      <c r="W21" s="14">
        <v>0.02</v>
      </c>
      <c r="X21" s="15" t="s">
        <v>333</v>
      </c>
      <c r="Y21" s="15" t="s">
        <v>333</v>
      </c>
      <c r="Z21" s="14">
        <v>0.01</v>
      </c>
      <c r="AA21" s="14">
        <v>0.05</v>
      </c>
      <c r="AB21" s="14">
        <v>0.03</v>
      </c>
      <c r="AC21" s="14">
        <v>0.01</v>
      </c>
      <c r="AD21" s="14">
        <v>0.01</v>
      </c>
      <c r="AE21" s="14">
        <v>0.02</v>
      </c>
      <c r="AF21" s="15" t="s">
        <v>333</v>
      </c>
    </row>
    <row r="22" spans="1:32" x14ac:dyDescent="0.35">
      <c r="A22" s="31"/>
      <c r="B22" s="11" t="s">
        <v>596</v>
      </c>
      <c r="C22" s="12">
        <v>24161</v>
      </c>
      <c r="D22" s="12">
        <v>960</v>
      </c>
      <c r="E22" s="12">
        <v>940</v>
      </c>
      <c r="F22" s="12">
        <v>894</v>
      </c>
      <c r="G22" s="12">
        <v>945</v>
      </c>
      <c r="H22" s="12">
        <v>1145</v>
      </c>
      <c r="I22" s="12">
        <v>1419</v>
      </c>
      <c r="J22" s="12">
        <v>274</v>
      </c>
      <c r="K22" s="12">
        <v>902</v>
      </c>
      <c r="L22" s="12">
        <v>968</v>
      </c>
      <c r="M22" s="12">
        <v>970</v>
      </c>
      <c r="N22" s="12">
        <v>946</v>
      </c>
      <c r="O22" s="12">
        <v>910</v>
      </c>
      <c r="P22" s="12">
        <v>897</v>
      </c>
      <c r="Q22" s="12">
        <v>937</v>
      </c>
      <c r="R22" s="12">
        <v>470</v>
      </c>
      <c r="S22" s="12">
        <v>948</v>
      </c>
      <c r="T22" s="12">
        <v>958</v>
      </c>
      <c r="U22" s="12">
        <v>487</v>
      </c>
      <c r="V22" s="12">
        <v>948</v>
      </c>
      <c r="W22" s="12">
        <v>468</v>
      </c>
      <c r="X22" s="12">
        <v>942</v>
      </c>
      <c r="Y22" s="12">
        <v>921</v>
      </c>
      <c r="Z22" s="12">
        <v>903</v>
      </c>
      <c r="AA22" s="12">
        <v>952</v>
      </c>
      <c r="AB22" s="12">
        <v>787</v>
      </c>
      <c r="AC22" s="12">
        <v>959</v>
      </c>
      <c r="AD22" s="12">
        <v>958</v>
      </c>
      <c r="AE22" s="12">
        <v>962</v>
      </c>
      <c r="AF22" s="12">
        <v>994</v>
      </c>
    </row>
    <row r="23" spans="1:32" x14ac:dyDescent="0.35">
      <c r="A23" s="31"/>
      <c r="B23" s="13" t="s">
        <v>596</v>
      </c>
      <c r="C23" s="14">
        <v>0.92</v>
      </c>
      <c r="D23" s="14">
        <v>0.93</v>
      </c>
      <c r="E23" s="14">
        <v>0.91</v>
      </c>
      <c r="F23" s="14">
        <v>0.87</v>
      </c>
      <c r="G23" s="14">
        <v>0.93</v>
      </c>
      <c r="H23" s="14">
        <v>0.93</v>
      </c>
      <c r="I23" s="14">
        <v>0.92</v>
      </c>
      <c r="J23" s="14">
        <v>0.92</v>
      </c>
      <c r="K23" s="14">
        <v>0.9</v>
      </c>
      <c r="L23" s="14">
        <v>0.96</v>
      </c>
      <c r="M23" s="14">
        <v>0.96</v>
      </c>
      <c r="N23" s="14">
        <v>0.95000000000000007</v>
      </c>
      <c r="O23" s="14">
        <v>0.91</v>
      </c>
      <c r="P23" s="14">
        <v>0.89</v>
      </c>
      <c r="Q23" s="14">
        <v>0.9</v>
      </c>
      <c r="R23" s="14">
        <v>0.94000000000000006</v>
      </c>
      <c r="S23" s="14">
        <v>0.93</v>
      </c>
      <c r="T23" s="14">
        <v>0.94000000000000006</v>
      </c>
      <c r="U23" s="14">
        <v>0.96</v>
      </c>
      <c r="V23" s="14">
        <v>0.94000000000000006</v>
      </c>
      <c r="W23" s="14">
        <v>0.94000000000000006</v>
      </c>
      <c r="X23" s="14">
        <v>0.93</v>
      </c>
      <c r="Y23" s="14">
        <v>0.92</v>
      </c>
      <c r="Z23" s="14">
        <v>0.88</v>
      </c>
      <c r="AA23" s="14">
        <v>0.92</v>
      </c>
      <c r="AB23" s="14">
        <v>0.74</v>
      </c>
      <c r="AC23" s="14">
        <v>0.95000000000000007</v>
      </c>
      <c r="AD23" s="14">
        <v>0.95000000000000007</v>
      </c>
      <c r="AE23" s="14">
        <v>0.95000000000000007</v>
      </c>
      <c r="AF23" s="14">
        <v>0.98</v>
      </c>
    </row>
    <row r="24" spans="1:32" x14ac:dyDescent="0.35">
      <c r="A24" s="31"/>
      <c r="B24" s="11" t="s">
        <v>597</v>
      </c>
      <c r="C24" s="12">
        <v>1784</v>
      </c>
      <c r="D24" s="12">
        <v>55</v>
      </c>
      <c r="E24" s="12">
        <v>78</v>
      </c>
      <c r="F24" s="12">
        <v>114</v>
      </c>
      <c r="G24" s="12">
        <v>39</v>
      </c>
      <c r="H24" s="12">
        <v>63</v>
      </c>
      <c r="I24" s="12">
        <v>84</v>
      </c>
      <c r="J24" s="12">
        <v>21</v>
      </c>
      <c r="K24" s="12">
        <v>75</v>
      </c>
      <c r="L24" s="12">
        <v>28</v>
      </c>
      <c r="M24" s="12">
        <v>27</v>
      </c>
      <c r="N24" s="12">
        <v>28</v>
      </c>
      <c r="O24" s="12">
        <v>66</v>
      </c>
      <c r="P24" s="12">
        <v>95</v>
      </c>
      <c r="Q24" s="12">
        <v>81</v>
      </c>
      <c r="R24" s="12">
        <v>26</v>
      </c>
      <c r="S24" s="12">
        <v>45</v>
      </c>
      <c r="T24" s="12">
        <v>27</v>
      </c>
      <c r="U24" s="12">
        <v>20</v>
      </c>
      <c r="V24" s="12">
        <v>63</v>
      </c>
      <c r="W24" s="12">
        <v>22</v>
      </c>
      <c r="X24" s="12">
        <v>67</v>
      </c>
      <c r="Y24" s="12">
        <v>79</v>
      </c>
      <c r="Z24" s="12">
        <v>103</v>
      </c>
      <c r="AA24" s="12">
        <v>28</v>
      </c>
      <c r="AB24" s="12">
        <v>242</v>
      </c>
      <c r="AC24" s="12">
        <v>37</v>
      </c>
      <c r="AD24" s="12">
        <v>42</v>
      </c>
      <c r="AE24" s="12">
        <v>28</v>
      </c>
      <c r="AF24" s="12">
        <v>24</v>
      </c>
    </row>
    <row r="25" spans="1:32" x14ac:dyDescent="0.35">
      <c r="A25" s="31"/>
      <c r="B25" s="13" t="s">
        <v>598</v>
      </c>
      <c r="C25" s="14">
        <v>0.06</v>
      </c>
      <c r="D25" s="14">
        <v>0.06</v>
      </c>
      <c r="E25" s="14">
        <v>7.0000000000000007E-2</v>
      </c>
      <c r="F25" s="14">
        <v>0.12</v>
      </c>
      <c r="G25" s="14">
        <v>0.04</v>
      </c>
      <c r="H25" s="14">
        <v>0.05</v>
      </c>
      <c r="I25" s="14">
        <v>0.06</v>
      </c>
      <c r="J25" s="14">
        <v>7.0000000000000007E-2</v>
      </c>
      <c r="K25" s="14">
        <v>7.0000000000000007E-2</v>
      </c>
      <c r="L25" s="14">
        <v>0.03</v>
      </c>
      <c r="M25" s="14">
        <v>0.03</v>
      </c>
      <c r="N25" s="14">
        <v>0.03</v>
      </c>
      <c r="O25" s="14">
        <v>7.0000000000000007E-2</v>
      </c>
      <c r="P25" s="14">
        <v>0.1</v>
      </c>
      <c r="Q25" s="14">
        <v>0.08</v>
      </c>
      <c r="R25" s="14">
        <v>0.05</v>
      </c>
      <c r="S25" s="14">
        <v>0.04</v>
      </c>
      <c r="T25" s="14">
        <v>0.03</v>
      </c>
      <c r="U25" s="14">
        <v>0.04</v>
      </c>
      <c r="V25" s="14">
        <v>0.06</v>
      </c>
      <c r="W25" s="14">
        <v>0.04</v>
      </c>
      <c r="X25" s="14">
        <v>7.0000000000000007E-2</v>
      </c>
      <c r="Y25" s="14">
        <v>0.08</v>
      </c>
      <c r="Z25" s="14">
        <v>0.11</v>
      </c>
      <c r="AA25" s="14">
        <v>0.03</v>
      </c>
      <c r="AB25" s="14">
        <v>0.23</v>
      </c>
      <c r="AC25" s="14">
        <v>0.04</v>
      </c>
      <c r="AD25" s="14">
        <v>0.04</v>
      </c>
      <c r="AE25" s="14">
        <v>0.03</v>
      </c>
      <c r="AF25" s="14">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611</v>
      </c>
      <c r="C3" s="30"/>
      <c r="D3" s="30"/>
      <c r="E3" s="30"/>
      <c r="F3" s="30"/>
      <c r="H3" s="30" t="s">
        <v>612</v>
      </c>
      <c r="I3" s="30"/>
      <c r="J3" s="30"/>
      <c r="K3" s="30"/>
      <c r="L3" s="30"/>
    </row>
    <row r="4" spans="1:32" ht="27" customHeight="1" x14ac:dyDescent="0.35">
      <c r="B4" s="30" t="s">
        <v>613</v>
      </c>
      <c r="C4" s="30"/>
      <c r="D4" s="30"/>
      <c r="E4" s="30"/>
      <c r="F4" s="30"/>
      <c r="H4" s="30" t="s">
        <v>614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13362</v>
      </c>
      <c r="D12" s="12">
        <v>560</v>
      </c>
      <c r="E12" s="12">
        <v>555</v>
      </c>
      <c r="F12" s="12">
        <v>506</v>
      </c>
      <c r="G12" s="12">
        <v>531</v>
      </c>
      <c r="H12" s="12">
        <v>606</v>
      </c>
      <c r="I12" s="12">
        <v>760</v>
      </c>
      <c r="J12" s="12">
        <v>154</v>
      </c>
      <c r="K12" s="12">
        <v>383</v>
      </c>
      <c r="L12" s="12">
        <v>682</v>
      </c>
      <c r="M12" s="12">
        <v>678</v>
      </c>
      <c r="N12" s="12">
        <v>598</v>
      </c>
      <c r="O12" s="12">
        <v>515</v>
      </c>
      <c r="P12" s="12">
        <v>469</v>
      </c>
      <c r="Q12" s="12">
        <v>536</v>
      </c>
      <c r="R12" s="12">
        <v>348</v>
      </c>
      <c r="S12" s="12">
        <v>553</v>
      </c>
      <c r="T12" s="12">
        <v>562</v>
      </c>
      <c r="U12" s="12">
        <v>320</v>
      </c>
      <c r="V12" s="12">
        <v>483</v>
      </c>
      <c r="W12" s="12">
        <v>320</v>
      </c>
      <c r="X12" s="12">
        <v>438</v>
      </c>
      <c r="Y12" s="12">
        <v>573</v>
      </c>
      <c r="Z12" s="12">
        <v>333</v>
      </c>
      <c r="AA12" s="12">
        <v>580</v>
      </c>
      <c r="AB12" s="12">
        <v>390</v>
      </c>
      <c r="AC12" s="12">
        <v>617</v>
      </c>
      <c r="AD12" s="12">
        <v>609</v>
      </c>
      <c r="AE12" s="12">
        <v>448</v>
      </c>
      <c r="AF12" s="12">
        <v>551</v>
      </c>
    </row>
    <row r="13" spans="1:32" x14ac:dyDescent="0.35">
      <c r="A13" s="31"/>
      <c r="B13" s="13" t="s">
        <v>589</v>
      </c>
      <c r="C13" s="14">
        <v>0.51</v>
      </c>
      <c r="D13" s="14">
        <v>0.55000000000000004</v>
      </c>
      <c r="E13" s="14">
        <v>0.53</v>
      </c>
      <c r="F13" s="14">
        <v>0.5</v>
      </c>
      <c r="G13" s="14">
        <v>0.52</v>
      </c>
      <c r="H13" s="14">
        <v>0.49</v>
      </c>
      <c r="I13" s="14">
        <v>0.5</v>
      </c>
      <c r="J13" s="14">
        <v>0.52</v>
      </c>
      <c r="K13" s="14">
        <v>0.38</v>
      </c>
      <c r="L13" s="14">
        <v>0.68</v>
      </c>
      <c r="M13" s="14">
        <v>0.67</v>
      </c>
      <c r="N13" s="14">
        <v>0.6</v>
      </c>
      <c r="O13" s="14">
        <v>0.51</v>
      </c>
      <c r="P13" s="14">
        <v>0.47</v>
      </c>
      <c r="Q13" s="14">
        <v>0.52</v>
      </c>
      <c r="R13" s="14">
        <v>0.69000000000000006</v>
      </c>
      <c r="S13" s="14">
        <v>0.54</v>
      </c>
      <c r="T13" s="14">
        <v>0.55000000000000004</v>
      </c>
      <c r="U13" s="14">
        <v>0.63</v>
      </c>
      <c r="V13" s="14">
        <v>0.48</v>
      </c>
      <c r="W13" s="14">
        <v>0.64</v>
      </c>
      <c r="X13" s="14">
        <v>0.43</v>
      </c>
      <c r="Y13" s="14">
        <v>0.57000000000000006</v>
      </c>
      <c r="Z13" s="14">
        <v>0.33</v>
      </c>
      <c r="AA13" s="14">
        <v>0.56000000000000005</v>
      </c>
      <c r="AB13" s="14">
        <v>0.37</v>
      </c>
      <c r="AC13" s="14">
        <v>0.61</v>
      </c>
      <c r="AD13" s="14">
        <v>0.61</v>
      </c>
      <c r="AE13" s="14">
        <v>0.45</v>
      </c>
      <c r="AF13" s="14">
        <v>0.54</v>
      </c>
    </row>
    <row r="14" spans="1:32" x14ac:dyDescent="0.35">
      <c r="A14" s="31"/>
      <c r="B14" s="11" t="s">
        <v>590</v>
      </c>
      <c r="C14" s="12">
        <v>10590</v>
      </c>
      <c r="D14" s="12">
        <v>381</v>
      </c>
      <c r="E14" s="12">
        <v>361</v>
      </c>
      <c r="F14" s="12">
        <v>372</v>
      </c>
      <c r="G14" s="12">
        <v>394</v>
      </c>
      <c r="H14" s="12">
        <v>514</v>
      </c>
      <c r="I14" s="12">
        <v>624</v>
      </c>
      <c r="J14" s="12">
        <v>110</v>
      </c>
      <c r="K14" s="12">
        <v>470</v>
      </c>
      <c r="L14" s="12">
        <v>289</v>
      </c>
      <c r="M14" s="12">
        <v>299</v>
      </c>
      <c r="N14" s="12">
        <v>346</v>
      </c>
      <c r="O14" s="12">
        <v>405</v>
      </c>
      <c r="P14" s="12">
        <v>451</v>
      </c>
      <c r="Q14" s="12">
        <v>409</v>
      </c>
      <c r="R14" s="12">
        <v>114</v>
      </c>
      <c r="S14" s="12">
        <v>380</v>
      </c>
      <c r="T14" s="12">
        <v>387</v>
      </c>
      <c r="U14" s="12">
        <v>172</v>
      </c>
      <c r="V14" s="12">
        <v>442</v>
      </c>
      <c r="W14" s="12">
        <v>149</v>
      </c>
      <c r="X14" s="12">
        <v>423</v>
      </c>
      <c r="Y14" s="12">
        <v>372</v>
      </c>
      <c r="Z14" s="12">
        <v>563</v>
      </c>
      <c r="AA14" s="12">
        <v>371</v>
      </c>
      <c r="AB14" s="12">
        <v>409</v>
      </c>
      <c r="AC14" s="12">
        <v>331</v>
      </c>
      <c r="AD14" s="12">
        <v>335</v>
      </c>
      <c r="AE14" s="12">
        <v>465</v>
      </c>
      <c r="AF14" s="12">
        <v>415</v>
      </c>
    </row>
    <row r="15" spans="1:32" x14ac:dyDescent="0.35">
      <c r="A15" s="31"/>
      <c r="B15" s="13" t="s">
        <v>591</v>
      </c>
      <c r="C15" s="14">
        <v>0.4</v>
      </c>
      <c r="D15" s="14">
        <v>0.37</v>
      </c>
      <c r="E15" s="14">
        <v>0.35</v>
      </c>
      <c r="F15" s="14">
        <v>0.36</v>
      </c>
      <c r="G15" s="14">
        <v>0.39</v>
      </c>
      <c r="H15" s="14">
        <v>0.42</v>
      </c>
      <c r="I15" s="14">
        <v>0.41</v>
      </c>
      <c r="J15" s="14">
        <v>0.37</v>
      </c>
      <c r="K15" s="14">
        <v>0.47</v>
      </c>
      <c r="L15" s="14">
        <v>0.28999999999999998</v>
      </c>
      <c r="M15" s="14">
        <v>0.3</v>
      </c>
      <c r="N15" s="14">
        <v>0.35</v>
      </c>
      <c r="O15" s="14">
        <v>0.41</v>
      </c>
      <c r="P15" s="14">
        <v>0.45</v>
      </c>
      <c r="Q15" s="14">
        <v>0.39</v>
      </c>
      <c r="R15" s="14">
        <v>0.23</v>
      </c>
      <c r="S15" s="14">
        <v>0.37</v>
      </c>
      <c r="T15" s="14">
        <v>0.38</v>
      </c>
      <c r="U15" s="14">
        <v>0.34</v>
      </c>
      <c r="V15" s="14">
        <v>0.44</v>
      </c>
      <c r="W15" s="14">
        <v>0.3</v>
      </c>
      <c r="X15" s="14">
        <v>0.42</v>
      </c>
      <c r="Y15" s="14">
        <v>0.37</v>
      </c>
      <c r="Z15" s="14">
        <v>0.55000000000000004</v>
      </c>
      <c r="AA15" s="14">
        <v>0.36</v>
      </c>
      <c r="AB15" s="14">
        <v>0.39</v>
      </c>
      <c r="AC15" s="14">
        <v>0.33</v>
      </c>
      <c r="AD15" s="14">
        <v>0.33</v>
      </c>
      <c r="AE15" s="14">
        <v>0.46</v>
      </c>
      <c r="AF15" s="14">
        <v>0.41</v>
      </c>
    </row>
    <row r="16" spans="1:32" x14ac:dyDescent="0.35">
      <c r="A16" s="31"/>
      <c r="B16" s="11" t="s">
        <v>592</v>
      </c>
      <c r="C16" s="12">
        <v>1661</v>
      </c>
      <c r="D16" s="12">
        <v>62</v>
      </c>
      <c r="E16" s="12">
        <v>62</v>
      </c>
      <c r="F16" s="12">
        <v>104</v>
      </c>
      <c r="G16" s="12">
        <v>52</v>
      </c>
      <c r="H16" s="12">
        <v>81</v>
      </c>
      <c r="I16" s="12">
        <v>106</v>
      </c>
      <c r="J16" s="12">
        <v>25</v>
      </c>
      <c r="K16" s="12">
        <v>82</v>
      </c>
      <c r="L16" s="12">
        <v>20</v>
      </c>
      <c r="M16" s="12">
        <v>16</v>
      </c>
      <c r="N16" s="12">
        <v>23</v>
      </c>
      <c r="O16" s="12">
        <v>48</v>
      </c>
      <c r="P16" s="12">
        <v>66</v>
      </c>
      <c r="Q16" s="12">
        <v>62</v>
      </c>
      <c r="R16" s="12">
        <v>25</v>
      </c>
      <c r="S16" s="12">
        <v>45</v>
      </c>
      <c r="T16" s="12">
        <v>30</v>
      </c>
      <c r="U16" s="12">
        <v>14</v>
      </c>
      <c r="V16" s="12">
        <v>73</v>
      </c>
      <c r="W16" s="12">
        <v>23</v>
      </c>
      <c r="X16" s="12">
        <v>133</v>
      </c>
      <c r="Y16" s="12">
        <v>46</v>
      </c>
      <c r="Z16" s="12">
        <v>87</v>
      </c>
      <c r="AA16" s="12">
        <v>16</v>
      </c>
      <c r="AB16" s="12">
        <v>180</v>
      </c>
      <c r="AC16" s="12">
        <v>40</v>
      </c>
      <c r="AD16" s="12">
        <v>45</v>
      </c>
      <c r="AE16" s="12">
        <v>55</v>
      </c>
      <c r="AF16" s="12">
        <v>50</v>
      </c>
    </row>
    <row r="17" spans="1:32" x14ac:dyDescent="0.35">
      <c r="A17" s="31"/>
      <c r="B17" s="13" t="s">
        <v>593</v>
      </c>
      <c r="C17" s="14">
        <v>0.06</v>
      </c>
      <c r="D17" s="14">
        <v>0.06</v>
      </c>
      <c r="E17" s="14">
        <v>0.06</v>
      </c>
      <c r="F17" s="14">
        <v>0.1</v>
      </c>
      <c r="G17" s="14">
        <v>0.05</v>
      </c>
      <c r="H17" s="14">
        <v>7.0000000000000007E-2</v>
      </c>
      <c r="I17" s="14">
        <v>7.0000000000000007E-2</v>
      </c>
      <c r="J17" s="14">
        <v>0.08</v>
      </c>
      <c r="K17" s="14">
        <v>0.08</v>
      </c>
      <c r="L17" s="14">
        <v>0.02</v>
      </c>
      <c r="M17" s="14">
        <v>0.01</v>
      </c>
      <c r="N17" s="14">
        <v>0.02</v>
      </c>
      <c r="O17" s="14">
        <v>0.05</v>
      </c>
      <c r="P17" s="14">
        <v>7.0000000000000007E-2</v>
      </c>
      <c r="Q17" s="14">
        <v>0.06</v>
      </c>
      <c r="R17" s="14">
        <v>0.05</v>
      </c>
      <c r="S17" s="14">
        <v>0.05</v>
      </c>
      <c r="T17" s="14">
        <v>0.03</v>
      </c>
      <c r="U17" s="14">
        <v>0.03</v>
      </c>
      <c r="V17" s="14">
        <v>7.0000000000000007E-2</v>
      </c>
      <c r="W17" s="14">
        <v>0.05</v>
      </c>
      <c r="X17" s="14">
        <v>0.13</v>
      </c>
      <c r="Y17" s="14">
        <v>0.05</v>
      </c>
      <c r="Z17" s="14">
        <v>0.08</v>
      </c>
      <c r="AA17" s="14">
        <v>0.02</v>
      </c>
      <c r="AB17" s="14">
        <v>0.17</v>
      </c>
      <c r="AC17" s="14">
        <v>0.04</v>
      </c>
      <c r="AD17" s="14">
        <v>0.04</v>
      </c>
      <c r="AE17" s="14">
        <v>0.05</v>
      </c>
      <c r="AF17" s="14">
        <v>0.05</v>
      </c>
    </row>
    <row r="18" spans="1:32" x14ac:dyDescent="0.35">
      <c r="A18" s="31"/>
      <c r="B18" s="11" t="s">
        <v>594</v>
      </c>
      <c r="C18" s="12">
        <v>314</v>
      </c>
      <c r="D18" s="12">
        <v>10</v>
      </c>
      <c r="E18" s="12">
        <v>27</v>
      </c>
      <c r="F18" s="12">
        <v>27</v>
      </c>
      <c r="G18" s="12">
        <v>10</v>
      </c>
      <c r="H18" s="12">
        <v>13</v>
      </c>
      <c r="I18" s="12">
        <v>18</v>
      </c>
      <c r="J18" s="12">
        <v>5</v>
      </c>
      <c r="K18" s="12">
        <v>30</v>
      </c>
      <c r="L18" s="12">
        <v>6</v>
      </c>
      <c r="M18" s="12">
        <v>6</v>
      </c>
      <c r="N18" s="12">
        <v>8</v>
      </c>
      <c r="O18" s="12">
        <v>8</v>
      </c>
      <c r="P18" s="12">
        <v>5</v>
      </c>
      <c r="Q18" s="12">
        <v>10</v>
      </c>
      <c r="R18" s="12">
        <v>6</v>
      </c>
      <c r="S18" s="12">
        <v>9</v>
      </c>
      <c r="T18" s="12">
        <v>6</v>
      </c>
      <c r="U18" s="12">
        <v>1</v>
      </c>
      <c r="V18" s="12">
        <v>13</v>
      </c>
      <c r="W18" s="12">
        <v>2</v>
      </c>
      <c r="X18" s="12">
        <v>10</v>
      </c>
      <c r="Y18" s="12">
        <v>8</v>
      </c>
      <c r="Z18" s="12">
        <v>21</v>
      </c>
      <c r="AA18" s="12">
        <v>6</v>
      </c>
      <c r="AB18" s="12">
        <v>41</v>
      </c>
      <c r="AC18" s="12">
        <v>10</v>
      </c>
      <c r="AD18" s="12">
        <v>10</v>
      </c>
      <c r="AE18" s="12">
        <v>10</v>
      </c>
      <c r="AF18" s="12">
        <v>2</v>
      </c>
    </row>
    <row r="19" spans="1:32" x14ac:dyDescent="0.35">
      <c r="A19" s="31"/>
      <c r="B19" s="13" t="s">
        <v>595</v>
      </c>
      <c r="C19" s="14">
        <v>0.01</v>
      </c>
      <c r="D19" s="14">
        <v>0.01</v>
      </c>
      <c r="E19" s="14">
        <v>0.03</v>
      </c>
      <c r="F19" s="14">
        <v>0.03</v>
      </c>
      <c r="G19" s="14">
        <v>0.01</v>
      </c>
      <c r="H19" s="14">
        <v>0.01</v>
      </c>
      <c r="I19" s="14">
        <v>0.01</v>
      </c>
      <c r="J19" s="14">
        <v>0.02</v>
      </c>
      <c r="K19" s="14">
        <v>0.03</v>
      </c>
      <c r="L19" s="15" t="s">
        <v>333</v>
      </c>
      <c r="M19" s="14">
        <v>0.01</v>
      </c>
      <c r="N19" s="14">
        <v>0.01</v>
      </c>
      <c r="O19" s="14">
        <v>0.01</v>
      </c>
      <c r="P19" s="15" t="s">
        <v>333</v>
      </c>
      <c r="Q19" s="14">
        <v>0.01</v>
      </c>
      <c r="R19" s="14">
        <v>0.01</v>
      </c>
      <c r="S19" s="14">
        <v>0.01</v>
      </c>
      <c r="T19" s="14">
        <v>0.01</v>
      </c>
      <c r="U19" s="15" t="s">
        <v>333</v>
      </c>
      <c r="V19" s="14">
        <v>0.01</v>
      </c>
      <c r="W19" s="15" t="s">
        <v>333</v>
      </c>
      <c r="X19" s="14">
        <v>0.01</v>
      </c>
      <c r="Y19" s="14">
        <v>0.01</v>
      </c>
      <c r="Z19" s="14">
        <v>0.02</v>
      </c>
      <c r="AA19" s="14">
        <v>0.01</v>
      </c>
      <c r="AB19" s="14">
        <v>0.04</v>
      </c>
      <c r="AC19" s="14">
        <v>0.01</v>
      </c>
      <c r="AD19" s="14">
        <v>0.01</v>
      </c>
      <c r="AE19" s="14">
        <v>0.01</v>
      </c>
      <c r="AF19" s="15" t="s">
        <v>333</v>
      </c>
    </row>
    <row r="20" spans="1:32" x14ac:dyDescent="0.35">
      <c r="A20" s="31"/>
      <c r="B20" s="11" t="s">
        <v>344</v>
      </c>
      <c r="C20" s="12">
        <v>483</v>
      </c>
      <c r="D20" s="12">
        <v>12</v>
      </c>
      <c r="E20" s="12">
        <v>34</v>
      </c>
      <c r="F20" s="12">
        <v>9</v>
      </c>
      <c r="G20" s="12">
        <v>30</v>
      </c>
      <c r="H20" s="12">
        <v>18</v>
      </c>
      <c r="I20" s="12">
        <v>22</v>
      </c>
      <c r="J20" s="12">
        <v>4</v>
      </c>
      <c r="K20" s="12">
        <v>44</v>
      </c>
      <c r="L20" s="12">
        <v>7</v>
      </c>
      <c r="M20" s="12">
        <v>6</v>
      </c>
      <c r="N20" s="12">
        <v>24</v>
      </c>
      <c r="O20" s="12">
        <v>24</v>
      </c>
      <c r="P20" s="12">
        <v>13</v>
      </c>
      <c r="Q20" s="12">
        <v>18</v>
      </c>
      <c r="R20" s="12">
        <v>8</v>
      </c>
      <c r="S20" s="12">
        <v>34</v>
      </c>
      <c r="T20" s="12">
        <v>32</v>
      </c>
      <c r="U20" s="12">
        <v>3</v>
      </c>
      <c r="V20" s="12">
        <v>3</v>
      </c>
      <c r="W20" s="12">
        <v>7</v>
      </c>
      <c r="X20" s="12">
        <v>6</v>
      </c>
      <c r="Y20" s="12">
        <v>4</v>
      </c>
      <c r="Z20" s="12">
        <v>16</v>
      </c>
      <c r="AA20" s="12">
        <v>57</v>
      </c>
      <c r="AB20" s="12">
        <v>35</v>
      </c>
      <c r="AC20" s="12">
        <v>15</v>
      </c>
      <c r="AD20" s="12">
        <v>5</v>
      </c>
      <c r="AE20" s="12">
        <v>28</v>
      </c>
      <c r="AF20" s="12">
        <v>1</v>
      </c>
    </row>
    <row r="21" spans="1:32" x14ac:dyDescent="0.35">
      <c r="A21" s="31"/>
      <c r="B21" s="13" t="s">
        <v>357</v>
      </c>
      <c r="C21" s="14">
        <v>0.02</v>
      </c>
      <c r="D21" s="14">
        <v>0.01</v>
      </c>
      <c r="E21" s="14">
        <v>0.03</v>
      </c>
      <c r="F21" s="14">
        <v>0.01</v>
      </c>
      <c r="G21" s="14">
        <v>0.03</v>
      </c>
      <c r="H21" s="14">
        <v>0.01</v>
      </c>
      <c r="I21" s="14">
        <v>0.01</v>
      </c>
      <c r="J21" s="14">
        <v>0.01</v>
      </c>
      <c r="K21" s="14">
        <v>0.04</v>
      </c>
      <c r="L21" s="14">
        <v>0.01</v>
      </c>
      <c r="M21" s="14">
        <v>0.01</v>
      </c>
      <c r="N21" s="14">
        <v>0.02</v>
      </c>
      <c r="O21" s="14">
        <v>0.02</v>
      </c>
      <c r="P21" s="14">
        <v>0.01</v>
      </c>
      <c r="Q21" s="14">
        <v>0.02</v>
      </c>
      <c r="R21" s="14">
        <v>0.02</v>
      </c>
      <c r="S21" s="14">
        <v>0.03</v>
      </c>
      <c r="T21" s="14">
        <v>0.03</v>
      </c>
      <c r="U21" s="15" t="s">
        <v>333</v>
      </c>
      <c r="V21" s="15" t="s">
        <v>333</v>
      </c>
      <c r="W21" s="14">
        <v>0.01</v>
      </c>
      <c r="X21" s="14">
        <v>0.01</v>
      </c>
      <c r="Y21" s="15" t="s">
        <v>333</v>
      </c>
      <c r="Z21" s="14">
        <v>0.02</v>
      </c>
      <c r="AA21" s="14">
        <v>0.05</v>
      </c>
      <c r="AB21" s="14">
        <v>0.03</v>
      </c>
      <c r="AC21" s="14">
        <v>0.01</v>
      </c>
      <c r="AD21" s="14">
        <v>0.01</v>
      </c>
      <c r="AE21" s="14">
        <v>0.03</v>
      </c>
      <c r="AF21" s="15" t="s">
        <v>333</v>
      </c>
    </row>
    <row r="22" spans="1:32" x14ac:dyDescent="0.35">
      <c r="A22" s="31"/>
      <c r="B22" s="11" t="s">
        <v>596</v>
      </c>
      <c r="C22" s="12">
        <v>23952</v>
      </c>
      <c r="D22" s="12">
        <v>941</v>
      </c>
      <c r="E22" s="12">
        <v>916</v>
      </c>
      <c r="F22" s="12">
        <v>878</v>
      </c>
      <c r="G22" s="12">
        <v>925</v>
      </c>
      <c r="H22" s="12">
        <v>1120</v>
      </c>
      <c r="I22" s="12">
        <v>1384</v>
      </c>
      <c r="J22" s="12">
        <v>264</v>
      </c>
      <c r="K22" s="12">
        <v>853</v>
      </c>
      <c r="L22" s="12">
        <v>971</v>
      </c>
      <c r="M22" s="12">
        <v>977</v>
      </c>
      <c r="N22" s="12">
        <v>944</v>
      </c>
      <c r="O22" s="12">
        <v>920</v>
      </c>
      <c r="P22" s="12">
        <v>920</v>
      </c>
      <c r="Q22" s="12">
        <v>945</v>
      </c>
      <c r="R22" s="12">
        <v>462</v>
      </c>
      <c r="S22" s="12">
        <v>933</v>
      </c>
      <c r="T22" s="12">
        <v>949</v>
      </c>
      <c r="U22" s="12">
        <v>492</v>
      </c>
      <c r="V22" s="12">
        <v>925</v>
      </c>
      <c r="W22" s="12">
        <v>469</v>
      </c>
      <c r="X22" s="12">
        <v>861</v>
      </c>
      <c r="Y22" s="12">
        <v>945</v>
      </c>
      <c r="Z22" s="12">
        <v>896</v>
      </c>
      <c r="AA22" s="12">
        <v>951</v>
      </c>
      <c r="AB22" s="12">
        <v>799</v>
      </c>
      <c r="AC22" s="12">
        <v>948</v>
      </c>
      <c r="AD22" s="12">
        <v>944</v>
      </c>
      <c r="AE22" s="12">
        <v>913</v>
      </c>
      <c r="AF22" s="12">
        <v>966</v>
      </c>
    </row>
    <row r="23" spans="1:32" x14ac:dyDescent="0.35">
      <c r="A23" s="31"/>
      <c r="B23" s="13" t="s">
        <v>596</v>
      </c>
      <c r="C23" s="14">
        <v>0.91</v>
      </c>
      <c r="D23" s="14">
        <v>0.92</v>
      </c>
      <c r="E23" s="14">
        <v>0.88</v>
      </c>
      <c r="F23" s="14">
        <v>0.86</v>
      </c>
      <c r="G23" s="14">
        <v>0.91</v>
      </c>
      <c r="H23" s="14">
        <v>0.91</v>
      </c>
      <c r="I23" s="14">
        <v>0.91</v>
      </c>
      <c r="J23" s="14">
        <v>0.89</v>
      </c>
      <c r="K23" s="14">
        <v>0.85</v>
      </c>
      <c r="L23" s="14">
        <v>0.97</v>
      </c>
      <c r="M23" s="14">
        <v>0.97</v>
      </c>
      <c r="N23" s="14">
        <v>0.95000000000000007</v>
      </c>
      <c r="O23" s="14">
        <v>0.92</v>
      </c>
      <c r="P23" s="14">
        <v>0.92</v>
      </c>
      <c r="Q23" s="14">
        <v>0.91</v>
      </c>
      <c r="R23" s="14">
        <v>0.92</v>
      </c>
      <c r="S23" s="14">
        <v>0.91</v>
      </c>
      <c r="T23" s="14">
        <v>0.93</v>
      </c>
      <c r="U23" s="14">
        <v>0.97</v>
      </c>
      <c r="V23" s="14">
        <v>0.92</v>
      </c>
      <c r="W23" s="14">
        <v>0.94000000000000006</v>
      </c>
      <c r="X23" s="14">
        <v>0.85</v>
      </c>
      <c r="Y23" s="14">
        <v>0.94000000000000006</v>
      </c>
      <c r="Z23" s="14">
        <v>0.88</v>
      </c>
      <c r="AA23" s="14">
        <v>0.92</v>
      </c>
      <c r="AB23" s="14">
        <v>0.76</v>
      </c>
      <c r="AC23" s="14">
        <v>0.94000000000000006</v>
      </c>
      <c r="AD23" s="14">
        <v>0.94000000000000006</v>
      </c>
      <c r="AE23" s="14">
        <v>0.91</v>
      </c>
      <c r="AF23" s="14">
        <v>0.95000000000000007</v>
      </c>
    </row>
    <row r="24" spans="1:32" x14ac:dyDescent="0.35">
      <c r="A24" s="31"/>
      <c r="B24" s="11" t="s">
        <v>597</v>
      </c>
      <c r="C24" s="12">
        <v>1975</v>
      </c>
      <c r="D24" s="12">
        <v>72</v>
      </c>
      <c r="E24" s="12">
        <v>89</v>
      </c>
      <c r="F24" s="12">
        <v>131</v>
      </c>
      <c r="G24" s="12">
        <v>62</v>
      </c>
      <c r="H24" s="12">
        <v>94</v>
      </c>
      <c r="I24" s="12">
        <v>124</v>
      </c>
      <c r="J24" s="12">
        <v>30</v>
      </c>
      <c r="K24" s="12">
        <v>112</v>
      </c>
      <c r="L24" s="12">
        <v>26</v>
      </c>
      <c r="M24" s="12">
        <v>22</v>
      </c>
      <c r="N24" s="12">
        <v>31</v>
      </c>
      <c r="O24" s="12">
        <v>56</v>
      </c>
      <c r="P24" s="12">
        <v>71</v>
      </c>
      <c r="Q24" s="12">
        <v>72</v>
      </c>
      <c r="R24" s="12">
        <v>31</v>
      </c>
      <c r="S24" s="12">
        <v>54</v>
      </c>
      <c r="T24" s="12">
        <v>36</v>
      </c>
      <c r="U24" s="12">
        <v>15</v>
      </c>
      <c r="V24" s="12">
        <v>86</v>
      </c>
      <c r="W24" s="12">
        <v>25</v>
      </c>
      <c r="X24" s="12">
        <v>143</v>
      </c>
      <c r="Y24" s="12">
        <v>54</v>
      </c>
      <c r="Z24" s="12">
        <v>108</v>
      </c>
      <c r="AA24" s="12">
        <v>22</v>
      </c>
      <c r="AB24" s="12">
        <v>221</v>
      </c>
      <c r="AC24" s="12">
        <v>50</v>
      </c>
      <c r="AD24" s="12">
        <v>55</v>
      </c>
      <c r="AE24" s="12">
        <v>65</v>
      </c>
      <c r="AF24" s="12">
        <v>52</v>
      </c>
    </row>
    <row r="25" spans="1:32" x14ac:dyDescent="0.35">
      <c r="A25" s="31"/>
      <c r="B25" s="13" t="s">
        <v>598</v>
      </c>
      <c r="C25" s="14">
        <v>7.0000000000000007E-2</v>
      </c>
      <c r="D25" s="14">
        <v>7.0000000000000007E-2</v>
      </c>
      <c r="E25" s="14">
        <v>0.09</v>
      </c>
      <c r="F25" s="14">
        <v>0.13</v>
      </c>
      <c r="G25" s="14">
        <v>0.06</v>
      </c>
      <c r="H25" s="14">
        <v>0.08</v>
      </c>
      <c r="I25" s="14">
        <v>0.08</v>
      </c>
      <c r="J25" s="14">
        <v>0.1</v>
      </c>
      <c r="K25" s="14">
        <v>0.11</v>
      </c>
      <c r="L25" s="14">
        <v>0.02</v>
      </c>
      <c r="M25" s="14">
        <v>0.02</v>
      </c>
      <c r="N25" s="14">
        <v>0.03</v>
      </c>
      <c r="O25" s="14">
        <v>0.06</v>
      </c>
      <c r="P25" s="14">
        <v>7.0000000000000007E-2</v>
      </c>
      <c r="Q25" s="14">
        <v>7.0000000000000007E-2</v>
      </c>
      <c r="R25" s="14">
        <v>0.06</v>
      </c>
      <c r="S25" s="14">
        <v>0.06</v>
      </c>
      <c r="T25" s="14">
        <v>0.04</v>
      </c>
      <c r="U25" s="14">
        <v>0.03</v>
      </c>
      <c r="V25" s="14">
        <v>0.08</v>
      </c>
      <c r="W25" s="14">
        <v>0.05</v>
      </c>
      <c r="X25" s="14">
        <v>0.14000000000000001</v>
      </c>
      <c r="Y25" s="14">
        <v>0.06</v>
      </c>
      <c r="Z25" s="14">
        <v>0.1</v>
      </c>
      <c r="AA25" s="14">
        <v>0.03</v>
      </c>
      <c r="AB25" s="14">
        <v>0.21</v>
      </c>
      <c r="AC25" s="14">
        <v>0.05</v>
      </c>
      <c r="AD25" s="14">
        <v>0.05</v>
      </c>
      <c r="AE25" s="14">
        <v>0.06</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71</v>
      </c>
      <c r="C3" s="30"/>
      <c r="D3" s="30"/>
      <c r="E3" s="30"/>
      <c r="F3" s="30"/>
      <c r="H3" s="30" t="s">
        <v>72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12958</v>
      </c>
      <c r="D12" s="12">
        <v>559</v>
      </c>
      <c r="E12" s="12">
        <v>510</v>
      </c>
      <c r="F12" s="12">
        <v>486</v>
      </c>
      <c r="G12" s="12">
        <v>808</v>
      </c>
      <c r="H12" s="12">
        <v>729</v>
      </c>
      <c r="I12" s="12">
        <v>904</v>
      </c>
      <c r="J12" s="12">
        <v>175</v>
      </c>
      <c r="K12" s="12">
        <v>371</v>
      </c>
      <c r="L12" s="12">
        <v>652</v>
      </c>
      <c r="M12" s="12">
        <v>640</v>
      </c>
      <c r="N12" s="12">
        <v>520</v>
      </c>
      <c r="O12" s="12">
        <v>540</v>
      </c>
      <c r="P12" s="12">
        <v>338</v>
      </c>
      <c r="Q12" s="12">
        <v>356</v>
      </c>
      <c r="R12" s="12">
        <v>385</v>
      </c>
      <c r="S12" s="12">
        <v>527</v>
      </c>
      <c r="T12" s="12">
        <v>504</v>
      </c>
      <c r="U12" s="12">
        <v>295</v>
      </c>
      <c r="V12" s="12">
        <v>332</v>
      </c>
      <c r="W12" s="12">
        <v>340</v>
      </c>
      <c r="X12" s="12">
        <v>681</v>
      </c>
      <c r="Y12" s="12">
        <v>478</v>
      </c>
      <c r="Z12" s="12">
        <v>206</v>
      </c>
      <c r="AA12" s="12">
        <v>533</v>
      </c>
      <c r="AB12" s="12">
        <v>235</v>
      </c>
      <c r="AC12" s="12">
        <v>624</v>
      </c>
      <c r="AD12" s="12">
        <v>546</v>
      </c>
      <c r="AE12" s="12">
        <v>754</v>
      </c>
      <c r="AF12" s="12">
        <v>795</v>
      </c>
    </row>
    <row r="13" spans="1:32" x14ac:dyDescent="0.35">
      <c r="A13" s="31"/>
      <c r="B13" s="13" t="s">
        <v>589</v>
      </c>
      <c r="C13" s="14">
        <v>0.49</v>
      </c>
      <c r="D13" s="14">
        <v>0.55000000000000004</v>
      </c>
      <c r="E13" s="14">
        <v>0.49</v>
      </c>
      <c r="F13" s="14">
        <v>0.48</v>
      </c>
      <c r="G13" s="14">
        <v>0.79</v>
      </c>
      <c r="H13" s="14">
        <v>0.59</v>
      </c>
      <c r="I13" s="14">
        <v>0.59</v>
      </c>
      <c r="J13" s="14">
        <v>0.59</v>
      </c>
      <c r="K13" s="14">
        <v>0.37</v>
      </c>
      <c r="L13" s="14">
        <v>0.65</v>
      </c>
      <c r="M13" s="14">
        <v>0.64</v>
      </c>
      <c r="N13" s="14">
        <v>0.52</v>
      </c>
      <c r="O13" s="14">
        <v>0.54</v>
      </c>
      <c r="P13" s="14">
        <v>0.34</v>
      </c>
      <c r="Q13" s="14">
        <v>0.34</v>
      </c>
      <c r="R13" s="14">
        <v>0.77</v>
      </c>
      <c r="S13" s="14">
        <v>0.52</v>
      </c>
      <c r="T13" s="14">
        <v>0.49</v>
      </c>
      <c r="U13" s="14">
        <v>0.57999999999999996</v>
      </c>
      <c r="V13" s="14">
        <v>0.33</v>
      </c>
      <c r="W13" s="14">
        <v>0.68</v>
      </c>
      <c r="X13" s="14">
        <v>0.68</v>
      </c>
      <c r="Y13" s="14">
        <v>0.48</v>
      </c>
      <c r="Z13" s="14">
        <v>0.2</v>
      </c>
      <c r="AA13" s="14">
        <v>0.52</v>
      </c>
      <c r="AB13" s="14">
        <v>0.22</v>
      </c>
      <c r="AC13" s="14">
        <v>0.61</v>
      </c>
      <c r="AD13" s="14">
        <v>0.54</v>
      </c>
      <c r="AE13" s="14">
        <v>0.75</v>
      </c>
      <c r="AF13" s="14">
        <v>0.78</v>
      </c>
    </row>
    <row r="14" spans="1:32" x14ac:dyDescent="0.35">
      <c r="A14" s="31"/>
      <c r="B14" s="11" t="s">
        <v>590</v>
      </c>
      <c r="C14" s="12">
        <v>11134</v>
      </c>
      <c r="D14" s="12">
        <v>409</v>
      </c>
      <c r="E14" s="12">
        <v>406</v>
      </c>
      <c r="F14" s="12">
        <v>415</v>
      </c>
      <c r="G14" s="12">
        <v>162</v>
      </c>
      <c r="H14" s="12">
        <v>435</v>
      </c>
      <c r="I14" s="12">
        <v>535</v>
      </c>
      <c r="J14" s="12">
        <v>100</v>
      </c>
      <c r="K14" s="12">
        <v>495</v>
      </c>
      <c r="L14" s="12">
        <v>321</v>
      </c>
      <c r="M14" s="12">
        <v>322</v>
      </c>
      <c r="N14" s="12">
        <v>410</v>
      </c>
      <c r="O14" s="12">
        <v>373</v>
      </c>
      <c r="P14" s="12">
        <v>528</v>
      </c>
      <c r="Q14" s="12">
        <v>587</v>
      </c>
      <c r="R14" s="12">
        <v>84</v>
      </c>
      <c r="S14" s="12">
        <v>393</v>
      </c>
      <c r="T14" s="12">
        <v>446</v>
      </c>
      <c r="U14" s="12">
        <v>185</v>
      </c>
      <c r="V14" s="12">
        <v>600</v>
      </c>
      <c r="W14" s="12">
        <v>132</v>
      </c>
      <c r="X14" s="12">
        <v>265</v>
      </c>
      <c r="Y14" s="12">
        <v>429</v>
      </c>
      <c r="Z14" s="12">
        <v>682</v>
      </c>
      <c r="AA14" s="12">
        <v>428</v>
      </c>
      <c r="AB14" s="12">
        <v>486</v>
      </c>
      <c r="AC14" s="12">
        <v>322</v>
      </c>
      <c r="AD14" s="12">
        <v>377</v>
      </c>
      <c r="AE14" s="12">
        <v>222</v>
      </c>
      <c r="AF14" s="12">
        <v>206</v>
      </c>
    </row>
    <row r="15" spans="1:32" x14ac:dyDescent="0.35">
      <c r="A15" s="31"/>
      <c r="B15" s="13" t="s">
        <v>591</v>
      </c>
      <c r="C15" s="14">
        <v>0.42</v>
      </c>
      <c r="D15" s="14">
        <v>0.4</v>
      </c>
      <c r="E15" s="14">
        <v>0.39</v>
      </c>
      <c r="F15" s="14">
        <v>0.41</v>
      </c>
      <c r="G15" s="14">
        <v>0.16</v>
      </c>
      <c r="H15" s="14">
        <v>0.35</v>
      </c>
      <c r="I15" s="14">
        <v>0.35</v>
      </c>
      <c r="J15" s="14">
        <v>0.34</v>
      </c>
      <c r="K15" s="14">
        <v>0.49</v>
      </c>
      <c r="L15" s="14">
        <v>0.32</v>
      </c>
      <c r="M15" s="14">
        <v>0.32</v>
      </c>
      <c r="N15" s="14">
        <v>0.41</v>
      </c>
      <c r="O15" s="14">
        <v>0.37</v>
      </c>
      <c r="P15" s="14">
        <v>0.53</v>
      </c>
      <c r="Q15" s="14">
        <v>0.57000000000000006</v>
      </c>
      <c r="R15" s="14">
        <v>0.17</v>
      </c>
      <c r="S15" s="14">
        <v>0.38</v>
      </c>
      <c r="T15" s="14">
        <v>0.44</v>
      </c>
      <c r="U15" s="14">
        <v>0.37</v>
      </c>
      <c r="V15" s="14">
        <v>0.59</v>
      </c>
      <c r="W15" s="14">
        <v>0.26</v>
      </c>
      <c r="X15" s="14">
        <v>0.26</v>
      </c>
      <c r="Y15" s="14">
        <v>0.43</v>
      </c>
      <c r="Z15" s="14">
        <v>0.67</v>
      </c>
      <c r="AA15" s="14">
        <v>0.42</v>
      </c>
      <c r="AB15" s="14">
        <v>0.46</v>
      </c>
      <c r="AC15" s="14">
        <v>0.32</v>
      </c>
      <c r="AD15" s="14">
        <v>0.38</v>
      </c>
      <c r="AE15" s="14">
        <v>0.22</v>
      </c>
      <c r="AF15" s="14">
        <v>0.2</v>
      </c>
    </row>
    <row r="16" spans="1:32" x14ac:dyDescent="0.35">
      <c r="A16" s="31"/>
      <c r="B16" s="11" t="s">
        <v>592</v>
      </c>
      <c r="C16" s="12">
        <v>1450</v>
      </c>
      <c r="D16" s="12">
        <v>49</v>
      </c>
      <c r="E16" s="12">
        <v>62</v>
      </c>
      <c r="F16" s="12">
        <v>97</v>
      </c>
      <c r="G16" s="12">
        <v>17</v>
      </c>
      <c r="H16" s="12">
        <v>35</v>
      </c>
      <c r="I16" s="12">
        <v>52</v>
      </c>
      <c r="J16" s="12">
        <v>17</v>
      </c>
      <c r="K16" s="12">
        <v>90</v>
      </c>
      <c r="L16" s="12">
        <v>11</v>
      </c>
      <c r="M16" s="12">
        <v>28</v>
      </c>
      <c r="N16" s="12">
        <v>22</v>
      </c>
      <c r="O16" s="12">
        <v>48</v>
      </c>
      <c r="P16" s="12">
        <v>91</v>
      </c>
      <c r="Q16" s="12">
        <v>61</v>
      </c>
      <c r="R16" s="12">
        <v>19</v>
      </c>
      <c r="S16" s="12">
        <v>52</v>
      </c>
      <c r="T16" s="12">
        <v>28</v>
      </c>
      <c r="U16" s="12">
        <v>16</v>
      </c>
      <c r="V16" s="12">
        <v>73</v>
      </c>
      <c r="W16" s="12">
        <v>19</v>
      </c>
      <c r="X16" s="12">
        <v>51</v>
      </c>
      <c r="Y16" s="12">
        <v>70</v>
      </c>
      <c r="Z16" s="12">
        <v>101</v>
      </c>
      <c r="AA16" s="12">
        <v>23</v>
      </c>
      <c r="AB16" s="12">
        <v>233</v>
      </c>
      <c r="AC16" s="12">
        <v>48</v>
      </c>
      <c r="AD16" s="12">
        <v>52</v>
      </c>
      <c r="AE16" s="12">
        <v>17</v>
      </c>
      <c r="AF16" s="12">
        <v>15</v>
      </c>
    </row>
    <row r="17" spans="1:32" x14ac:dyDescent="0.35">
      <c r="A17" s="31"/>
      <c r="B17" s="13" t="s">
        <v>593</v>
      </c>
      <c r="C17" s="14">
        <v>0.06</v>
      </c>
      <c r="D17" s="14">
        <v>0.05</v>
      </c>
      <c r="E17" s="14">
        <v>0.06</v>
      </c>
      <c r="F17" s="14">
        <v>0.09</v>
      </c>
      <c r="G17" s="14">
        <v>0.02</v>
      </c>
      <c r="H17" s="14">
        <v>0.03</v>
      </c>
      <c r="I17" s="14">
        <v>0.03</v>
      </c>
      <c r="J17" s="14">
        <v>0.06</v>
      </c>
      <c r="K17" s="14">
        <v>0.09</v>
      </c>
      <c r="L17" s="14">
        <v>0.01</v>
      </c>
      <c r="M17" s="14">
        <v>0.03</v>
      </c>
      <c r="N17" s="14">
        <v>0.02</v>
      </c>
      <c r="O17" s="14">
        <v>0.05</v>
      </c>
      <c r="P17" s="14">
        <v>0.09</v>
      </c>
      <c r="Q17" s="14">
        <v>0.06</v>
      </c>
      <c r="R17" s="14">
        <v>0.04</v>
      </c>
      <c r="S17" s="14">
        <v>0.05</v>
      </c>
      <c r="T17" s="14">
        <v>0.03</v>
      </c>
      <c r="U17" s="14">
        <v>0.03</v>
      </c>
      <c r="V17" s="14">
        <v>7.0000000000000007E-2</v>
      </c>
      <c r="W17" s="14">
        <v>0.04</v>
      </c>
      <c r="X17" s="14">
        <v>0.05</v>
      </c>
      <c r="Y17" s="14">
        <v>7.0000000000000007E-2</v>
      </c>
      <c r="Z17" s="14">
        <v>0.1</v>
      </c>
      <c r="AA17" s="14">
        <v>0.02</v>
      </c>
      <c r="AB17" s="14">
        <v>0.22</v>
      </c>
      <c r="AC17" s="14">
        <v>0.05</v>
      </c>
      <c r="AD17" s="14">
        <v>0.05</v>
      </c>
      <c r="AE17" s="14">
        <v>0.02</v>
      </c>
      <c r="AF17" s="14">
        <v>0.02</v>
      </c>
    </row>
    <row r="18" spans="1:32" x14ac:dyDescent="0.35">
      <c r="A18" s="31"/>
      <c r="B18" s="11" t="s">
        <v>594</v>
      </c>
      <c r="C18" s="12">
        <v>362</v>
      </c>
      <c r="D18" s="12">
        <v>4</v>
      </c>
      <c r="E18" s="12">
        <v>19</v>
      </c>
      <c r="F18" s="12">
        <v>11</v>
      </c>
      <c r="G18" s="12">
        <v>4</v>
      </c>
      <c r="H18" s="12">
        <v>11</v>
      </c>
      <c r="I18" s="12">
        <v>15</v>
      </c>
      <c r="J18" s="12">
        <v>5</v>
      </c>
      <c r="K18" s="12">
        <v>17</v>
      </c>
      <c r="L18" s="12">
        <v>8</v>
      </c>
      <c r="M18" s="12">
        <v>11</v>
      </c>
      <c r="N18" s="12">
        <v>13</v>
      </c>
      <c r="O18" s="12">
        <v>11</v>
      </c>
      <c r="P18" s="12">
        <v>34</v>
      </c>
      <c r="Q18" s="12">
        <v>17</v>
      </c>
      <c r="R18" s="12">
        <v>6</v>
      </c>
      <c r="S18" s="12">
        <v>13</v>
      </c>
      <c r="T18" s="12">
        <v>8</v>
      </c>
      <c r="U18" s="12">
        <v>7</v>
      </c>
      <c r="V18" s="12">
        <v>7</v>
      </c>
      <c r="W18" s="12">
        <v>1</v>
      </c>
      <c r="X18" s="12">
        <v>9</v>
      </c>
      <c r="Y18" s="12">
        <v>14</v>
      </c>
      <c r="Z18" s="12">
        <v>12</v>
      </c>
      <c r="AA18" s="12">
        <v>4</v>
      </c>
      <c r="AB18" s="12">
        <v>71</v>
      </c>
      <c r="AC18" s="12">
        <v>11</v>
      </c>
      <c r="AD18" s="12">
        <v>19</v>
      </c>
      <c r="AE18" s="12">
        <v>5</v>
      </c>
      <c r="AF18" s="12">
        <v>4</v>
      </c>
    </row>
    <row r="19" spans="1:32" x14ac:dyDescent="0.35">
      <c r="A19" s="31"/>
      <c r="B19" s="13" t="s">
        <v>595</v>
      </c>
      <c r="C19" s="14">
        <v>0.01</v>
      </c>
      <c r="D19" s="15" t="s">
        <v>333</v>
      </c>
      <c r="E19" s="14">
        <v>0.02</v>
      </c>
      <c r="F19" s="14">
        <v>0.01</v>
      </c>
      <c r="G19" s="15" t="s">
        <v>333</v>
      </c>
      <c r="H19" s="14">
        <v>0.01</v>
      </c>
      <c r="I19" s="14">
        <v>0.01</v>
      </c>
      <c r="J19" s="14">
        <v>0.01</v>
      </c>
      <c r="K19" s="14">
        <v>0.02</v>
      </c>
      <c r="L19" s="14">
        <v>0.01</v>
      </c>
      <c r="M19" s="14">
        <v>0.01</v>
      </c>
      <c r="N19" s="14">
        <v>0.01</v>
      </c>
      <c r="O19" s="14">
        <v>0.01</v>
      </c>
      <c r="P19" s="14">
        <v>0.03</v>
      </c>
      <c r="Q19" s="14">
        <v>0.02</v>
      </c>
      <c r="R19" s="14">
        <v>0.01</v>
      </c>
      <c r="S19" s="14">
        <v>0.01</v>
      </c>
      <c r="T19" s="14">
        <v>0.01</v>
      </c>
      <c r="U19" s="14">
        <v>0.01</v>
      </c>
      <c r="V19" s="14">
        <v>0.01</v>
      </c>
      <c r="W19" s="15" t="s">
        <v>333</v>
      </c>
      <c r="X19" s="14">
        <v>0.01</v>
      </c>
      <c r="Y19" s="14">
        <v>0.01</v>
      </c>
      <c r="Z19" s="14">
        <v>0.01</v>
      </c>
      <c r="AA19" s="15" t="s">
        <v>333</v>
      </c>
      <c r="AB19" s="14">
        <v>7.0000000000000007E-2</v>
      </c>
      <c r="AC19" s="14">
        <v>0.01</v>
      </c>
      <c r="AD19" s="14">
        <v>0.02</v>
      </c>
      <c r="AE19" s="15" t="s">
        <v>333</v>
      </c>
      <c r="AF19" s="15" t="s">
        <v>333</v>
      </c>
    </row>
    <row r="20" spans="1:32" x14ac:dyDescent="0.35">
      <c r="A20" s="31"/>
      <c r="B20" s="11" t="s">
        <v>344</v>
      </c>
      <c r="C20" s="12">
        <v>506</v>
      </c>
      <c r="D20" s="12">
        <v>4</v>
      </c>
      <c r="E20" s="12">
        <v>42</v>
      </c>
      <c r="F20" s="12">
        <v>9</v>
      </c>
      <c r="G20" s="12">
        <v>27</v>
      </c>
      <c r="H20" s="12">
        <v>22</v>
      </c>
      <c r="I20" s="12">
        <v>23</v>
      </c>
      <c r="J20" s="12">
        <v>1</v>
      </c>
      <c r="K20" s="12">
        <v>35</v>
      </c>
      <c r="L20" s="12">
        <v>12</v>
      </c>
      <c r="M20" s="12">
        <v>3</v>
      </c>
      <c r="N20" s="12">
        <v>35</v>
      </c>
      <c r="O20" s="12">
        <v>28</v>
      </c>
      <c r="P20" s="12">
        <v>13</v>
      </c>
      <c r="Q20" s="12">
        <v>15</v>
      </c>
      <c r="R20" s="12">
        <v>6</v>
      </c>
      <c r="S20" s="12">
        <v>37</v>
      </c>
      <c r="T20" s="12">
        <v>32</v>
      </c>
      <c r="U20" s="12">
        <v>7</v>
      </c>
      <c r="V20" s="12">
        <v>2</v>
      </c>
      <c r="W20" s="12">
        <v>9</v>
      </c>
      <c r="X20" s="12">
        <v>3</v>
      </c>
      <c r="Y20" s="12">
        <v>12</v>
      </c>
      <c r="Z20" s="12">
        <v>18</v>
      </c>
      <c r="AA20" s="12">
        <v>43</v>
      </c>
      <c r="AB20" s="12">
        <v>31</v>
      </c>
      <c r="AC20" s="12">
        <v>7</v>
      </c>
      <c r="AD20" s="12">
        <v>10</v>
      </c>
      <c r="AE20" s="12">
        <v>8</v>
      </c>
      <c r="AF20" s="12">
        <v>0</v>
      </c>
    </row>
    <row r="21" spans="1:32" x14ac:dyDescent="0.35">
      <c r="A21" s="31"/>
      <c r="B21" s="13" t="s">
        <v>357</v>
      </c>
      <c r="C21" s="14">
        <v>0.02</v>
      </c>
      <c r="D21" s="15" t="s">
        <v>333</v>
      </c>
      <c r="E21" s="14">
        <v>0.04</v>
      </c>
      <c r="F21" s="14">
        <v>0.01</v>
      </c>
      <c r="G21" s="14">
        <v>0.03</v>
      </c>
      <c r="H21" s="14">
        <v>0.02</v>
      </c>
      <c r="I21" s="14">
        <v>0.02</v>
      </c>
      <c r="J21" s="15" t="s">
        <v>333</v>
      </c>
      <c r="K21" s="14">
        <v>0.03</v>
      </c>
      <c r="L21" s="14">
        <v>0.01</v>
      </c>
      <c r="M21" s="15" t="s">
        <v>333</v>
      </c>
      <c r="N21" s="14">
        <v>0.04</v>
      </c>
      <c r="O21" s="14">
        <v>0.03</v>
      </c>
      <c r="P21" s="14">
        <v>0.01</v>
      </c>
      <c r="Q21" s="14">
        <v>0.01</v>
      </c>
      <c r="R21" s="14">
        <v>0.01</v>
      </c>
      <c r="S21" s="14">
        <v>0.04</v>
      </c>
      <c r="T21" s="14">
        <v>0.03</v>
      </c>
      <c r="U21" s="14">
        <v>0.01</v>
      </c>
      <c r="V21" s="15" t="s">
        <v>333</v>
      </c>
      <c r="W21" s="14">
        <v>0.02</v>
      </c>
      <c r="X21" s="15" t="s">
        <v>333</v>
      </c>
      <c r="Y21" s="14">
        <v>0.01</v>
      </c>
      <c r="Z21" s="14">
        <v>0.02</v>
      </c>
      <c r="AA21" s="14">
        <v>0.04</v>
      </c>
      <c r="AB21" s="14">
        <v>0.03</v>
      </c>
      <c r="AC21" s="14">
        <v>0.01</v>
      </c>
      <c r="AD21" s="14">
        <v>0.01</v>
      </c>
      <c r="AE21" s="14">
        <v>0.01</v>
      </c>
      <c r="AF21" s="15" t="s">
        <v>333</v>
      </c>
    </row>
    <row r="22" spans="1:32" x14ac:dyDescent="0.35">
      <c r="A22" s="31"/>
      <c r="B22" s="11" t="s">
        <v>596</v>
      </c>
      <c r="C22" s="12">
        <v>24092</v>
      </c>
      <c r="D22" s="12">
        <v>968</v>
      </c>
      <c r="E22" s="12">
        <v>916</v>
      </c>
      <c r="F22" s="12">
        <v>901</v>
      </c>
      <c r="G22" s="12">
        <v>970</v>
      </c>
      <c r="H22" s="12">
        <v>1164</v>
      </c>
      <c r="I22" s="12">
        <v>1439</v>
      </c>
      <c r="J22" s="12">
        <v>275</v>
      </c>
      <c r="K22" s="12">
        <v>866</v>
      </c>
      <c r="L22" s="12">
        <v>973</v>
      </c>
      <c r="M22" s="12">
        <v>962</v>
      </c>
      <c r="N22" s="12">
        <v>930</v>
      </c>
      <c r="O22" s="12">
        <v>913</v>
      </c>
      <c r="P22" s="12">
        <v>866</v>
      </c>
      <c r="Q22" s="12">
        <v>943</v>
      </c>
      <c r="R22" s="12">
        <v>469</v>
      </c>
      <c r="S22" s="12">
        <v>920</v>
      </c>
      <c r="T22" s="12">
        <v>950</v>
      </c>
      <c r="U22" s="12">
        <v>480</v>
      </c>
      <c r="V22" s="12">
        <v>932</v>
      </c>
      <c r="W22" s="12">
        <v>472</v>
      </c>
      <c r="X22" s="12">
        <v>946</v>
      </c>
      <c r="Y22" s="12">
        <v>907</v>
      </c>
      <c r="Z22" s="12">
        <v>888</v>
      </c>
      <c r="AA22" s="12">
        <v>961</v>
      </c>
      <c r="AB22" s="12">
        <v>721</v>
      </c>
      <c r="AC22" s="12">
        <v>946</v>
      </c>
      <c r="AD22" s="12">
        <v>923</v>
      </c>
      <c r="AE22" s="12">
        <v>976</v>
      </c>
      <c r="AF22" s="12">
        <v>1001</v>
      </c>
    </row>
    <row r="23" spans="1:32" x14ac:dyDescent="0.35">
      <c r="A23" s="31"/>
      <c r="B23" s="13" t="s">
        <v>596</v>
      </c>
      <c r="C23" s="14">
        <v>0.91</v>
      </c>
      <c r="D23" s="14">
        <v>0.95000000000000007</v>
      </c>
      <c r="E23" s="14">
        <v>0.88</v>
      </c>
      <c r="F23" s="14">
        <v>0.89</v>
      </c>
      <c r="G23" s="14">
        <v>0.95000000000000007</v>
      </c>
      <c r="H23" s="14">
        <v>0.94000000000000006</v>
      </c>
      <c r="I23" s="14">
        <v>0.94000000000000006</v>
      </c>
      <c r="J23" s="14">
        <v>0.93</v>
      </c>
      <c r="K23" s="14">
        <v>0.86</v>
      </c>
      <c r="L23" s="14">
        <v>0.97</v>
      </c>
      <c r="M23" s="14">
        <v>0.96</v>
      </c>
      <c r="N23" s="14">
        <v>0.93</v>
      </c>
      <c r="O23" s="14">
        <v>0.91</v>
      </c>
      <c r="P23" s="14">
        <v>0.87</v>
      </c>
      <c r="Q23" s="14">
        <v>0.91</v>
      </c>
      <c r="R23" s="14">
        <v>0.94000000000000006</v>
      </c>
      <c r="S23" s="14">
        <v>0.9</v>
      </c>
      <c r="T23" s="14">
        <v>0.93</v>
      </c>
      <c r="U23" s="14">
        <v>0.95000000000000007</v>
      </c>
      <c r="V23" s="14">
        <v>0.92</v>
      </c>
      <c r="W23" s="14">
        <v>0.94000000000000006</v>
      </c>
      <c r="X23" s="14">
        <v>0.94000000000000006</v>
      </c>
      <c r="Y23" s="14">
        <v>0.91</v>
      </c>
      <c r="Z23" s="14">
        <v>0.87</v>
      </c>
      <c r="AA23" s="14">
        <v>0.94000000000000006</v>
      </c>
      <c r="AB23" s="14">
        <v>0.68</v>
      </c>
      <c r="AC23" s="14">
        <v>0.93</v>
      </c>
      <c r="AD23" s="14">
        <v>0.92</v>
      </c>
      <c r="AE23" s="14">
        <v>0.97</v>
      </c>
      <c r="AF23" s="14">
        <v>0.98</v>
      </c>
    </row>
    <row r="24" spans="1:32" x14ac:dyDescent="0.35">
      <c r="A24" s="31"/>
      <c r="B24" s="11" t="s">
        <v>597</v>
      </c>
      <c r="C24" s="12">
        <v>1812</v>
      </c>
      <c r="D24" s="12">
        <v>53</v>
      </c>
      <c r="E24" s="12">
        <v>81</v>
      </c>
      <c r="F24" s="12">
        <v>108</v>
      </c>
      <c r="G24" s="12">
        <v>21</v>
      </c>
      <c r="H24" s="12">
        <v>46</v>
      </c>
      <c r="I24" s="12">
        <v>67</v>
      </c>
      <c r="J24" s="12">
        <v>22</v>
      </c>
      <c r="K24" s="12">
        <v>107</v>
      </c>
      <c r="L24" s="12">
        <v>19</v>
      </c>
      <c r="M24" s="12">
        <v>39</v>
      </c>
      <c r="N24" s="12">
        <v>35</v>
      </c>
      <c r="O24" s="12">
        <v>59</v>
      </c>
      <c r="P24" s="12">
        <v>125</v>
      </c>
      <c r="Q24" s="12">
        <v>78</v>
      </c>
      <c r="R24" s="12">
        <v>25</v>
      </c>
      <c r="S24" s="12">
        <v>65</v>
      </c>
      <c r="T24" s="12">
        <v>36</v>
      </c>
      <c r="U24" s="12">
        <v>23</v>
      </c>
      <c r="V24" s="12">
        <v>80</v>
      </c>
      <c r="W24" s="12">
        <v>20</v>
      </c>
      <c r="X24" s="12">
        <v>60</v>
      </c>
      <c r="Y24" s="12">
        <v>84</v>
      </c>
      <c r="Z24" s="12">
        <v>113</v>
      </c>
      <c r="AA24" s="12">
        <v>27</v>
      </c>
      <c r="AB24" s="12">
        <v>304</v>
      </c>
      <c r="AC24" s="12">
        <v>59</v>
      </c>
      <c r="AD24" s="12">
        <v>71</v>
      </c>
      <c r="AE24" s="12">
        <v>22</v>
      </c>
      <c r="AF24" s="12">
        <v>19</v>
      </c>
    </row>
    <row r="25" spans="1:32" x14ac:dyDescent="0.35">
      <c r="A25" s="31"/>
      <c r="B25" s="13" t="s">
        <v>598</v>
      </c>
      <c r="C25" s="14">
        <v>7.0000000000000007E-2</v>
      </c>
      <c r="D25" s="14">
        <v>0.05</v>
      </c>
      <c r="E25" s="14">
        <v>0.08</v>
      </c>
      <c r="F25" s="14">
        <v>0.1</v>
      </c>
      <c r="G25" s="14">
        <v>0.02</v>
      </c>
      <c r="H25" s="14">
        <v>0.04</v>
      </c>
      <c r="I25" s="14">
        <v>0.04</v>
      </c>
      <c r="J25" s="14">
        <v>7.0000000000000007E-2</v>
      </c>
      <c r="K25" s="14">
        <v>0.11</v>
      </c>
      <c r="L25" s="14">
        <v>0.02</v>
      </c>
      <c r="M25" s="14">
        <v>0.04</v>
      </c>
      <c r="N25" s="14">
        <v>0.03</v>
      </c>
      <c r="O25" s="14">
        <v>0.06</v>
      </c>
      <c r="P25" s="14">
        <v>0.12</v>
      </c>
      <c r="Q25" s="14">
        <v>0.08</v>
      </c>
      <c r="R25" s="14">
        <v>0.05</v>
      </c>
      <c r="S25" s="14">
        <v>0.06</v>
      </c>
      <c r="T25" s="14">
        <v>0.04</v>
      </c>
      <c r="U25" s="14">
        <v>0.04</v>
      </c>
      <c r="V25" s="14">
        <v>0.08</v>
      </c>
      <c r="W25" s="14">
        <v>0.04</v>
      </c>
      <c r="X25" s="14">
        <v>0.06</v>
      </c>
      <c r="Y25" s="14">
        <v>0.08</v>
      </c>
      <c r="Z25" s="14">
        <v>0.11</v>
      </c>
      <c r="AA25" s="14">
        <v>0.02</v>
      </c>
      <c r="AB25" s="14">
        <v>0.28999999999999998</v>
      </c>
      <c r="AC25" s="14">
        <v>0.06</v>
      </c>
      <c r="AD25" s="14">
        <v>7.0000000000000007E-2</v>
      </c>
      <c r="AE25" s="14">
        <v>0.02</v>
      </c>
      <c r="AF25" s="14">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72" customHeight="1" x14ac:dyDescent="0.35">
      <c r="B3" s="30" t="s">
        <v>73</v>
      </c>
      <c r="C3" s="30"/>
      <c r="D3" s="30"/>
      <c r="E3" s="30"/>
      <c r="F3" s="30"/>
      <c r="H3" s="30" t="s">
        <v>74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615</v>
      </c>
      <c r="C12" s="12">
        <v>5384</v>
      </c>
      <c r="D12" s="12">
        <v>238</v>
      </c>
      <c r="E12" s="12">
        <v>308</v>
      </c>
      <c r="F12" s="12">
        <v>223</v>
      </c>
      <c r="G12" s="12">
        <v>199</v>
      </c>
      <c r="H12" s="12">
        <v>257</v>
      </c>
      <c r="I12" s="12">
        <v>333</v>
      </c>
      <c r="J12" s="12">
        <v>75</v>
      </c>
      <c r="K12" s="12">
        <v>156</v>
      </c>
      <c r="L12" s="12">
        <v>324</v>
      </c>
      <c r="M12" s="12">
        <v>335</v>
      </c>
      <c r="N12" s="12">
        <v>218</v>
      </c>
      <c r="O12" s="12">
        <v>192</v>
      </c>
      <c r="P12" s="12">
        <v>267</v>
      </c>
      <c r="Q12" s="12">
        <v>133</v>
      </c>
      <c r="R12" s="12">
        <v>256</v>
      </c>
      <c r="S12" s="12">
        <v>257</v>
      </c>
      <c r="T12" s="12">
        <v>267</v>
      </c>
      <c r="U12" s="12">
        <v>144</v>
      </c>
      <c r="V12" s="12">
        <v>215</v>
      </c>
      <c r="W12" s="12">
        <v>251</v>
      </c>
      <c r="X12" s="12">
        <v>213</v>
      </c>
      <c r="Y12" s="12">
        <v>351</v>
      </c>
      <c r="Z12" s="12">
        <v>154</v>
      </c>
      <c r="AA12" s="12">
        <v>278</v>
      </c>
      <c r="AB12" s="12">
        <v>153</v>
      </c>
      <c r="AC12" s="12">
        <v>262</v>
      </c>
      <c r="AD12" s="12">
        <v>326</v>
      </c>
      <c r="AE12" s="12">
        <v>162</v>
      </c>
      <c r="AF12" s="12">
        <v>189</v>
      </c>
    </row>
    <row r="13" spans="1:32" x14ac:dyDescent="0.35">
      <c r="A13" s="31"/>
      <c r="B13" s="13" t="s">
        <v>616</v>
      </c>
      <c r="C13" s="14">
        <v>0.2</v>
      </c>
      <c r="D13" s="14">
        <v>0.23</v>
      </c>
      <c r="E13" s="14">
        <v>0.3</v>
      </c>
      <c r="F13" s="14">
        <v>0.22</v>
      </c>
      <c r="G13" s="14">
        <v>0.19</v>
      </c>
      <c r="H13" s="14">
        <v>0.21</v>
      </c>
      <c r="I13" s="14">
        <v>0.22</v>
      </c>
      <c r="J13" s="14">
        <v>0.25</v>
      </c>
      <c r="K13" s="14">
        <v>0.15</v>
      </c>
      <c r="L13" s="14">
        <v>0.32</v>
      </c>
      <c r="M13" s="14">
        <v>0.33</v>
      </c>
      <c r="N13" s="14">
        <v>0.22</v>
      </c>
      <c r="O13" s="14">
        <v>0.19</v>
      </c>
      <c r="P13" s="14">
        <v>0.27</v>
      </c>
      <c r="Q13" s="14">
        <v>0.13</v>
      </c>
      <c r="R13" s="14">
        <v>0.51</v>
      </c>
      <c r="S13" s="14">
        <v>0.25</v>
      </c>
      <c r="T13" s="14">
        <v>0.26</v>
      </c>
      <c r="U13" s="14">
        <v>0.28000000000000003</v>
      </c>
      <c r="V13" s="14">
        <v>0.21</v>
      </c>
      <c r="W13" s="14">
        <v>0.5</v>
      </c>
      <c r="X13" s="14">
        <v>0.21</v>
      </c>
      <c r="Y13" s="14">
        <v>0.35</v>
      </c>
      <c r="Z13" s="14">
        <v>0.15</v>
      </c>
      <c r="AA13" s="14">
        <v>0.27</v>
      </c>
      <c r="AB13" s="14">
        <v>0.14000000000000001</v>
      </c>
      <c r="AC13" s="14">
        <v>0.26</v>
      </c>
      <c r="AD13" s="14">
        <v>0.32</v>
      </c>
      <c r="AE13" s="14">
        <v>0.16</v>
      </c>
      <c r="AF13" s="14">
        <v>0.19</v>
      </c>
    </row>
    <row r="14" spans="1:32" x14ac:dyDescent="0.35">
      <c r="A14" s="31"/>
      <c r="B14" s="11" t="s">
        <v>617</v>
      </c>
      <c r="C14" s="12">
        <v>13836</v>
      </c>
      <c r="D14" s="12">
        <v>557</v>
      </c>
      <c r="E14" s="12">
        <v>442</v>
      </c>
      <c r="F14" s="12">
        <v>454</v>
      </c>
      <c r="G14" s="12">
        <v>454</v>
      </c>
      <c r="H14" s="12">
        <v>565</v>
      </c>
      <c r="I14" s="12">
        <v>679</v>
      </c>
      <c r="J14" s="12">
        <v>115</v>
      </c>
      <c r="K14" s="12">
        <v>470</v>
      </c>
      <c r="L14" s="12">
        <v>466</v>
      </c>
      <c r="M14" s="12">
        <v>488</v>
      </c>
      <c r="N14" s="12">
        <v>519</v>
      </c>
      <c r="O14" s="12">
        <v>491</v>
      </c>
      <c r="P14" s="12">
        <v>570</v>
      </c>
      <c r="Q14" s="12">
        <v>701</v>
      </c>
      <c r="R14" s="12">
        <v>157</v>
      </c>
      <c r="S14" s="12">
        <v>499</v>
      </c>
      <c r="T14" s="12">
        <v>527</v>
      </c>
      <c r="U14" s="12">
        <v>249</v>
      </c>
      <c r="V14" s="12">
        <v>637</v>
      </c>
      <c r="W14" s="12">
        <v>191</v>
      </c>
      <c r="X14" s="12">
        <v>552</v>
      </c>
      <c r="Y14" s="12">
        <v>384</v>
      </c>
      <c r="Z14" s="12">
        <v>633</v>
      </c>
      <c r="AA14" s="12">
        <v>547</v>
      </c>
      <c r="AB14" s="12">
        <v>517</v>
      </c>
      <c r="AC14" s="12">
        <v>469</v>
      </c>
      <c r="AD14" s="12">
        <v>472</v>
      </c>
      <c r="AE14" s="12">
        <v>586</v>
      </c>
      <c r="AF14" s="12">
        <v>492</v>
      </c>
    </row>
    <row r="15" spans="1:32" x14ac:dyDescent="0.35">
      <c r="A15" s="31"/>
      <c r="B15" s="13" t="s">
        <v>618</v>
      </c>
      <c r="C15" s="14">
        <v>0.53</v>
      </c>
      <c r="D15" s="14">
        <v>0.54</v>
      </c>
      <c r="E15" s="14">
        <v>0.42</v>
      </c>
      <c r="F15" s="14">
        <v>0.44</v>
      </c>
      <c r="G15" s="14">
        <v>0.45</v>
      </c>
      <c r="H15" s="14">
        <v>0.46</v>
      </c>
      <c r="I15" s="14">
        <v>0.45</v>
      </c>
      <c r="J15" s="14">
        <v>0.39</v>
      </c>
      <c r="K15" s="14">
        <v>0.47</v>
      </c>
      <c r="L15" s="14">
        <v>0.47</v>
      </c>
      <c r="M15" s="14">
        <v>0.49</v>
      </c>
      <c r="N15" s="14">
        <v>0.52</v>
      </c>
      <c r="O15" s="14">
        <v>0.49</v>
      </c>
      <c r="P15" s="14">
        <v>0.57000000000000006</v>
      </c>
      <c r="Q15" s="14">
        <v>0.68</v>
      </c>
      <c r="R15" s="14">
        <v>0.31</v>
      </c>
      <c r="S15" s="14">
        <v>0.49</v>
      </c>
      <c r="T15" s="14">
        <v>0.52</v>
      </c>
      <c r="U15" s="14">
        <v>0.49</v>
      </c>
      <c r="V15" s="14">
        <v>0.63</v>
      </c>
      <c r="W15" s="14">
        <v>0.38</v>
      </c>
      <c r="X15" s="14">
        <v>0.55000000000000004</v>
      </c>
      <c r="Y15" s="14">
        <v>0.38</v>
      </c>
      <c r="Z15" s="14">
        <v>0.62</v>
      </c>
      <c r="AA15" s="14">
        <v>0.53</v>
      </c>
      <c r="AB15" s="14">
        <v>0.49</v>
      </c>
      <c r="AC15" s="14">
        <v>0.46</v>
      </c>
      <c r="AD15" s="14">
        <v>0.47</v>
      </c>
      <c r="AE15" s="14">
        <v>0.57999999999999996</v>
      </c>
      <c r="AF15" s="14">
        <v>0.48</v>
      </c>
    </row>
    <row r="16" spans="1:32" x14ac:dyDescent="0.35">
      <c r="A16" s="31"/>
      <c r="B16" s="11" t="s">
        <v>619</v>
      </c>
      <c r="C16" s="12">
        <v>3653</v>
      </c>
      <c r="D16" s="12">
        <v>156</v>
      </c>
      <c r="E16" s="12">
        <v>131</v>
      </c>
      <c r="F16" s="12">
        <v>204</v>
      </c>
      <c r="G16" s="12">
        <v>193</v>
      </c>
      <c r="H16" s="12">
        <v>195</v>
      </c>
      <c r="I16" s="12">
        <v>250</v>
      </c>
      <c r="J16" s="12">
        <v>55</v>
      </c>
      <c r="K16" s="12">
        <v>174</v>
      </c>
      <c r="L16" s="12">
        <v>102</v>
      </c>
      <c r="M16" s="12">
        <v>87</v>
      </c>
      <c r="N16" s="12">
        <v>101</v>
      </c>
      <c r="O16" s="12">
        <v>169</v>
      </c>
      <c r="P16" s="12">
        <v>92</v>
      </c>
      <c r="Q16" s="12">
        <v>111</v>
      </c>
      <c r="R16" s="12">
        <v>41</v>
      </c>
      <c r="S16" s="12">
        <v>102</v>
      </c>
      <c r="T16" s="12">
        <v>68</v>
      </c>
      <c r="U16" s="12">
        <v>60</v>
      </c>
      <c r="V16" s="12">
        <v>122</v>
      </c>
      <c r="W16" s="12">
        <v>38</v>
      </c>
      <c r="X16" s="12">
        <v>147</v>
      </c>
      <c r="Y16" s="12">
        <v>101</v>
      </c>
      <c r="Z16" s="12">
        <v>117</v>
      </c>
      <c r="AA16" s="12">
        <v>57</v>
      </c>
      <c r="AB16" s="12">
        <v>243</v>
      </c>
      <c r="AC16" s="12">
        <v>156</v>
      </c>
      <c r="AD16" s="12">
        <v>91</v>
      </c>
      <c r="AE16" s="12">
        <v>146</v>
      </c>
      <c r="AF16" s="12">
        <v>183</v>
      </c>
    </row>
    <row r="17" spans="1:32" x14ac:dyDescent="0.35">
      <c r="A17" s="31"/>
      <c r="B17" s="13" t="s">
        <v>620</v>
      </c>
      <c r="C17" s="14">
        <v>0.14000000000000001</v>
      </c>
      <c r="D17" s="14">
        <v>0.15</v>
      </c>
      <c r="E17" s="14">
        <v>0.13</v>
      </c>
      <c r="F17" s="14">
        <v>0.2</v>
      </c>
      <c r="G17" s="14">
        <v>0.19</v>
      </c>
      <c r="H17" s="14">
        <v>0.16</v>
      </c>
      <c r="I17" s="14">
        <v>0.16</v>
      </c>
      <c r="J17" s="14">
        <v>0.18</v>
      </c>
      <c r="K17" s="14">
        <v>0.17</v>
      </c>
      <c r="L17" s="14">
        <v>0.1</v>
      </c>
      <c r="M17" s="14">
        <v>0.09</v>
      </c>
      <c r="N17" s="14">
        <v>0.1</v>
      </c>
      <c r="O17" s="14">
        <v>0.17</v>
      </c>
      <c r="P17" s="14">
        <v>0.09</v>
      </c>
      <c r="Q17" s="14">
        <v>0.11</v>
      </c>
      <c r="R17" s="14">
        <v>0.08</v>
      </c>
      <c r="S17" s="14">
        <v>0.1</v>
      </c>
      <c r="T17" s="14">
        <v>7.0000000000000007E-2</v>
      </c>
      <c r="U17" s="14">
        <v>0.12</v>
      </c>
      <c r="V17" s="14">
        <v>0.12</v>
      </c>
      <c r="W17" s="14">
        <v>0.08</v>
      </c>
      <c r="X17" s="14">
        <v>0.14000000000000001</v>
      </c>
      <c r="Y17" s="14">
        <v>0.1</v>
      </c>
      <c r="Z17" s="14">
        <v>0.11</v>
      </c>
      <c r="AA17" s="14">
        <v>0.05</v>
      </c>
      <c r="AB17" s="14">
        <v>0.23</v>
      </c>
      <c r="AC17" s="14">
        <v>0.15</v>
      </c>
      <c r="AD17" s="14">
        <v>0.09</v>
      </c>
      <c r="AE17" s="14">
        <v>0.14000000000000001</v>
      </c>
      <c r="AF17" s="14">
        <v>0.18</v>
      </c>
    </row>
    <row r="18" spans="1:32" x14ac:dyDescent="0.35">
      <c r="A18" s="31"/>
      <c r="B18" s="11" t="s">
        <v>621</v>
      </c>
      <c r="C18" s="12">
        <v>1684</v>
      </c>
      <c r="D18" s="12">
        <v>48</v>
      </c>
      <c r="E18" s="12">
        <v>54</v>
      </c>
      <c r="F18" s="12">
        <v>89</v>
      </c>
      <c r="G18" s="12">
        <v>89</v>
      </c>
      <c r="H18" s="12">
        <v>123</v>
      </c>
      <c r="I18" s="12">
        <v>155</v>
      </c>
      <c r="J18" s="12">
        <v>32</v>
      </c>
      <c r="K18" s="12">
        <v>67</v>
      </c>
      <c r="L18" s="12">
        <v>62</v>
      </c>
      <c r="M18" s="12">
        <v>34</v>
      </c>
      <c r="N18" s="12">
        <v>65</v>
      </c>
      <c r="O18" s="12">
        <v>65</v>
      </c>
      <c r="P18" s="12">
        <v>32</v>
      </c>
      <c r="Q18" s="12">
        <v>27</v>
      </c>
      <c r="R18" s="12">
        <v>24</v>
      </c>
      <c r="S18" s="12">
        <v>38</v>
      </c>
      <c r="T18" s="12">
        <v>23</v>
      </c>
      <c r="U18" s="12">
        <v>22</v>
      </c>
      <c r="V18" s="12">
        <v>12</v>
      </c>
      <c r="W18" s="12">
        <v>10</v>
      </c>
      <c r="X18" s="12">
        <v>88</v>
      </c>
      <c r="Y18" s="12">
        <v>107</v>
      </c>
      <c r="Z18" s="12">
        <v>29</v>
      </c>
      <c r="AA18" s="12">
        <v>29</v>
      </c>
      <c r="AB18" s="12">
        <v>85</v>
      </c>
      <c r="AC18" s="12">
        <v>85</v>
      </c>
      <c r="AD18" s="12">
        <v>49</v>
      </c>
      <c r="AE18" s="12">
        <v>56</v>
      </c>
      <c r="AF18" s="12">
        <v>135</v>
      </c>
    </row>
    <row r="19" spans="1:32" x14ac:dyDescent="0.35">
      <c r="A19" s="31"/>
      <c r="B19" s="13" t="s">
        <v>622</v>
      </c>
      <c r="C19" s="14">
        <v>0.06</v>
      </c>
      <c r="D19" s="14">
        <v>0.05</v>
      </c>
      <c r="E19" s="14">
        <v>0.05</v>
      </c>
      <c r="F19" s="14">
        <v>0.09</v>
      </c>
      <c r="G19" s="14">
        <v>0.09</v>
      </c>
      <c r="H19" s="14">
        <v>0.1</v>
      </c>
      <c r="I19" s="14">
        <v>0.1</v>
      </c>
      <c r="J19" s="14">
        <v>0.11</v>
      </c>
      <c r="K19" s="14">
        <v>7.0000000000000007E-2</v>
      </c>
      <c r="L19" s="14">
        <v>0.06</v>
      </c>
      <c r="M19" s="14">
        <v>0.03</v>
      </c>
      <c r="N19" s="14">
        <v>0.06</v>
      </c>
      <c r="O19" s="14">
        <v>7.0000000000000007E-2</v>
      </c>
      <c r="P19" s="14">
        <v>0.03</v>
      </c>
      <c r="Q19" s="14">
        <v>0.02</v>
      </c>
      <c r="R19" s="14">
        <v>0.05</v>
      </c>
      <c r="S19" s="14">
        <v>0.04</v>
      </c>
      <c r="T19" s="14">
        <v>0.02</v>
      </c>
      <c r="U19" s="14">
        <v>0.04</v>
      </c>
      <c r="V19" s="14">
        <v>0.01</v>
      </c>
      <c r="W19" s="14">
        <v>0.02</v>
      </c>
      <c r="X19" s="14">
        <v>0.09</v>
      </c>
      <c r="Y19" s="14">
        <v>0.11</v>
      </c>
      <c r="Z19" s="14">
        <v>0.03</v>
      </c>
      <c r="AA19" s="14">
        <v>0.03</v>
      </c>
      <c r="AB19" s="14">
        <v>0.08</v>
      </c>
      <c r="AC19" s="14">
        <v>0.09</v>
      </c>
      <c r="AD19" s="14">
        <v>0.05</v>
      </c>
      <c r="AE19" s="14">
        <v>0.06</v>
      </c>
      <c r="AF19" s="14">
        <v>0.13</v>
      </c>
    </row>
    <row r="20" spans="1:32" x14ac:dyDescent="0.35">
      <c r="A20" s="31"/>
      <c r="B20" s="11" t="s">
        <v>344</v>
      </c>
      <c r="C20" s="12">
        <v>1852</v>
      </c>
      <c r="D20" s="12">
        <v>27</v>
      </c>
      <c r="E20" s="12">
        <v>104</v>
      </c>
      <c r="F20" s="12">
        <v>48</v>
      </c>
      <c r="G20" s="12">
        <v>82</v>
      </c>
      <c r="H20" s="12">
        <v>92</v>
      </c>
      <c r="I20" s="12">
        <v>113</v>
      </c>
      <c r="J20" s="12">
        <v>21</v>
      </c>
      <c r="K20" s="12">
        <v>141</v>
      </c>
      <c r="L20" s="12">
        <v>50</v>
      </c>
      <c r="M20" s="12">
        <v>60</v>
      </c>
      <c r="N20" s="12">
        <v>98</v>
      </c>
      <c r="O20" s="12">
        <v>83</v>
      </c>
      <c r="P20" s="12">
        <v>43</v>
      </c>
      <c r="Q20" s="12">
        <v>63</v>
      </c>
      <c r="R20" s="12">
        <v>24</v>
      </c>
      <c r="S20" s="12">
        <v>126</v>
      </c>
      <c r="T20" s="12">
        <v>132</v>
      </c>
      <c r="U20" s="12">
        <v>34</v>
      </c>
      <c r="V20" s="12">
        <v>29</v>
      </c>
      <c r="W20" s="12">
        <v>11</v>
      </c>
      <c r="X20" s="12">
        <v>10</v>
      </c>
      <c r="Y20" s="12">
        <v>60</v>
      </c>
      <c r="Z20" s="12">
        <v>87</v>
      </c>
      <c r="AA20" s="12">
        <v>119</v>
      </c>
      <c r="AB20" s="12">
        <v>58</v>
      </c>
      <c r="AC20" s="12">
        <v>41</v>
      </c>
      <c r="AD20" s="12">
        <v>65</v>
      </c>
      <c r="AE20" s="12">
        <v>57</v>
      </c>
      <c r="AF20" s="12">
        <v>22</v>
      </c>
    </row>
    <row r="21" spans="1:32" x14ac:dyDescent="0.35">
      <c r="A21" s="31"/>
      <c r="B21" s="13" t="s">
        <v>419</v>
      </c>
      <c r="C21" s="14">
        <v>7.0000000000000007E-2</v>
      </c>
      <c r="D21" s="14">
        <v>0.03</v>
      </c>
      <c r="E21" s="14">
        <v>0.1</v>
      </c>
      <c r="F21" s="14">
        <v>0.05</v>
      </c>
      <c r="G21" s="14">
        <v>0.08</v>
      </c>
      <c r="H21" s="14">
        <v>7.0000000000000007E-2</v>
      </c>
      <c r="I21" s="14">
        <v>7.0000000000000007E-2</v>
      </c>
      <c r="J21" s="14">
        <v>7.0000000000000007E-2</v>
      </c>
      <c r="K21" s="14">
        <v>0.14000000000000001</v>
      </c>
      <c r="L21" s="14">
        <v>0.05</v>
      </c>
      <c r="M21" s="14">
        <v>0.06</v>
      </c>
      <c r="N21" s="14">
        <v>0.1</v>
      </c>
      <c r="O21" s="14">
        <v>0.08</v>
      </c>
      <c r="P21" s="14">
        <v>0.04</v>
      </c>
      <c r="Q21" s="14">
        <v>0.06</v>
      </c>
      <c r="R21" s="14">
        <v>0.05</v>
      </c>
      <c r="S21" s="14">
        <v>0.12</v>
      </c>
      <c r="T21" s="14">
        <v>0.13</v>
      </c>
      <c r="U21" s="14">
        <v>7.0000000000000007E-2</v>
      </c>
      <c r="V21" s="14">
        <v>0.03</v>
      </c>
      <c r="W21" s="14">
        <v>0.02</v>
      </c>
      <c r="X21" s="14">
        <v>0.01</v>
      </c>
      <c r="Y21" s="14">
        <v>0.06</v>
      </c>
      <c r="Z21" s="14">
        <v>0.09</v>
      </c>
      <c r="AA21" s="14">
        <v>0.12</v>
      </c>
      <c r="AB21" s="14">
        <v>0.06</v>
      </c>
      <c r="AC21" s="14">
        <v>0.04</v>
      </c>
      <c r="AD21" s="14">
        <v>7.0000000000000007E-2</v>
      </c>
      <c r="AE21" s="14">
        <v>0.06</v>
      </c>
      <c r="AF21" s="14">
        <v>0.02</v>
      </c>
    </row>
    <row r="22" spans="1:32" x14ac:dyDescent="0.35">
      <c r="A22" s="31"/>
      <c r="B22" s="11" t="s">
        <v>623</v>
      </c>
      <c r="C22" s="12">
        <v>19220</v>
      </c>
      <c r="D22" s="12">
        <v>795</v>
      </c>
      <c r="E22" s="12">
        <v>750</v>
      </c>
      <c r="F22" s="12">
        <v>677</v>
      </c>
      <c r="G22" s="12">
        <v>653</v>
      </c>
      <c r="H22" s="12">
        <v>822</v>
      </c>
      <c r="I22" s="12">
        <v>1012</v>
      </c>
      <c r="J22" s="12">
        <v>190</v>
      </c>
      <c r="K22" s="12">
        <v>626</v>
      </c>
      <c r="L22" s="12">
        <v>790</v>
      </c>
      <c r="M22" s="12">
        <v>823</v>
      </c>
      <c r="N22" s="12">
        <v>737</v>
      </c>
      <c r="O22" s="12">
        <v>683</v>
      </c>
      <c r="P22" s="12">
        <v>837</v>
      </c>
      <c r="Q22" s="12">
        <v>834</v>
      </c>
      <c r="R22" s="12">
        <v>413</v>
      </c>
      <c r="S22" s="12">
        <v>756</v>
      </c>
      <c r="T22" s="12">
        <v>794</v>
      </c>
      <c r="U22" s="12">
        <v>393</v>
      </c>
      <c r="V22" s="12">
        <v>852</v>
      </c>
      <c r="W22" s="12">
        <v>442</v>
      </c>
      <c r="X22" s="12">
        <v>765</v>
      </c>
      <c r="Y22" s="12">
        <v>735</v>
      </c>
      <c r="Z22" s="12">
        <v>787</v>
      </c>
      <c r="AA22" s="12">
        <v>825</v>
      </c>
      <c r="AB22" s="12">
        <v>670</v>
      </c>
      <c r="AC22" s="12">
        <v>731</v>
      </c>
      <c r="AD22" s="12">
        <v>798</v>
      </c>
      <c r="AE22" s="12">
        <v>748</v>
      </c>
      <c r="AF22" s="12">
        <v>681</v>
      </c>
    </row>
    <row r="23" spans="1:32" x14ac:dyDescent="0.35">
      <c r="A23" s="31"/>
      <c r="B23" s="13" t="s">
        <v>624</v>
      </c>
      <c r="C23" s="14">
        <v>0.73</v>
      </c>
      <c r="D23" s="14">
        <v>0.77</v>
      </c>
      <c r="E23" s="14">
        <v>0.72</v>
      </c>
      <c r="F23" s="14">
        <v>0.66</v>
      </c>
      <c r="G23" s="14">
        <v>0.64</v>
      </c>
      <c r="H23" s="14">
        <v>0.67</v>
      </c>
      <c r="I23" s="14">
        <v>0.67</v>
      </c>
      <c r="J23" s="14">
        <v>0.64</v>
      </c>
      <c r="K23" s="14">
        <v>0.62</v>
      </c>
      <c r="L23" s="14">
        <v>0.79</v>
      </c>
      <c r="M23" s="14">
        <v>0.82000000000000006</v>
      </c>
      <c r="N23" s="14">
        <v>0.74</v>
      </c>
      <c r="O23" s="14">
        <v>0.68</v>
      </c>
      <c r="P23" s="14">
        <v>0.84</v>
      </c>
      <c r="Q23" s="14">
        <v>0.81</v>
      </c>
      <c r="R23" s="14">
        <v>0.82000000000000006</v>
      </c>
      <c r="S23" s="14">
        <v>0.74</v>
      </c>
      <c r="T23" s="14">
        <v>0.78</v>
      </c>
      <c r="U23" s="14">
        <v>0.77</v>
      </c>
      <c r="V23" s="14">
        <v>0.84</v>
      </c>
      <c r="W23" s="14">
        <v>0.88</v>
      </c>
      <c r="X23" s="14">
        <v>0.76</v>
      </c>
      <c r="Y23" s="14">
        <v>0.73</v>
      </c>
      <c r="Z23" s="14">
        <v>0.77</v>
      </c>
      <c r="AA23" s="14">
        <v>0.8</v>
      </c>
      <c r="AB23" s="14">
        <v>0.63</v>
      </c>
      <c r="AC23" s="14">
        <v>0.72</v>
      </c>
      <c r="AD23" s="14">
        <v>0.79</v>
      </c>
      <c r="AE23" s="14">
        <v>0.74</v>
      </c>
      <c r="AF23" s="14">
        <v>0.67</v>
      </c>
    </row>
    <row r="24" spans="1:32" x14ac:dyDescent="0.35">
      <c r="A24" s="31"/>
      <c r="B24" s="11" t="s">
        <v>625</v>
      </c>
      <c r="C24" s="12">
        <v>5337</v>
      </c>
      <c r="D24" s="12">
        <v>204</v>
      </c>
      <c r="E24" s="12">
        <v>185</v>
      </c>
      <c r="F24" s="12">
        <v>293</v>
      </c>
      <c r="G24" s="12">
        <v>282</v>
      </c>
      <c r="H24" s="12">
        <v>318</v>
      </c>
      <c r="I24" s="12">
        <v>405</v>
      </c>
      <c r="J24" s="12">
        <v>87</v>
      </c>
      <c r="K24" s="12">
        <v>241</v>
      </c>
      <c r="L24" s="12">
        <v>164</v>
      </c>
      <c r="M24" s="12">
        <v>121</v>
      </c>
      <c r="N24" s="12">
        <v>166</v>
      </c>
      <c r="O24" s="12">
        <v>234</v>
      </c>
      <c r="P24" s="12">
        <v>124</v>
      </c>
      <c r="Q24" s="12">
        <v>138</v>
      </c>
      <c r="R24" s="12">
        <v>65</v>
      </c>
      <c r="S24" s="12">
        <v>140</v>
      </c>
      <c r="T24" s="12">
        <v>91</v>
      </c>
      <c r="U24" s="12">
        <v>82</v>
      </c>
      <c r="V24" s="12">
        <v>134</v>
      </c>
      <c r="W24" s="12">
        <v>48</v>
      </c>
      <c r="X24" s="12">
        <v>235</v>
      </c>
      <c r="Y24" s="12">
        <v>208</v>
      </c>
      <c r="Z24" s="12">
        <v>146</v>
      </c>
      <c r="AA24" s="12">
        <v>86</v>
      </c>
      <c r="AB24" s="12">
        <v>328</v>
      </c>
      <c r="AC24" s="12">
        <v>241</v>
      </c>
      <c r="AD24" s="12">
        <v>140</v>
      </c>
      <c r="AE24" s="12">
        <v>202</v>
      </c>
      <c r="AF24" s="12">
        <v>318</v>
      </c>
    </row>
    <row r="25" spans="1:32" x14ac:dyDescent="0.35">
      <c r="A25" s="31"/>
      <c r="B25" s="13" t="s">
        <v>626</v>
      </c>
      <c r="C25" s="14">
        <v>0.2</v>
      </c>
      <c r="D25" s="14">
        <v>0.2</v>
      </c>
      <c r="E25" s="14">
        <v>0.18</v>
      </c>
      <c r="F25" s="14">
        <v>0.28999999999999998</v>
      </c>
      <c r="G25" s="14">
        <v>0.28000000000000003</v>
      </c>
      <c r="H25" s="14">
        <v>0.26</v>
      </c>
      <c r="I25" s="14">
        <v>0.26</v>
      </c>
      <c r="J25" s="14">
        <v>0.28999999999999998</v>
      </c>
      <c r="K25" s="14">
        <v>0.24</v>
      </c>
      <c r="L25" s="14">
        <v>0.16</v>
      </c>
      <c r="M25" s="14">
        <v>0.12</v>
      </c>
      <c r="N25" s="14">
        <v>0.16</v>
      </c>
      <c r="O25" s="14">
        <v>0.24</v>
      </c>
      <c r="P25" s="14">
        <v>0.12</v>
      </c>
      <c r="Q25" s="14">
        <v>0.13</v>
      </c>
      <c r="R25" s="14">
        <v>0.13</v>
      </c>
      <c r="S25" s="14">
        <v>0.14000000000000001</v>
      </c>
      <c r="T25" s="14">
        <v>0.09</v>
      </c>
      <c r="U25" s="14">
        <v>0.16</v>
      </c>
      <c r="V25" s="14">
        <v>0.13</v>
      </c>
      <c r="W25" s="14">
        <v>0.1</v>
      </c>
      <c r="X25" s="14">
        <v>0.23</v>
      </c>
      <c r="Y25" s="14">
        <v>0.21</v>
      </c>
      <c r="Z25" s="14">
        <v>0.14000000000000001</v>
      </c>
      <c r="AA25" s="14">
        <v>0.08</v>
      </c>
      <c r="AB25" s="14">
        <v>0.31</v>
      </c>
      <c r="AC25" s="14">
        <v>0.24</v>
      </c>
      <c r="AD25" s="14">
        <v>0.14000000000000001</v>
      </c>
      <c r="AE25" s="14">
        <v>0.2</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75</v>
      </c>
      <c r="C3" s="30"/>
      <c r="D3" s="30"/>
      <c r="E3" s="30"/>
      <c r="F3" s="30"/>
      <c r="H3" s="30" t="s">
        <v>76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HYPERLINK("#Content!A39","&lt;&lt;Back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10591</v>
      </c>
      <c r="D12" s="12">
        <v>356</v>
      </c>
      <c r="E12" s="12">
        <v>377</v>
      </c>
      <c r="F12" s="12">
        <v>305</v>
      </c>
      <c r="G12" s="12">
        <v>723</v>
      </c>
      <c r="H12" s="12">
        <v>784</v>
      </c>
      <c r="I12" s="12">
        <v>952</v>
      </c>
      <c r="J12" s="12">
        <v>168</v>
      </c>
      <c r="K12" s="12">
        <v>350</v>
      </c>
      <c r="L12" s="12">
        <v>483</v>
      </c>
      <c r="M12" s="12">
        <v>526</v>
      </c>
      <c r="N12" s="12">
        <v>432</v>
      </c>
      <c r="O12" s="12">
        <v>361</v>
      </c>
      <c r="P12" s="12">
        <v>272</v>
      </c>
      <c r="Q12" s="12">
        <v>248</v>
      </c>
      <c r="R12" s="12">
        <v>342</v>
      </c>
      <c r="S12" s="12">
        <v>524</v>
      </c>
      <c r="T12" s="12">
        <v>427</v>
      </c>
      <c r="U12" s="12">
        <v>258</v>
      </c>
      <c r="V12" s="12">
        <v>208</v>
      </c>
      <c r="W12" s="12">
        <v>302</v>
      </c>
      <c r="X12" s="12">
        <v>415</v>
      </c>
      <c r="Y12" s="12">
        <v>465</v>
      </c>
      <c r="Z12" s="12">
        <v>170</v>
      </c>
      <c r="AA12" s="12">
        <v>299</v>
      </c>
      <c r="AB12" s="12">
        <v>125</v>
      </c>
      <c r="AC12" s="12">
        <v>638</v>
      </c>
      <c r="AD12" s="12">
        <v>416</v>
      </c>
      <c r="AE12" s="12">
        <v>771</v>
      </c>
      <c r="AF12" s="12">
        <v>824</v>
      </c>
    </row>
    <row r="13" spans="1:32" x14ac:dyDescent="0.35">
      <c r="A13" s="31"/>
      <c r="B13" s="13" t="s">
        <v>503</v>
      </c>
      <c r="C13" s="14">
        <v>0.4</v>
      </c>
      <c r="D13" s="14">
        <v>0.35</v>
      </c>
      <c r="E13" s="14">
        <v>0.36</v>
      </c>
      <c r="F13" s="14">
        <v>0.3</v>
      </c>
      <c r="G13" s="14">
        <v>0.71</v>
      </c>
      <c r="H13" s="14">
        <v>0.64</v>
      </c>
      <c r="I13" s="14">
        <v>0.62</v>
      </c>
      <c r="J13" s="14">
        <v>0.57000000000000006</v>
      </c>
      <c r="K13" s="14">
        <v>0.35</v>
      </c>
      <c r="L13" s="14">
        <v>0.48</v>
      </c>
      <c r="M13" s="14">
        <v>0.52</v>
      </c>
      <c r="N13" s="14">
        <v>0.43</v>
      </c>
      <c r="O13" s="14">
        <v>0.36</v>
      </c>
      <c r="P13" s="14">
        <v>0.27</v>
      </c>
      <c r="Q13" s="14">
        <v>0.24</v>
      </c>
      <c r="R13" s="14">
        <v>0.68</v>
      </c>
      <c r="S13" s="14">
        <v>0.51</v>
      </c>
      <c r="T13" s="14">
        <v>0.42</v>
      </c>
      <c r="U13" s="14">
        <v>0.51</v>
      </c>
      <c r="V13" s="14">
        <v>0.21</v>
      </c>
      <c r="W13" s="14">
        <v>0.6</v>
      </c>
      <c r="X13" s="14">
        <v>0.41</v>
      </c>
      <c r="Y13" s="14">
        <v>0.46</v>
      </c>
      <c r="Z13" s="14">
        <v>0.17</v>
      </c>
      <c r="AA13" s="14">
        <v>0.28999999999999998</v>
      </c>
      <c r="AB13" s="14">
        <v>0.12</v>
      </c>
      <c r="AC13" s="14">
        <v>0.63</v>
      </c>
      <c r="AD13" s="14">
        <v>0.42</v>
      </c>
      <c r="AE13" s="14">
        <v>0.77</v>
      </c>
      <c r="AF13" s="14">
        <v>0.81</v>
      </c>
    </row>
    <row r="14" spans="1:32" x14ac:dyDescent="0.35">
      <c r="A14" s="31"/>
      <c r="B14" s="11" t="s">
        <v>504</v>
      </c>
      <c r="C14" s="12">
        <v>11954</v>
      </c>
      <c r="D14" s="12">
        <v>532</v>
      </c>
      <c r="E14" s="12">
        <v>477</v>
      </c>
      <c r="F14" s="12">
        <v>498</v>
      </c>
      <c r="G14" s="12">
        <v>229</v>
      </c>
      <c r="H14" s="12">
        <v>328</v>
      </c>
      <c r="I14" s="12">
        <v>421</v>
      </c>
      <c r="J14" s="12">
        <v>93</v>
      </c>
      <c r="K14" s="12">
        <v>455</v>
      </c>
      <c r="L14" s="12">
        <v>404</v>
      </c>
      <c r="M14" s="12">
        <v>428</v>
      </c>
      <c r="N14" s="12">
        <v>387</v>
      </c>
      <c r="O14" s="12">
        <v>473</v>
      </c>
      <c r="P14" s="12">
        <v>578</v>
      </c>
      <c r="Q14" s="12">
        <v>669</v>
      </c>
      <c r="R14" s="12">
        <v>112</v>
      </c>
      <c r="S14" s="12">
        <v>376</v>
      </c>
      <c r="T14" s="12">
        <v>485</v>
      </c>
      <c r="U14" s="12">
        <v>205</v>
      </c>
      <c r="V14" s="12">
        <v>621</v>
      </c>
      <c r="W14" s="12">
        <v>158</v>
      </c>
      <c r="X14" s="12">
        <v>423</v>
      </c>
      <c r="Y14" s="12">
        <v>424</v>
      </c>
      <c r="Z14" s="12">
        <v>681</v>
      </c>
      <c r="AA14" s="12">
        <v>598</v>
      </c>
      <c r="AB14" s="12">
        <v>524</v>
      </c>
      <c r="AC14" s="12">
        <v>295</v>
      </c>
      <c r="AD14" s="12">
        <v>435</v>
      </c>
      <c r="AE14" s="12">
        <v>185</v>
      </c>
      <c r="AF14" s="12">
        <v>154</v>
      </c>
    </row>
    <row r="15" spans="1:32" x14ac:dyDescent="0.35">
      <c r="A15" s="31"/>
      <c r="B15" s="13" t="s">
        <v>505</v>
      </c>
      <c r="C15" s="14">
        <v>0.45</v>
      </c>
      <c r="D15" s="14">
        <v>0.52</v>
      </c>
      <c r="E15" s="14">
        <v>0.46</v>
      </c>
      <c r="F15" s="14">
        <v>0.49</v>
      </c>
      <c r="G15" s="14">
        <v>0.22</v>
      </c>
      <c r="H15" s="14">
        <v>0.27</v>
      </c>
      <c r="I15" s="14">
        <v>0.28000000000000003</v>
      </c>
      <c r="J15" s="14">
        <v>0.31</v>
      </c>
      <c r="K15" s="14">
        <v>0.45</v>
      </c>
      <c r="L15" s="14">
        <v>0.4</v>
      </c>
      <c r="M15" s="14">
        <v>0.43</v>
      </c>
      <c r="N15" s="14">
        <v>0.39</v>
      </c>
      <c r="O15" s="14">
        <v>0.48</v>
      </c>
      <c r="P15" s="14">
        <v>0.57999999999999996</v>
      </c>
      <c r="Q15" s="14">
        <v>0.65</v>
      </c>
      <c r="R15" s="14">
        <v>0.23</v>
      </c>
      <c r="S15" s="14">
        <v>0.37</v>
      </c>
      <c r="T15" s="14">
        <v>0.47</v>
      </c>
      <c r="U15" s="14">
        <v>0.4</v>
      </c>
      <c r="V15" s="14">
        <v>0.61</v>
      </c>
      <c r="W15" s="14">
        <v>0.32</v>
      </c>
      <c r="X15" s="14">
        <v>0.42</v>
      </c>
      <c r="Y15" s="14">
        <v>0.42</v>
      </c>
      <c r="Z15" s="14">
        <v>0.67</v>
      </c>
      <c r="AA15" s="14">
        <v>0.57999999999999996</v>
      </c>
      <c r="AB15" s="14">
        <v>0.49</v>
      </c>
      <c r="AC15" s="14">
        <v>0.28999999999999998</v>
      </c>
      <c r="AD15" s="14">
        <v>0.43</v>
      </c>
      <c r="AE15" s="14">
        <v>0.18</v>
      </c>
      <c r="AF15" s="14">
        <v>0.15</v>
      </c>
    </row>
    <row r="16" spans="1:32" x14ac:dyDescent="0.35">
      <c r="A16" s="31"/>
      <c r="B16" s="11" t="s">
        <v>506</v>
      </c>
      <c r="C16" s="12">
        <v>2159</v>
      </c>
      <c r="D16" s="12">
        <v>90</v>
      </c>
      <c r="E16" s="12">
        <v>89</v>
      </c>
      <c r="F16" s="12">
        <v>156</v>
      </c>
      <c r="G16" s="12">
        <v>30</v>
      </c>
      <c r="H16" s="12">
        <v>62</v>
      </c>
      <c r="I16" s="12">
        <v>89</v>
      </c>
      <c r="J16" s="12">
        <v>27</v>
      </c>
      <c r="K16" s="12">
        <v>110</v>
      </c>
      <c r="L16" s="12">
        <v>53</v>
      </c>
      <c r="M16" s="12">
        <v>26</v>
      </c>
      <c r="N16" s="12">
        <v>61</v>
      </c>
      <c r="O16" s="12">
        <v>82</v>
      </c>
      <c r="P16" s="12">
        <v>98</v>
      </c>
      <c r="Q16" s="12">
        <v>78</v>
      </c>
      <c r="R16" s="12">
        <v>27</v>
      </c>
      <c r="S16" s="12">
        <v>47</v>
      </c>
      <c r="T16" s="12">
        <v>37</v>
      </c>
      <c r="U16" s="12">
        <v>20</v>
      </c>
      <c r="V16" s="12">
        <v>142</v>
      </c>
      <c r="W16" s="12">
        <v>33</v>
      </c>
      <c r="X16" s="12">
        <v>120</v>
      </c>
      <c r="Y16" s="12">
        <v>74</v>
      </c>
      <c r="Z16" s="12">
        <v>111</v>
      </c>
      <c r="AA16" s="12">
        <v>30</v>
      </c>
      <c r="AB16" s="12">
        <v>262</v>
      </c>
      <c r="AC16" s="12">
        <v>50</v>
      </c>
      <c r="AD16" s="12">
        <v>82</v>
      </c>
      <c r="AE16" s="12">
        <v>27</v>
      </c>
      <c r="AF16" s="12">
        <v>21</v>
      </c>
    </row>
    <row r="17" spans="1:32" x14ac:dyDescent="0.35">
      <c r="A17" s="31"/>
      <c r="B17" s="13" t="s">
        <v>507</v>
      </c>
      <c r="C17" s="14">
        <v>0.08</v>
      </c>
      <c r="D17" s="14">
        <v>0.08</v>
      </c>
      <c r="E17" s="14">
        <v>0.09</v>
      </c>
      <c r="F17" s="14">
        <v>0.15</v>
      </c>
      <c r="G17" s="14">
        <v>0.03</v>
      </c>
      <c r="H17" s="14">
        <v>0.05</v>
      </c>
      <c r="I17" s="14">
        <v>0.06</v>
      </c>
      <c r="J17" s="14">
        <v>0.09</v>
      </c>
      <c r="K17" s="14">
        <v>0.11</v>
      </c>
      <c r="L17" s="14">
        <v>0.05</v>
      </c>
      <c r="M17" s="14">
        <v>0.03</v>
      </c>
      <c r="N17" s="14">
        <v>0.06</v>
      </c>
      <c r="O17" s="14">
        <v>0.08</v>
      </c>
      <c r="P17" s="14">
        <v>0.1</v>
      </c>
      <c r="Q17" s="14">
        <v>0.08</v>
      </c>
      <c r="R17" s="14">
        <v>0.05</v>
      </c>
      <c r="S17" s="14">
        <v>0.05</v>
      </c>
      <c r="T17" s="14">
        <v>0.04</v>
      </c>
      <c r="U17" s="14">
        <v>0.04</v>
      </c>
      <c r="V17" s="14">
        <v>0.14000000000000001</v>
      </c>
      <c r="W17" s="14">
        <v>7.0000000000000007E-2</v>
      </c>
      <c r="X17" s="14">
        <v>0.12</v>
      </c>
      <c r="Y17" s="14">
        <v>0.08</v>
      </c>
      <c r="Z17" s="14">
        <v>0.11</v>
      </c>
      <c r="AA17" s="14">
        <v>0.03</v>
      </c>
      <c r="AB17" s="14">
        <v>0.25</v>
      </c>
      <c r="AC17" s="14">
        <v>0.05</v>
      </c>
      <c r="AD17" s="14">
        <v>0.08</v>
      </c>
      <c r="AE17" s="14">
        <v>0.03</v>
      </c>
      <c r="AF17" s="14">
        <v>0.02</v>
      </c>
    </row>
    <row r="18" spans="1:32" x14ac:dyDescent="0.35">
      <c r="A18" s="31"/>
      <c r="B18" s="11" t="s">
        <v>508</v>
      </c>
      <c r="C18" s="12">
        <v>624</v>
      </c>
      <c r="D18" s="12">
        <v>18</v>
      </c>
      <c r="E18" s="12">
        <v>37</v>
      </c>
      <c r="F18" s="12">
        <v>36</v>
      </c>
      <c r="G18" s="12">
        <v>8</v>
      </c>
      <c r="H18" s="12">
        <v>25</v>
      </c>
      <c r="I18" s="12">
        <v>32</v>
      </c>
      <c r="J18" s="12">
        <v>6</v>
      </c>
      <c r="K18" s="12">
        <v>43</v>
      </c>
      <c r="L18" s="12">
        <v>13</v>
      </c>
      <c r="M18" s="12">
        <v>16</v>
      </c>
      <c r="N18" s="12">
        <v>23</v>
      </c>
      <c r="O18" s="12">
        <v>22</v>
      </c>
      <c r="P18" s="12">
        <v>36</v>
      </c>
      <c r="Q18" s="12">
        <v>13</v>
      </c>
      <c r="R18" s="12">
        <v>14</v>
      </c>
      <c r="S18" s="12">
        <v>20</v>
      </c>
      <c r="T18" s="12">
        <v>9</v>
      </c>
      <c r="U18" s="12">
        <v>12</v>
      </c>
      <c r="V18" s="12">
        <v>30</v>
      </c>
      <c r="W18" s="12">
        <v>3</v>
      </c>
      <c r="X18" s="12">
        <v>42</v>
      </c>
      <c r="Y18" s="12">
        <v>22</v>
      </c>
      <c r="Z18" s="12">
        <v>16</v>
      </c>
      <c r="AA18" s="12">
        <v>1</v>
      </c>
      <c r="AB18" s="12">
        <v>97</v>
      </c>
      <c r="AC18" s="12">
        <v>24</v>
      </c>
      <c r="AD18" s="12">
        <v>48</v>
      </c>
      <c r="AE18" s="12">
        <v>14</v>
      </c>
      <c r="AF18" s="12">
        <v>18</v>
      </c>
    </row>
    <row r="19" spans="1:32" x14ac:dyDescent="0.35">
      <c r="A19" s="31"/>
      <c r="B19" s="13" t="s">
        <v>509</v>
      </c>
      <c r="C19" s="14">
        <v>0.03</v>
      </c>
      <c r="D19" s="14">
        <v>0.02</v>
      </c>
      <c r="E19" s="14">
        <v>0.03</v>
      </c>
      <c r="F19" s="14">
        <v>0.04</v>
      </c>
      <c r="G19" s="14">
        <v>0.01</v>
      </c>
      <c r="H19" s="14">
        <v>0.02</v>
      </c>
      <c r="I19" s="14">
        <v>0.02</v>
      </c>
      <c r="J19" s="14">
        <v>0.02</v>
      </c>
      <c r="K19" s="14">
        <v>0.04</v>
      </c>
      <c r="L19" s="14">
        <v>0.02</v>
      </c>
      <c r="M19" s="14">
        <v>0.01</v>
      </c>
      <c r="N19" s="14">
        <v>0.02</v>
      </c>
      <c r="O19" s="14">
        <v>0.02</v>
      </c>
      <c r="P19" s="14">
        <v>0.03</v>
      </c>
      <c r="Q19" s="14">
        <v>0.01</v>
      </c>
      <c r="R19" s="14">
        <v>0.03</v>
      </c>
      <c r="S19" s="14">
        <v>0.02</v>
      </c>
      <c r="T19" s="14">
        <v>0.01</v>
      </c>
      <c r="U19" s="14">
        <v>0.02</v>
      </c>
      <c r="V19" s="14">
        <v>0.03</v>
      </c>
      <c r="W19" s="15" t="s">
        <v>333</v>
      </c>
      <c r="X19" s="14">
        <v>0.04</v>
      </c>
      <c r="Y19" s="14">
        <v>0.02</v>
      </c>
      <c r="Z19" s="14">
        <v>0.01</v>
      </c>
      <c r="AA19" s="15" t="s">
        <v>333</v>
      </c>
      <c r="AB19" s="14">
        <v>0.09</v>
      </c>
      <c r="AC19" s="14">
        <v>0.02</v>
      </c>
      <c r="AD19" s="14">
        <v>0.05</v>
      </c>
      <c r="AE19" s="14">
        <v>0.01</v>
      </c>
      <c r="AF19" s="14">
        <v>0.02</v>
      </c>
    </row>
    <row r="20" spans="1:32" x14ac:dyDescent="0.35">
      <c r="A20" s="31"/>
      <c r="B20" s="11" t="s">
        <v>344</v>
      </c>
      <c r="C20" s="12">
        <v>1083</v>
      </c>
      <c r="D20" s="12">
        <v>29</v>
      </c>
      <c r="E20" s="12">
        <v>59</v>
      </c>
      <c r="F20" s="12">
        <v>23</v>
      </c>
      <c r="G20" s="12">
        <v>27</v>
      </c>
      <c r="H20" s="12">
        <v>32</v>
      </c>
      <c r="I20" s="12">
        <v>36</v>
      </c>
      <c r="J20" s="12">
        <v>4</v>
      </c>
      <c r="K20" s="12">
        <v>52</v>
      </c>
      <c r="L20" s="12">
        <v>50</v>
      </c>
      <c r="M20" s="12">
        <v>7</v>
      </c>
      <c r="N20" s="12">
        <v>97</v>
      </c>
      <c r="O20" s="12">
        <v>63</v>
      </c>
      <c r="P20" s="12">
        <v>19</v>
      </c>
      <c r="Q20" s="12">
        <v>27</v>
      </c>
      <c r="R20" s="12">
        <v>5</v>
      </c>
      <c r="S20" s="12">
        <v>54</v>
      </c>
      <c r="T20" s="12">
        <v>59</v>
      </c>
      <c r="U20" s="12">
        <v>14</v>
      </c>
      <c r="V20" s="12">
        <v>13</v>
      </c>
      <c r="W20" s="12">
        <v>4</v>
      </c>
      <c r="X20" s="12">
        <v>10</v>
      </c>
      <c r="Y20" s="12">
        <v>17</v>
      </c>
      <c r="Z20" s="12">
        <v>40</v>
      </c>
      <c r="AA20" s="12">
        <v>102</v>
      </c>
      <c r="AB20" s="12">
        <v>49</v>
      </c>
      <c r="AC20" s="12">
        <v>6</v>
      </c>
      <c r="AD20" s="12">
        <v>22</v>
      </c>
      <c r="AE20" s="12">
        <v>10</v>
      </c>
      <c r="AF20" s="12">
        <v>3</v>
      </c>
    </row>
    <row r="21" spans="1:32" x14ac:dyDescent="0.35">
      <c r="A21" s="31"/>
      <c r="B21" s="13" t="s">
        <v>419</v>
      </c>
      <c r="C21" s="14">
        <v>0.04</v>
      </c>
      <c r="D21" s="14">
        <v>0.03</v>
      </c>
      <c r="E21" s="14">
        <v>0.06</v>
      </c>
      <c r="F21" s="14">
        <v>0.02</v>
      </c>
      <c r="G21" s="14">
        <v>0.03</v>
      </c>
      <c r="H21" s="14">
        <v>0.02</v>
      </c>
      <c r="I21" s="14">
        <v>0.02</v>
      </c>
      <c r="J21" s="14">
        <v>0.01</v>
      </c>
      <c r="K21" s="14">
        <v>0.05</v>
      </c>
      <c r="L21" s="14">
        <v>0.05</v>
      </c>
      <c r="M21" s="14">
        <v>0.01</v>
      </c>
      <c r="N21" s="14">
        <v>0.1</v>
      </c>
      <c r="O21" s="14">
        <v>0.06</v>
      </c>
      <c r="P21" s="14">
        <v>0.02</v>
      </c>
      <c r="Q21" s="14">
        <v>0.02</v>
      </c>
      <c r="R21" s="14">
        <v>0.01</v>
      </c>
      <c r="S21" s="14">
        <v>0.05</v>
      </c>
      <c r="T21" s="14">
        <v>0.06</v>
      </c>
      <c r="U21" s="14">
        <v>0.03</v>
      </c>
      <c r="V21" s="14">
        <v>0.01</v>
      </c>
      <c r="W21" s="14">
        <v>0.01</v>
      </c>
      <c r="X21" s="14">
        <v>0.01</v>
      </c>
      <c r="Y21" s="14">
        <v>0.02</v>
      </c>
      <c r="Z21" s="14">
        <v>0.04</v>
      </c>
      <c r="AA21" s="14">
        <v>0.1</v>
      </c>
      <c r="AB21" s="14">
        <v>0.05</v>
      </c>
      <c r="AC21" s="14">
        <v>0.01</v>
      </c>
      <c r="AD21" s="14">
        <v>0.02</v>
      </c>
      <c r="AE21" s="14">
        <v>0.01</v>
      </c>
      <c r="AF21" s="15" t="s">
        <v>333</v>
      </c>
    </row>
    <row r="22" spans="1:32" x14ac:dyDescent="0.35">
      <c r="A22" s="31"/>
      <c r="B22" s="11" t="s">
        <v>510</v>
      </c>
      <c r="C22" s="12">
        <v>22545</v>
      </c>
      <c r="D22" s="12">
        <v>888</v>
      </c>
      <c r="E22" s="12">
        <v>854</v>
      </c>
      <c r="F22" s="12">
        <v>803</v>
      </c>
      <c r="G22" s="12">
        <v>952</v>
      </c>
      <c r="H22" s="12">
        <v>1112</v>
      </c>
      <c r="I22" s="12">
        <v>1373</v>
      </c>
      <c r="J22" s="12">
        <v>261</v>
      </c>
      <c r="K22" s="12">
        <v>805</v>
      </c>
      <c r="L22" s="12">
        <v>887</v>
      </c>
      <c r="M22" s="12">
        <v>954</v>
      </c>
      <c r="N22" s="12">
        <v>819</v>
      </c>
      <c r="O22" s="12">
        <v>834</v>
      </c>
      <c r="P22" s="12">
        <v>850</v>
      </c>
      <c r="Q22" s="12">
        <v>917</v>
      </c>
      <c r="R22" s="12">
        <v>454</v>
      </c>
      <c r="S22" s="12">
        <v>900</v>
      </c>
      <c r="T22" s="12">
        <v>912</v>
      </c>
      <c r="U22" s="12">
        <v>463</v>
      </c>
      <c r="V22" s="12">
        <v>829</v>
      </c>
      <c r="W22" s="12">
        <v>460</v>
      </c>
      <c r="X22" s="12">
        <v>838</v>
      </c>
      <c r="Y22" s="12">
        <v>889</v>
      </c>
      <c r="Z22" s="12">
        <v>851</v>
      </c>
      <c r="AA22" s="12">
        <v>897</v>
      </c>
      <c r="AB22" s="12">
        <v>649</v>
      </c>
      <c r="AC22" s="12">
        <v>933</v>
      </c>
      <c r="AD22" s="12">
        <v>851</v>
      </c>
      <c r="AE22" s="12">
        <v>956</v>
      </c>
      <c r="AF22" s="12">
        <v>978</v>
      </c>
    </row>
    <row r="23" spans="1:32" x14ac:dyDescent="0.35">
      <c r="A23" s="31"/>
      <c r="B23" s="13" t="s">
        <v>511</v>
      </c>
      <c r="C23" s="14">
        <v>0.85</v>
      </c>
      <c r="D23" s="14">
        <v>0.87</v>
      </c>
      <c r="E23" s="14">
        <v>0.82000000000000006</v>
      </c>
      <c r="F23" s="14">
        <v>0.79</v>
      </c>
      <c r="G23" s="14">
        <v>0.93</v>
      </c>
      <c r="H23" s="14">
        <v>0.91</v>
      </c>
      <c r="I23" s="14">
        <v>0.9</v>
      </c>
      <c r="J23" s="14">
        <v>0.88</v>
      </c>
      <c r="K23" s="14">
        <v>0.8</v>
      </c>
      <c r="L23" s="14">
        <v>0.88</v>
      </c>
      <c r="M23" s="14">
        <v>0.95000000000000007</v>
      </c>
      <c r="N23" s="14">
        <v>0.82000000000000006</v>
      </c>
      <c r="O23" s="14">
        <v>0.84</v>
      </c>
      <c r="P23" s="14">
        <v>0.85</v>
      </c>
      <c r="Q23" s="14">
        <v>0.89</v>
      </c>
      <c r="R23" s="14">
        <v>0.91</v>
      </c>
      <c r="S23" s="14">
        <v>0.88</v>
      </c>
      <c r="T23" s="14">
        <v>0.89</v>
      </c>
      <c r="U23" s="14">
        <v>0.91</v>
      </c>
      <c r="V23" s="14">
        <v>0.82000000000000006</v>
      </c>
      <c r="W23" s="14">
        <v>0.92</v>
      </c>
      <c r="X23" s="14">
        <v>0.83000000000000007</v>
      </c>
      <c r="Y23" s="14">
        <v>0.88</v>
      </c>
      <c r="Z23" s="14">
        <v>0.84</v>
      </c>
      <c r="AA23" s="14">
        <v>0.87</v>
      </c>
      <c r="AB23" s="14">
        <v>0.61</v>
      </c>
      <c r="AC23" s="14">
        <v>0.92</v>
      </c>
      <c r="AD23" s="14">
        <v>0.85</v>
      </c>
      <c r="AE23" s="14">
        <v>0.95000000000000007</v>
      </c>
      <c r="AF23" s="14">
        <v>0.96</v>
      </c>
    </row>
    <row r="24" spans="1:32" x14ac:dyDescent="0.35">
      <c r="A24" s="31"/>
      <c r="B24" s="11" t="s">
        <v>512</v>
      </c>
      <c r="C24" s="12">
        <v>2783</v>
      </c>
      <c r="D24" s="12">
        <v>108</v>
      </c>
      <c r="E24" s="12">
        <v>126</v>
      </c>
      <c r="F24" s="12">
        <v>192</v>
      </c>
      <c r="G24" s="12">
        <v>38</v>
      </c>
      <c r="H24" s="12">
        <v>87</v>
      </c>
      <c r="I24" s="12">
        <v>121</v>
      </c>
      <c r="J24" s="12">
        <v>33</v>
      </c>
      <c r="K24" s="12">
        <v>153</v>
      </c>
      <c r="L24" s="12">
        <v>66</v>
      </c>
      <c r="M24" s="12">
        <v>42</v>
      </c>
      <c r="N24" s="12">
        <v>84</v>
      </c>
      <c r="O24" s="12">
        <v>104</v>
      </c>
      <c r="P24" s="12">
        <v>134</v>
      </c>
      <c r="Q24" s="12">
        <v>91</v>
      </c>
      <c r="R24" s="12">
        <v>41</v>
      </c>
      <c r="S24" s="12">
        <v>67</v>
      </c>
      <c r="T24" s="12">
        <v>46</v>
      </c>
      <c r="U24" s="12">
        <v>32</v>
      </c>
      <c r="V24" s="12">
        <v>172</v>
      </c>
      <c r="W24" s="12">
        <v>36</v>
      </c>
      <c r="X24" s="12">
        <v>162</v>
      </c>
      <c r="Y24" s="12">
        <v>96</v>
      </c>
      <c r="Z24" s="12">
        <v>127</v>
      </c>
      <c r="AA24" s="12">
        <v>31</v>
      </c>
      <c r="AB24" s="12">
        <v>359</v>
      </c>
      <c r="AC24" s="12">
        <v>74</v>
      </c>
      <c r="AD24" s="12">
        <v>130</v>
      </c>
      <c r="AE24" s="12">
        <v>41</v>
      </c>
      <c r="AF24" s="12">
        <v>39</v>
      </c>
    </row>
    <row r="25" spans="1:32" x14ac:dyDescent="0.35">
      <c r="A25" s="31"/>
      <c r="B25" s="13" t="s">
        <v>513</v>
      </c>
      <c r="C25" s="14">
        <v>0.11</v>
      </c>
      <c r="D25" s="14">
        <v>0.1</v>
      </c>
      <c r="E25" s="14">
        <v>0.12</v>
      </c>
      <c r="F25" s="14">
        <v>0.19</v>
      </c>
      <c r="G25" s="14">
        <v>0.04</v>
      </c>
      <c r="H25" s="14">
        <v>7.0000000000000007E-2</v>
      </c>
      <c r="I25" s="14">
        <v>0.08</v>
      </c>
      <c r="J25" s="14">
        <v>0.11</v>
      </c>
      <c r="K25" s="14">
        <v>0.15</v>
      </c>
      <c r="L25" s="14">
        <v>7.0000000000000007E-2</v>
      </c>
      <c r="M25" s="14">
        <v>0.04</v>
      </c>
      <c r="N25" s="14">
        <v>0.08</v>
      </c>
      <c r="O25" s="14">
        <v>0.1</v>
      </c>
      <c r="P25" s="14">
        <v>0.13</v>
      </c>
      <c r="Q25" s="14">
        <v>0.09</v>
      </c>
      <c r="R25" s="14">
        <v>0.08</v>
      </c>
      <c r="S25" s="14">
        <v>7.0000000000000007E-2</v>
      </c>
      <c r="T25" s="14">
        <v>0.05</v>
      </c>
      <c r="U25" s="14">
        <v>0.06</v>
      </c>
      <c r="V25" s="14">
        <v>0.17</v>
      </c>
      <c r="W25" s="14">
        <v>7.0000000000000007E-2</v>
      </c>
      <c r="X25" s="14">
        <v>0.16</v>
      </c>
      <c r="Y25" s="14">
        <v>0.1</v>
      </c>
      <c r="Z25" s="14">
        <v>0.12</v>
      </c>
      <c r="AA25" s="14">
        <v>0.03</v>
      </c>
      <c r="AB25" s="14">
        <v>0.34</v>
      </c>
      <c r="AC25" s="14">
        <v>7.0000000000000007E-2</v>
      </c>
      <c r="AD25" s="14">
        <v>0.13</v>
      </c>
      <c r="AE25" s="14">
        <v>0.04</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77</v>
      </c>
      <c r="C3" s="30"/>
      <c r="D3" s="30"/>
      <c r="E3" s="30"/>
      <c r="F3" s="30"/>
      <c r="H3" s="30" t="s">
        <v>78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627</v>
      </c>
      <c r="C12" s="12">
        <v>7134</v>
      </c>
      <c r="D12" s="12">
        <v>411</v>
      </c>
      <c r="E12" s="12">
        <v>283</v>
      </c>
      <c r="F12" s="12">
        <v>300</v>
      </c>
      <c r="G12" s="12">
        <v>165</v>
      </c>
      <c r="H12" s="12">
        <v>432</v>
      </c>
      <c r="I12" s="12">
        <v>557</v>
      </c>
      <c r="J12" s="12">
        <v>126</v>
      </c>
      <c r="K12" s="12">
        <v>354</v>
      </c>
      <c r="L12" s="12">
        <v>277</v>
      </c>
      <c r="M12" s="12">
        <v>344</v>
      </c>
      <c r="N12" s="12">
        <v>255</v>
      </c>
      <c r="O12" s="12">
        <v>465</v>
      </c>
      <c r="P12" s="12">
        <v>164</v>
      </c>
      <c r="Q12" s="12">
        <v>94</v>
      </c>
      <c r="R12" s="12">
        <v>149</v>
      </c>
      <c r="S12" s="12">
        <v>184</v>
      </c>
      <c r="T12" s="12">
        <v>223</v>
      </c>
      <c r="U12" s="12">
        <v>155</v>
      </c>
      <c r="V12" s="12">
        <v>129</v>
      </c>
      <c r="W12" s="12">
        <v>139</v>
      </c>
      <c r="X12" s="12">
        <v>224</v>
      </c>
      <c r="Y12" s="12">
        <v>374</v>
      </c>
      <c r="Z12" s="12">
        <v>96</v>
      </c>
      <c r="AA12" s="12">
        <v>182</v>
      </c>
      <c r="AB12" s="12">
        <v>228</v>
      </c>
      <c r="AC12" s="12">
        <v>296</v>
      </c>
      <c r="AD12" s="12">
        <v>324</v>
      </c>
      <c r="AE12" s="12">
        <v>187</v>
      </c>
      <c r="AF12" s="12">
        <v>197</v>
      </c>
    </row>
    <row r="13" spans="1:32" ht="21.5" x14ac:dyDescent="0.35">
      <c r="A13" s="31"/>
      <c r="B13" s="13" t="s">
        <v>628</v>
      </c>
      <c r="C13" s="14">
        <v>0.27</v>
      </c>
      <c r="D13" s="14">
        <v>0.4</v>
      </c>
      <c r="E13" s="14">
        <v>0.27</v>
      </c>
      <c r="F13" s="14">
        <v>0.28999999999999998</v>
      </c>
      <c r="G13" s="14">
        <v>0.16</v>
      </c>
      <c r="H13" s="14">
        <v>0.35</v>
      </c>
      <c r="I13" s="14">
        <v>0.37</v>
      </c>
      <c r="J13" s="14">
        <v>0.42</v>
      </c>
      <c r="K13" s="14">
        <v>0.35</v>
      </c>
      <c r="L13" s="14">
        <v>0.27</v>
      </c>
      <c r="M13" s="14">
        <v>0.34</v>
      </c>
      <c r="N13" s="14">
        <v>0.25</v>
      </c>
      <c r="O13" s="14">
        <v>0.46</v>
      </c>
      <c r="P13" s="14">
        <v>0.16</v>
      </c>
      <c r="Q13" s="14">
        <v>0.09</v>
      </c>
      <c r="R13" s="14">
        <v>0.3</v>
      </c>
      <c r="S13" s="14">
        <v>0.18</v>
      </c>
      <c r="T13" s="14">
        <v>0.22</v>
      </c>
      <c r="U13" s="14">
        <v>0.31</v>
      </c>
      <c r="V13" s="14">
        <v>0.13</v>
      </c>
      <c r="W13" s="14">
        <v>0.28000000000000003</v>
      </c>
      <c r="X13" s="14">
        <v>0.22</v>
      </c>
      <c r="Y13" s="14">
        <v>0.37</v>
      </c>
      <c r="Z13" s="14">
        <v>0.09</v>
      </c>
      <c r="AA13" s="14">
        <v>0.18</v>
      </c>
      <c r="AB13" s="14">
        <v>0.22</v>
      </c>
      <c r="AC13" s="14">
        <v>0.28999999999999998</v>
      </c>
      <c r="AD13" s="14">
        <v>0.32</v>
      </c>
      <c r="AE13" s="14">
        <v>0.19</v>
      </c>
      <c r="AF13" s="14">
        <v>0.19</v>
      </c>
    </row>
    <row r="14" spans="1:32" ht="21.5" x14ac:dyDescent="0.35">
      <c r="A14" s="31"/>
      <c r="B14" s="11" t="s">
        <v>629</v>
      </c>
      <c r="C14" s="12">
        <v>14597</v>
      </c>
      <c r="D14" s="12">
        <v>462</v>
      </c>
      <c r="E14" s="12">
        <v>451</v>
      </c>
      <c r="F14" s="12">
        <v>576</v>
      </c>
      <c r="G14" s="12">
        <v>595</v>
      </c>
      <c r="H14" s="12">
        <v>606</v>
      </c>
      <c r="I14" s="12">
        <v>734</v>
      </c>
      <c r="J14" s="12">
        <v>128</v>
      </c>
      <c r="K14" s="12">
        <v>417</v>
      </c>
      <c r="L14" s="12">
        <v>489</v>
      </c>
      <c r="M14" s="12">
        <v>503</v>
      </c>
      <c r="N14" s="12">
        <v>518</v>
      </c>
      <c r="O14" s="12">
        <v>386</v>
      </c>
      <c r="P14" s="12">
        <v>608</v>
      </c>
      <c r="Q14" s="12">
        <v>814</v>
      </c>
      <c r="R14" s="12">
        <v>203</v>
      </c>
      <c r="S14" s="12">
        <v>498</v>
      </c>
      <c r="T14" s="12">
        <v>481</v>
      </c>
      <c r="U14" s="12">
        <v>266</v>
      </c>
      <c r="V14" s="12">
        <v>755</v>
      </c>
      <c r="W14" s="12">
        <v>230</v>
      </c>
      <c r="X14" s="12">
        <v>600</v>
      </c>
      <c r="Y14" s="12">
        <v>485</v>
      </c>
      <c r="Z14" s="12">
        <v>757</v>
      </c>
      <c r="AA14" s="12">
        <v>645</v>
      </c>
      <c r="AB14" s="12">
        <v>495</v>
      </c>
      <c r="AC14" s="12">
        <v>507</v>
      </c>
      <c r="AD14" s="12">
        <v>513</v>
      </c>
      <c r="AE14" s="12">
        <v>547</v>
      </c>
      <c r="AF14" s="12">
        <v>574</v>
      </c>
    </row>
    <row r="15" spans="1:32" ht="21.5" x14ac:dyDescent="0.35">
      <c r="A15" s="31"/>
      <c r="B15" s="13" t="s">
        <v>630</v>
      </c>
      <c r="C15" s="14">
        <v>0.55000000000000004</v>
      </c>
      <c r="D15" s="14">
        <v>0.45</v>
      </c>
      <c r="E15" s="14">
        <v>0.43</v>
      </c>
      <c r="F15" s="14">
        <v>0.57000000000000006</v>
      </c>
      <c r="G15" s="14">
        <v>0.59</v>
      </c>
      <c r="H15" s="14">
        <v>0.49</v>
      </c>
      <c r="I15" s="14">
        <v>0.48</v>
      </c>
      <c r="J15" s="14">
        <v>0.43</v>
      </c>
      <c r="K15" s="14">
        <v>0.41</v>
      </c>
      <c r="L15" s="14">
        <v>0.49</v>
      </c>
      <c r="M15" s="14">
        <v>0.5</v>
      </c>
      <c r="N15" s="14">
        <v>0.52</v>
      </c>
      <c r="O15" s="14">
        <v>0.39</v>
      </c>
      <c r="P15" s="14">
        <v>0.61</v>
      </c>
      <c r="Q15" s="14">
        <v>0.79</v>
      </c>
      <c r="R15" s="14">
        <v>0.4</v>
      </c>
      <c r="S15" s="14">
        <v>0.49</v>
      </c>
      <c r="T15" s="14">
        <v>0.47</v>
      </c>
      <c r="U15" s="14">
        <v>0.52</v>
      </c>
      <c r="V15" s="14">
        <v>0.74</v>
      </c>
      <c r="W15" s="14">
        <v>0.46</v>
      </c>
      <c r="X15" s="14">
        <v>0.59</v>
      </c>
      <c r="Y15" s="14">
        <v>0.48</v>
      </c>
      <c r="Z15" s="14">
        <v>0.74</v>
      </c>
      <c r="AA15" s="14">
        <v>0.63</v>
      </c>
      <c r="AB15" s="14">
        <v>0.47</v>
      </c>
      <c r="AC15" s="14">
        <v>0.5</v>
      </c>
      <c r="AD15" s="14">
        <v>0.51</v>
      </c>
      <c r="AE15" s="14">
        <v>0.54</v>
      </c>
      <c r="AF15" s="14">
        <v>0.56000000000000005</v>
      </c>
    </row>
    <row r="16" spans="1:32" ht="21.5" x14ac:dyDescent="0.35">
      <c r="A16" s="31"/>
      <c r="B16" s="11" t="s">
        <v>631</v>
      </c>
      <c r="C16" s="12">
        <v>3997</v>
      </c>
      <c r="D16" s="12">
        <v>138</v>
      </c>
      <c r="E16" s="12">
        <v>203</v>
      </c>
      <c r="F16" s="12">
        <v>107</v>
      </c>
      <c r="G16" s="12">
        <v>245</v>
      </c>
      <c r="H16" s="12">
        <v>178</v>
      </c>
      <c r="I16" s="12">
        <v>218</v>
      </c>
      <c r="J16" s="12">
        <v>40</v>
      </c>
      <c r="K16" s="12">
        <v>194</v>
      </c>
      <c r="L16" s="12">
        <v>207</v>
      </c>
      <c r="M16" s="12">
        <v>146</v>
      </c>
      <c r="N16" s="12">
        <v>187</v>
      </c>
      <c r="O16" s="12">
        <v>119</v>
      </c>
      <c r="P16" s="12">
        <v>223</v>
      </c>
      <c r="Q16" s="12">
        <v>106</v>
      </c>
      <c r="R16" s="12">
        <v>126</v>
      </c>
      <c r="S16" s="12">
        <v>302</v>
      </c>
      <c r="T16" s="12">
        <v>281</v>
      </c>
      <c r="U16" s="12">
        <v>72</v>
      </c>
      <c r="V16" s="12">
        <v>99</v>
      </c>
      <c r="W16" s="12">
        <v>107</v>
      </c>
      <c r="X16" s="12">
        <v>177</v>
      </c>
      <c r="Y16" s="12">
        <v>94</v>
      </c>
      <c r="Z16" s="12">
        <v>148</v>
      </c>
      <c r="AA16" s="12">
        <v>129</v>
      </c>
      <c r="AB16" s="12">
        <v>285</v>
      </c>
      <c r="AC16" s="12">
        <v>196</v>
      </c>
      <c r="AD16" s="12">
        <v>151</v>
      </c>
      <c r="AE16" s="12">
        <v>262</v>
      </c>
      <c r="AF16" s="12">
        <v>241</v>
      </c>
    </row>
    <row r="17" spans="1:32" ht="21.5" x14ac:dyDescent="0.35">
      <c r="A17" s="31"/>
      <c r="B17" s="13" t="s">
        <v>632</v>
      </c>
      <c r="C17" s="14">
        <v>0.15</v>
      </c>
      <c r="D17" s="14">
        <v>0.14000000000000001</v>
      </c>
      <c r="E17" s="14">
        <v>0.2</v>
      </c>
      <c r="F17" s="14">
        <v>0.1</v>
      </c>
      <c r="G17" s="14">
        <v>0.24</v>
      </c>
      <c r="H17" s="14">
        <v>0.15</v>
      </c>
      <c r="I17" s="14">
        <v>0.14000000000000001</v>
      </c>
      <c r="J17" s="14">
        <v>0.14000000000000001</v>
      </c>
      <c r="K17" s="14">
        <v>0.19</v>
      </c>
      <c r="L17" s="14">
        <v>0.21</v>
      </c>
      <c r="M17" s="14">
        <v>0.15</v>
      </c>
      <c r="N17" s="14">
        <v>0.19</v>
      </c>
      <c r="O17" s="14">
        <v>0.12</v>
      </c>
      <c r="P17" s="14">
        <v>0.22</v>
      </c>
      <c r="Q17" s="14">
        <v>0.1</v>
      </c>
      <c r="R17" s="14">
        <v>0.25</v>
      </c>
      <c r="S17" s="14">
        <v>0.28999999999999998</v>
      </c>
      <c r="T17" s="14">
        <v>0.28000000000000003</v>
      </c>
      <c r="U17" s="14">
        <v>0.14000000000000001</v>
      </c>
      <c r="V17" s="14">
        <v>0.1</v>
      </c>
      <c r="W17" s="14">
        <v>0.21</v>
      </c>
      <c r="X17" s="14">
        <v>0.18</v>
      </c>
      <c r="Y17" s="14">
        <v>0.1</v>
      </c>
      <c r="Z17" s="14">
        <v>0.15</v>
      </c>
      <c r="AA17" s="14">
        <v>0.12</v>
      </c>
      <c r="AB17" s="14">
        <v>0.27</v>
      </c>
      <c r="AC17" s="14">
        <v>0.19</v>
      </c>
      <c r="AD17" s="14">
        <v>0.15</v>
      </c>
      <c r="AE17" s="14">
        <v>0.26</v>
      </c>
      <c r="AF17" s="14">
        <v>0.24</v>
      </c>
    </row>
    <row r="18" spans="1:32" ht="21.5" x14ac:dyDescent="0.35">
      <c r="A18" s="31"/>
      <c r="B18" s="11" t="s">
        <v>633</v>
      </c>
      <c r="C18" s="12">
        <v>682</v>
      </c>
      <c r="D18" s="12">
        <v>13</v>
      </c>
      <c r="E18" s="12">
        <v>102</v>
      </c>
      <c r="F18" s="12">
        <v>36</v>
      </c>
      <c r="G18" s="12">
        <v>12</v>
      </c>
      <c r="H18" s="12">
        <v>16</v>
      </c>
      <c r="I18" s="12">
        <v>20</v>
      </c>
      <c r="J18" s="12">
        <v>4</v>
      </c>
      <c r="K18" s="12">
        <v>44</v>
      </c>
      <c r="L18" s="12">
        <v>31</v>
      </c>
      <c r="M18" s="12">
        <v>11</v>
      </c>
      <c r="N18" s="12">
        <v>40</v>
      </c>
      <c r="O18" s="12">
        <v>30</v>
      </c>
      <c r="P18" s="12">
        <v>9</v>
      </c>
      <c r="Q18" s="12">
        <v>20</v>
      </c>
      <c r="R18" s="12">
        <v>23</v>
      </c>
      <c r="S18" s="12">
        <v>37</v>
      </c>
      <c r="T18" s="12">
        <v>32</v>
      </c>
      <c r="U18" s="12">
        <v>15</v>
      </c>
      <c r="V18" s="12">
        <v>31</v>
      </c>
      <c r="W18" s="12">
        <v>25</v>
      </c>
      <c r="X18" s="12">
        <v>9</v>
      </c>
      <c r="Y18" s="12">
        <v>50</v>
      </c>
      <c r="Z18" s="12">
        <v>18</v>
      </c>
      <c r="AA18" s="12">
        <v>74</v>
      </c>
      <c r="AB18" s="12">
        <v>48</v>
      </c>
      <c r="AC18" s="12">
        <v>14</v>
      </c>
      <c r="AD18" s="12">
        <v>16</v>
      </c>
      <c r="AE18" s="12">
        <v>11</v>
      </c>
      <c r="AF18" s="12">
        <v>7</v>
      </c>
    </row>
    <row r="19" spans="1:32" x14ac:dyDescent="0.35">
      <c r="A19" s="31"/>
      <c r="B19" s="13" t="s">
        <v>634</v>
      </c>
      <c r="C19" s="14">
        <v>0.03</v>
      </c>
      <c r="D19" s="14">
        <v>0.01</v>
      </c>
      <c r="E19" s="14">
        <v>0.1</v>
      </c>
      <c r="F19" s="14">
        <v>0.04</v>
      </c>
      <c r="G19" s="14">
        <v>0.01</v>
      </c>
      <c r="H19" s="14">
        <v>0.01</v>
      </c>
      <c r="I19" s="14">
        <v>0.01</v>
      </c>
      <c r="J19" s="14">
        <v>0.01</v>
      </c>
      <c r="K19" s="14">
        <v>0.05</v>
      </c>
      <c r="L19" s="14">
        <v>0.03</v>
      </c>
      <c r="M19" s="14">
        <v>0.01</v>
      </c>
      <c r="N19" s="14">
        <v>0.04</v>
      </c>
      <c r="O19" s="14">
        <v>0.03</v>
      </c>
      <c r="P19" s="14">
        <v>0.01</v>
      </c>
      <c r="Q19" s="14">
        <v>0.02</v>
      </c>
      <c r="R19" s="14">
        <v>0.05</v>
      </c>
      <c r="S19" s="14">
        <v>0.04</v>
      </c>
      <c r="T19" s="14">
        <v>0.03</v>
      </c>
      <c r="U19" s="14">
        <v>0.03</v>
      </c>
      <c r="V19" s="14">
        <v>0.03</v>
      </c>
      <c r="W19" s="14">
        <v>0.05</v>
      </c>
      <c r="X19" s="14">
        <v>0.01</v>
      </c>
      <c r="Y19" s="14">
        <v>0.05</v>
      </c>
      <c r="Z19" s="14">
        <v>0.02</v>
      </c>
      <c r="AA19" s="14">
        <v>7.0000000000000007E-2</v>
      </c>
      <c r="AB19" s="14">
        <v>0.04</v>
      </c>
      <c r="AC19" s="14">
        <v>0.02</v>
      </c>
      <c r="AD19" s="14">
        <v>0.02</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79</v>
      </c>
      <c r="C3" s="30"/>
      <c r="D3" s="30"/>
      <c r="E3" s="30"/>
      <c r="F3" s="30"/>
      <c r="H3" s="30" t="s">
        <v>80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635</v>
      </c>
      <c r="C12" s="12">
        <v>5181</v>
      </c>
      <c r="D12" s="12">
        <v>260</v>
      </c>
      <c r="E12" s="12">
        <v>159</v>
      </c>
      <c r="F12" s="12">
        <v>217</v>
      </c>
      <c r="G12" s="12">
        <v>170</v>
      </c>
      <c r="H12" s="12">
        <v>237</v>
      </c>
      <c r="I12" s="12">
        <v>278</v>
      </c>
      <c r="J12" s="12">
        <v>41</v>
      </c>
      <c r="K12" s="12">
        <v>251</v>
      </c>
      <c r="L12" s="12">
        <v>193</v>
      </c>
      <c r="M12" s="12">
        <v>114</v>
      </c>
      <c r="N12" s="12">
        <v>266</v>
      </c>
      <c r="O12" s="12">
        <v>268</v>
      </c>
      <c r="P12" s="12">
        <v>230</v>
      </c>
      <c r="Q12" s="12">
        <v>191</v>
      </c>
      <c r="R12" s="12">
        <v>89</v>
      </c>
      <c r="S12" s="12">
        <v>183</v>
      </c>
      <c r="T12" s="12">
        <v>232</v>
      </c>
      <c r="U12" s="12">
        <v>168</v>
      </c>
      <c r="V12" s="12">
        <v>94</v>
      </c>
      <c r="W12" s="12">
        <v>166</v>
      </c>
      <c r="X12" s="12">
        <v>263</v>
      </c>
      <c r="Y12" s="12">
        <v>219</v>
      </c>
      <c r="Z12" s="12">
        <v>106</v>
      </c>
      <c r="AA12" s="12">
        <v>173</v>
      </c>
      <c r="AB12" s="12">
        <v>95</v>
      </c>
      <c r="AC12" s="12">
        <v>197</v>
      </c>
      <c r="AD12" s="12">
        <v>197</v>
      </c>
      <c r="AE12" s="12">
        <v>128</v>
      </c>
      <c r="AF12" s="12">
        <v>142</v>
      </c>
    </row>
    <row r="13" spans="1:32" ht="21.5" x14ac:dyDescent="0.35">
      <c r="A13" s="31"/>
      <c r="B13" s="13" t="s">
        <v>636</v>
      </c>
      <c r="C13" s="14">
        <v>0.2</v>
      </c>
      <c r="D13" s="14">
        <v>0.25</v>
      </c>
      <c r="E13" s="14">
        <v>0.15</v>
      </c>
      <c r="F13" s="14">
        <v>0.21</v>
      </c>
      <c r="G13" s="14">
        <v>0.17</v>
      </c>
      <c r="H13" s="14">
        <v>0.19</v>
      </c>
      <c r="I13" s="14">
        <v>0.18</v>
      </c>
      <c r="J13" s="14">
        <v>0.14000000000000001</v>
      </c>
      <c r="K13" s="14">
        <v>0.25</v>
      </c>
      <c r="L13" s="14">
        <v>0.19</v>
      </c>
      <c r="M13" s="14">
        <v>0.11</v>
      </c>
      <c r="N13" s="14">
        <v>0.27</v>
      </c>
      <c r="O13" s="14">
        <v>0.27</v>
      </c>
      <c r="P13" s="14">
        <v>0.23</v>
      </c>
      <c r="Q13" s="14">
        <v>0.19</v>
      </c>
      <c r="R13" s="14">
        <v>0.18</v>
      </c>
      <c r="S13" s="14">
        <v>0.18</v>
      </c>
      <c r="T13" s="14">
        <v>0.23</v>
      </c>
      <c r="U13" s="14">
        <v>0.33</v>
      </c>
      <c r="V13" s="14">
        <v>0.09</v>
      </c>
      <c r="W13" s="14">
        <v>0.33</v>
      </c>
      <c r="X13" s="14">
        <v>0.26</v>
      </c>
      <c r="Y13" s="14">
        <v>0.22</v>
      </c>
      <c r="Z13" s="14">
        <v>0.1</v>
      </c>
      <c r="AA13" s="14">
        <v>0.17</v>
      </c>
      <c r="AB13" s="14">
        <v>0.09</v>
      </c>
      <c r="AC13" s="14">
        <v>0.2</v>
      </c>
      <c r="AD13" s="14">
        <v>0.2</v>
      </c>
      <c r="AE13" s="14">
        <v>0.13</v>
      </c>
      <c r="AF13" s="14">
        <v>0.14000000000000001</v>
      </c>
    </row>
    <row r="14" spans="1:32" ht="21.5" x14ac:dyDescent="0.35">
      <c r="A14" s="31"/>
      <c r="B14" s="11" t="s">
        <v>637</v>
      </c>
      <c r="C14" s="12">
        <v>9409</v>
      </c>
      <c r="D14" s="12">
        <v>391</v>
      </c>
      <c r="E14" s="12">
        <v>407</v>
      </c>
      <c r="F14" s="12">
        <v>364</v>
      </c>
      <c r="G14" s="12">
        <v>422</v>
      </c>
      <c r="H14" s="12">
        <v>409</v>
      </c>
      <c r="I14" s="12">
        <v>490</v>
      </c>
      <c r="J14" s="12">
        <v>81</v>
      </c>
      <c r="K14" s="12">
        <v>461</v>
      </c>
      <c r="L14" s="12">
        <v>349</v>
      </c>
      <c r="M14" s="12">
        <v>231</v>
      </c>
      <c r="N14" s="12">
        <v>298</v>
      </c>
      <c r="O14" s="12">
        <v>353</v>
      </c>
      <c r="P14" s="12">
        <v>435</v>
      </c>
      <c r="Q14" s="12">
        <v>426</v>
      </c>
      <c r="R14" s="12">
        <v>153</v>
      </c>
      <c r="S14" s="12">
        <v>521</v>
      </c>
      <c r="T14" s="12">
        <v>415</v>
      </c>
      <c r="U14" s="12">
        <v>179</v>
      </c>
      <c r="V14" s="12">
        <v>359</v>
      </c>
      <c r="W14" s="12">
        <v>244</v>
      </c>
      <c r="X14" s="12">
        <v>532</v>
      </c>
      <c r="Y14" s="12">
        <v>279</v>
      </c>
      <c r="Z14" s="12">
        <v>318</v>
      </c>
      <c r="AA14" s="12">
        <v>346</v>
      </c>
      <c r="AB14" s="12">
        <v>300</v>
      </c>
      <c r="AC14" s="12">
        <v>443</v>
      </c>
      <c r="AD14" s="12">
        <v>435</v>
      </c>
      <c r="AE14" s="12">
        <v>500</v>
      </c>
      <c r="AF14" s="12">
        <v>548</v>
      </c>
    </row>
    <row r="15" spans="1:32" ht="21.5" x14ac:dyDescent="0.35">
      <c r="A15" s="31"/>
      <c r="B15" s="13" t="s">
        <v>638</v>
      </c>
      <c r="C15" s="14">
        <v>0.36</v>
      </c>
      <c r="D15" s="14">
        <v>0.38</v>
      </c>
      <c r="E15" s="14">
        <v>0.39</v>
      </c>
      <c r="F15" s="14">
        <v>0.36</v>
      </c>
      <c r="G15" s="14">
        <v>0.42</v>
      </c>
      <c r="H15" s="14">
        <v>0.33</v>
      </c>
      <c r="I15" s="14">
        <v>0.32</v>
      </c>
      <c r="J15" s="14">
        <v>0.27</v>
      </c>
      <c r="K15" s="14">
        <v>0.46</v>
      </c>
      <c r="L15" s="14">
        <v>0.35</v>
      </c>
      <c r="M15" s="14">
        <v>0.23</v>
      </c>
      <c r="N15" s="14">
        <v>0.3</v>
      </c>
      <c r="O15" s="14">
        <v>0.35</v>
      </c>
      <c r="P15" s="14">
        <v>0.43</v>
      </c>
      <c r="Q15" s="14">
        <v>0.41</v>
      </c>
      <c r="R15" s="14">
        <v>0.31</v>
      </c>
      <c r="S15" s="14">
        <v>0.51</v>
      </c>
      <c r="T15" s="14">
        <v>0.41</v>
      </c>
      <c r="U15" s="14">
        <v>0.35</v>
      </c>
      <c r="V15" s="14">
        <v>0.36</v>
      </c>
      <c r="W15" s="14">
        <v>0.49</v>
      </c>
      <c r="X15" s="14">
        <v>0.53</v>
      </c>
      <c r="Y15" s="14">
        <v>0.28000000000000003</v>
      </c>
      <c r="Z15" s="14">
        <v>0.31</v>
      </c>
      <c r="AA15" s="14">
        <v>0.33</v>
      </c>
      <c r="AB15" s="14">
        <v>0.28000000000000003</v>
      </c>
      <c r="AC15" s="14">
        <v>0.44</v>
      </c>
      <c r="AD15" s="14">
        <v>0.43</v>
      </c>
      <c r="AE15" s="14">
        <v>0.5</v>
      </c>
      <c r="AF15" s="14">
        <v>0.54</v>
      </c>
    </row>
    <row r="16" spans="1:32" x14ac:dyDescent="0.35">
      <c r="A16" s="31"/>
      <c r="B16" s="11" t="s">
        <v>639</v>
      </c>
      <c r="C16" s="12">
        <v>11736</v>
      </c>
      <c r="D16" s="12">
        <v>374</v>
      </c>
      <c r="E16" s="12">
        <v>464</v>
      </c>
      <c r="F16" s="12">
        <v>428</v>
      </c>
      <c r="G16" s="12">
        <v>420</v>
      </c>
      <c r="H16" s="12">
        <v>587</v>
      </c>
      <c r="I16" s="12">
        <v>760</v>
      </c>
      <c r="J16" s="12">
        <v>173</v>
      </c>
      <c r="K16" s="12">
        <v>286</v>
      </c>
      <c r="L16" s="12">
        <v>454</v>
      </c>
      <c r="M16" s="12">
        <v>655</v>
      </c>
      <c r="N16" s="12">
        <v>431</v>
      </c>
      <c r="O16" s="12">
        <v>378</v>
      </c>
      <c r="P16" s="12">
        <v>332</v>
      </c>
      <c r="Q16" s="12">
        <v>418</v>
      </c>
      <c r="R16" s="12">
        <v>258</v>
      </c>
      <c r="S16" s="12">
        <v>316</v>
      </c>
      <c r="T16" s="12">
        <v>364</v>
      </c>
      <c r="U16" s="12">
        <v>160</v>
      </c>
      <c r="V16" s="12">
        <v>559</v>
      </c>
      <c r="W16" s="12">
        <v>90</v>
      </c>
      <c r="X16" s="12">
        <v>213</v>
      </c>
      <c r="Y16" s="12">
        <v>489</v>
      </c>
      <c r="Z16" s="12">
        <v>589</v>
      </c>
      <c r="AA16" s="12">
        <v>505</v>
      </c>
      <c r="AB16" s="12">
        <v>652</v>
      </c>
      <c r="AC16" s="12">
        <v>369</v>
      </c>
      <c r="AD16" s="12">
        <v>369</v>
      </c>
      <c r="AE16" s="12">
        <v>376</v>
      </c>
      <c r="AF16" s="12">
        <v>328</v>
      </c>
    </row>
    <row r="17" spans="1:32" x14ac:dyDescent="0.35">
      <c r="A17" s="31"/>
      <c r="B17" s="13" t="s">
        <v>640</v>
      </c>
      <c r="C17" s="14">
        <v>0.44</v>
      </c>
      <c r="D17" s="14">
        <v>0.37</v>
      </c>
      <c r="E17" s="14">
        <v>0.45</v>
      </c>
      <c r="F17" s="14">
        <v>0.42</v>
      </c>
      <c r="G17" s="14">
        <v>0.41</v>
      </c>
      <c r="H17" s="14">
        <v>0.48</v>
      </c>
      <c r="I17" s="14">
        <v>0.5</v>
      </c>
      <c r="J17" s="14">
        <v>0.57999999999999996</v>
      </c>
      <c r="K17" s="14">
        <v>0.28000000000000003</v>
      </c>
      <c r="L17" s="14">
        <v>0.45</v>
      </c>
      <c r="M17" s="14">
        <v>0.65</v>
      </c>
      <c r="N17" s="14">
        <v>0.43</v>
      </c>
      <c r="O17" s="14">
        <v>0.38</v>
      </c>
      <c r="P17" s="14">
        <v>0.33</v>
      </c>
      <c r="Q17" s="14">
        <v>0.4</v>
      </c>
      <c r="R17" s="14">
        <v>0.51</v>
      </c>
      <c r="S17" s="14">
        <v>0.31</v>
      </c>
      <c r="T17" s="14">
        <v>0.36</v>
      </c>
      <c r="U17" s="14">
        <v>0.32</v>
      </c>
      <c r="V17" s="14">
        <v>0.55000000000000004</v>
      </c>
      <c r="W17" s="14">
        <v>0.18</v>
      </c>
      <c r="X17" s="14">
        <v>0.21</v>
      </c>
      <c r="Y17" s="14">
        <v>0.49</v>
      </c>
      <c r="Z17" s="14">
        <v>0.57999999999999996</v>
      </c>
      <c r="AA17" s="14">
        <v>0.49</v>
      </c>
      <c r="AB17" s="14">
        <v>0.62</v>
      </c>
      <c r="AC17" s="14">
        <v>0.36</v>
      </c>
      <c r="AD17" s="14">
        <v>0.37</v>
      </c>
      <c r="AE17" s="14">
        <v>0.37</v>
      </c>
      <c r="AF17" s="14">
        <v>0.32</v>
      </c>
    </row>
    <row r="18" spans="1:32" x14ac:dyDescent="0.35">
      <c r="A18" s="31"/>
      <c r="B18" s="11" t="s">
        <v>344</v>
      </c>
      <c r="C18" s="12">
        <v>83</v>
      </c>
      <c r="D18" s="12">
        <v>0</v>
      </c>
      <c r="E18" s="12">
        <v>9</v>
      </c>
      <c r="F18" s="12">
        <v>9</v>
      </c>
      <c r="G18" s="12">
        <v>5</v>
      </c>
      <c r="H18" s="12">
        <v>0</v>
      </c>
      <c r="I18" s="12">
        <v>2</v>
      </c>
      <c r="J18" s="12">
        <v>2</v>
      </c>
      <c r="K18" s="12">
        <v>11</v>
      </c>
      <c r="L18" s="12">
        <v>8</v>
      </c>
      <c r="M18" s="12">
        <v>4</v>
      </c>
      <c r="N18" s="12">
        <v>5</v>
      </c>
      <c r="O18" s="12">
        <v>1</v>
      </c>
      <c r="P18" s="12">
        <v>7</v>
      </c>
      <c r="Q18" s="12">
        <v>0</v>
      </c>
      <c r="R18" s="12">
        <v>1</v>
      </c>
      <c r="S18" s="12">
        <v>1</v>
      </c>
      <c r="T18" s="12">
        <v>6</v>
      </c>
      <c r="U18" s="12">
        <v>1</v>
      </c>
      <c r="V18" s="12">
        <v>2</v>
      </c>
      <c r="W18" s="12">
        <v>1</v>
      </c>
      <c r="X18" s="12">
        <v>1</v>
      </c>
      <c r="Y18" s="12">
        <v>15</v>
      </c>
      <c r="Z18" s="12">
        <v>6</v>
      </c>
      <c r="AA18" s="12">
        <v>6</v>
      </c>
      <c r="AB18" s="12">
        <v>9</v>
      </c>
      <c r="AC18" s="12">
        <v>4</v>
      </c>
      <c r="AD18" s="12">
        <v>2</v>
      </c>
      <c r="AE18" s="12">
        <v>4</v>
      </c>
      <c r="AF18" s="12">
        <v>1</v>
      </c>
    </row>
    <row r="19" spans="1:32" x14ac:dyDescent="0.35">
      <c r="A19" s="31"/>
      <c r="B19" s="13" t="s">
        <v>357</v>
      </c>
      <c r="C19" s="15" t="s">
        <v>333</v>
      </c>
      <c r="D19" s="15" t="s">
        <v>333</v>
      </c>
      <c r="E19" s="14">
        <v>0.01</v>
      </c>
      <c r="F19" s="14">
        <v>0.01</v>
      </c>
      <c r="G19" s="15" t="s">
        <v>333</v>
      </c>
      <c r="H19" s="15" t="s">
        <v>333</v>
      </c>
      <c r="I19" s="15" t="s">
        <v>333</v>
      </c>
      <c r="J19" s="14">
        <v>0.01</v>
      </c>
      <c r="K19" s="14">
        <v>0.01</v>
      </c>
      <c r="L19" s="14">
        <v>0.01</v>
      </c>
      <c r="M19" s="14">
        <v>0.01</v>
      </c>
      <c r="N19" s="15" t="s">
        <v>333</v>
      </c>
      <c r="O19" s="15" t="s">
        <v>333</v>
      </c>
      <c r="P19" s="14">
        <v>0.01</v>
      </c>
      <c r="Q19" s="15" t="s">
        <v>333</v>
      </c>
      <c r="R19" s="15" t="s">
        <v>333</v>
      </c>
      <c r="S19" s="15" t="s">
        <v>333</v>
      </c>
      <c r="T19" s="15" t="s">
        <v>333</v>
      </c>
      <c r="U19" s="15" t="s">
        <v>333</v>
      </c>
      <c r="V19" s="15" t="s">
        <v>333</v>
      </c>
      <c r="W19" s="15" t="s">
        <v>333</v>
      </c>
      <c r="X19" s="15" t="s">
        <v>333</v>
      </c>
      <c r="Y19" s="14">
        <v>0.01</v>
      </c>
      <c r="Z19" s="14">
        <v>0.01</v>
      </c>
      <c r="AA19" s="14">
        <v>0.01</v>
      </c>
      <c r="AB19" s="14">
        <v>0.01</v>
      </c>
      <c r="AC19" s="15" t="s">
        <v>333</v>
      </c>
      <c r="AD19" s="15" t="s">
        <v>333</v>
      </c>
      <c r="AE19" s="15" t="s">
        <v>333</v>
      </c>
      <c r="AF19" s="15" t="s">
        <v>333</v>
      </c>
    </row>
    <row r="20" spans="1:32" x14ac:dyDescent="0.35">
      <c r="A20" s="31"/>
      <c r="B20" s="11" t="s">
        <v>366</v>
      </c>
      <c r="C20" s="12">
        <v>14590</v>
      </c>
      <c r="D20" s="12">
        <v>651</v>
      </c>
      <c r="E20" s="12">
        <v>566</v>
      </c>
      <c r="F20" s="12">
        <v>581</v>
      </c>
      <c r="G20" s="12">
        <v>592</v>
      </c>
      <c r="H20" s="12">
        <v>646</v>
      </c>
      <c r="I20" s="12">
        <v>768</v>
      </c>
      <c r="J20" s="12">
        <v>122</v>
      </c>
      <c r="K20" s="12">
        <v>712</v>
      </c>
      <c r="L20" s="12">
        <v>542</v>
      </c>
      <c r="M20" s="12">
        <v>345</v>
      </c>
      <c r="N20" s="12">
        <v>564</v>
      </c>
      <c r="O20" s="12">
        <v>621</v>
      </c>
      <c r="P20" s="12">
        <v>665</v>
      </c>
      <c r="Q20" s="12">
        <v>617</v>
      </c>
      <c r="R20" s="12">
        <v>242</v>
      </c>
      <c r="S20" s="12">
        <v>704</v>
      </c>
      <c r="T20" s="12">
        <v>647</v>
      </c>
      <c r="U20" s="12">
        <v>347</v>
      </c>
      <c r="V20" s="12">
        <v>453</v>
      </c>
      <c r="W20" s="12">
        <v>410</v>
      </c>
      <c r="X20" s="12">
        <v>795</v>
      </c>
      <c r="Y20" s="12">
        <v>498</v>
      </c>
      <c r="Z20" s="12">
        <v>424</v>
      </c>
      <c r="AA20" s="12">
        <v>519</v>
      </c>
      <c r="AB20" s="12">
        <v>395</v>
      </c>
      <c r="AC20" s="12">
        <v>640</v>
      </c>
      <c r="AD20" s="12">
        <v>632</v>
      </c>
      <c r="AE20" s="12">
        <v>628</v>
      </c>
      <c r="AF20" s="12">
        <v>690</v>
      </c>
    </row>
    <row r="21" spans="1:32" x14ac:dyDescent="0.35">
      <c r="A21" s="31"/>
      <c r="B21" s="13" t="s">
        <v>367</v>
      </c>
      <c r="C21" s="14">
        <v>0.56000000000000005</v>
      </c>
      <c r="D21" s="14">
        <v>0.63</v>
      </c>
      <c r="E21" s="14">
        <v>0.54</v>
      </c>
      <c r="F21" s="14">
        <v>0.57000000000000006</v>
      </c>
      <c r="G21" s="14">
        <v>0.59</v>
      </c>
      <c r="H21" s="14">
        <v>0.52</v>
      </c>
      <c r="I21" s="14">
        <v>0.5</v>
      </c>
      <c r="J21" s="14">
        <v>0.41</v>
      </c>
      <c r="K21" s="14">
        <v>0.71</v>
      </c>
      <c r="L21" s="14">
        <v>0.54</v>
      </c>
      <c r="M21" s="14">
        <v>0.34</v>
      </c>
      <c r="N21" s="14">
        <v>0.57000000000000006</v>
      </c>
      <c r="O21" s="14">
        <v>0.62</v>
      </c>
      <c r="P21" s="14">
        <v>0.66</v>
      </c>
      <c r="Q21" s="14">
        <v>0.6</v>
      </c>
      <c r="R21" s="14">
        <v>0.49</v>
      </c>
      <c r="S21" s="14">
        <v>0.69000000000000006</v>
      </c>
      <c r="T21" s="14">
        <v>0.64</v>
      </c>
      <c r="U21" s="14">
        <v>0.68</v>
      </c>
      <c r="V21" s="14">
        <v>0.45</v>
      </c>
      <c r="W21" s="14">
        <v>0.82000000000000006</v>
      </c>
      <c r="X21" s="14">
        <v>0.79</v>
      </c>
      <c r="Y21" s="14">
        <v>0.5</v>
      </c>
      <c r="Z21" s="14">
        <v>0.41</v>
      </c>
      <c r="AA21" s="14">
        <v>0.5</v>
      </c>
      <c r="AB21" s="14">
        <v>0.37</v>
      </c>
      <c r="AC21" s="14">
        <v>0.64</v>
      </c>
      <c r="AD21" s="14">
        <v>0.63</v>
      </c>
      <c r="AE21" s="14">
        <v>0.63</v>
      </c>
      <c r="AF21" s="14">
        <v>0.68</v>
      </c>
    </row>
    <row r="22" spans="1:32" x14ac:dyDescent="0.35">
      <c r="A22" s="31"/>
      <c r="B22" s="11" t="s">
        <v>368</v>
      </c>
      <c r="C22" s="12">
        <v>11736</v>
      </c>
      <c r="D22" s="12">
        <v>374</v>
      </c>
      <c r="E22" s="12">
        <v>464</v>
      </c>
      <c r="F22" s="12">
        <v>428</v>
      </c>
      <c r="G22" s="12">
        <v>420</v>
      </c>
      <c r="H22" s="12">
        <v>587</v>
      </c>
      <c r="I22" s="12">
        <v>760</v>
      </c>
      <c r="J22" s="12">
        <v>173</v>
      </c>
      <c r="K22" s="12">
        <v>286</v>
      </c>
      <c r="L22" s="12">
        <v>454</v>
      </c>
      <c r="M22" s="12">
        <v>655</v>
      </c>
      <c r="N22" s="12">
        <v>431</v>
      </c>
      <c r="O22" s="12">
        <v>378</v>
      </c>
      <c r="P22" s="12">
        <v>332</v>
      </c>
      <c r="Q22" s="12">
        <v>418</v>
      </c>
      <c r="R22" s="12">
        <v>258</v>
      </c>
      <c r="S22" s="12">
        <v>316</v>
      </c>
      <c r="T22" s="12">
        <v>364</v>
      </c>
      <c r="U22" s="12">
        <v>160</v>
      </c>
      <c r="V22" s="12">
        <v>559</v>
      </c>
      <c r="W22" s="12">
        <v>90</v>
      </c>
      <c r="X22" s="12">
        <v>213</v>
      </c>
      <c r="Y22" s="12">
        <v>489</v>
      </c>
      <c r="Z22" s="12">
        <v>589</v>
      </c>
      <c r="AA22" s="12">
        <v>505</v>
      </c>
      <c r="AB22" s="12">
        <v>652</v>
      </c>
      <c r="AC22" s="12">
        <v>369</v>
      </c>
      <c r="AD22" s="12">
        <v>369</v>
      </c>
      <c r="AE22" s="12">
        <v>376</v>
      </c>
      <c r="AF22" s="12">
        <v>328</v>
      </c>
    </row>
    <row r="23" spans="1:32" x14ac:dyDescent="0.35">
      <c r="A23" s="31"/>
      <c r="B23" s="13" t="s">
        <v>369</v>
      </c>
      <c r="C23" s="14">
        <v>0.44</v>
      </c>
      <c r="D23" s="14">
        <v>0.37</v>
      </c>
      <c r="E23" s="14">
        <v>0.45</v>
      </c>
      <c r="F23" s="14">
        <v>0.42</v>
      </c>
      <c r="G23" s="14">
        <v>0.41</v>
      </c>
      <c r="H23" s="14">
        <v>0.48</v>
      </c>
      <c r="I23" s="14">
        <v>0.5</v>
      </c>
      <c r="J23" s="14">
        <v>0.57999999999999996</v>
      </c>
      <c r="K23" s="14">
        <v>0.28000000000000003</v>
      </c>
      <c r="L23" s="14">
        <v>0.45</v>
      </c>
      <c r="M23" s="14">
        <v>0.65</v>
      </c>
      <c r="N23" s="14">
        <v>0.43</v>
      </c>
      <c r="O23" s="14">
        <v>0.38</v>
      </c>
      <c r="P23" s="14">
        <v>0.33</v>
      </c>
      <c r="Q23" s="14">
        <v>0.4</v>
      </c>
      <c r="R23" s="14">
        <v>0.51</v>
      </c>
      <c r="S23" s="14">
        <v>0.31</v>
      </c>
      <c r="T23" s="14">
        <v>0.36</v>
      </c>
      <c r="U23" s="14">
        <v>0.32</v>
      </c>
      <c r="V23" s="14">
        <v>0.55000000000000004</v>
      </c>
      <c r="W23" s="14">
        <v>0.18</v>
      </c>
      <c r="X23" s="14">
        <v>0.21</v>
      </c>
      <c r="Y23" s="14">
        <v>0.49</v>
      </c>
      <c r="Z23" s="14">
        <v>0.57999999999999996</v>
      </c>
      <c r="AA23" s="14">
        <v>0.49</v>
      </c>
      <c r="AB23" s="14">
        <v>0.62</v>
      </c>
      <c r="AC23" s="14">
        <v>0.36</v>
      </c>
      <c r="AD23" s="14">
        <v>0.37</v>
      </c>
      <c r="AE23" s="14">
        <v>0.37</v>
      </c>
      <c r="AF23" s="14">
        <v>0.32</v>
      </c>
    </row>
  </sheetData>
  <mergeCells count="10">
    <mergeCell ref="A20:A23"/>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81</v>
      </c>
      <c r="C3" s="30"/>
      <c r="D3" s="30"/>
      <c r="E3" s="30"/>
      <c r="F3" s="30"/>
      <c r="H3" s="30" t="s">
        <v>82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641</v>
      </c>
      <c r="C12" s="12">
        <v>3025</v>
      </c>
      <c r="D12" s="12">
        <v>154</v>
      </c>
      <c r="E12" s="12">
        <v>45</v>
      </c>
      <c r="F12" s="12">
        <v>105</v>
      </c>
      <c r="G12" s="12">
        <v>184</v>
      </c>
      <c r="H12" s="12">
        <v>138</v>
      </c>
      <c r="I12" s="12">
        <v>160</v>
      </c>
      <c r="J12" s="12">
        <v>22</v>
      </c>
      <c r="K12" s="12">
        <v>119</v>
      </c>
      <c r="L12" s="12">
        <v>200</v>
      </c>
      <c r="M12" s="12">
        <v>88</v>
      </c>
      <c r="N12" s="12">
        <v>181</v>
      </c>
      <c r="O12" s="12">
        <v>152</v>
      </c>
      <c r="P12" s="12">
        <v>63</v>
      </c>
      <c r="Q12" s="12">
        <v>71</v>
      </c>
      <c r="R12" s="12">
        <v>64</v>
      </c>
      <c r="S12" s="12">
        <v>154</v>
      </c>
      <c r="T12" s="12">
        <v>79</v>
      </c>
      <c r="U12" s="12">
        <v>128</v>
      </c>
      <c r="V12" s="12">
        <v>26</v>
      </c>
      <c r="W12" s="12">
        <v>107</v>
      </c>
      <c r="X12" s="12">
        <v>198</v>
      </c>
      <c r="Y12" s="12">
        <v>189</v>
      </c>
      <c r="Z12" s="12">
        <v>52</v>
      </c>
      <c r="AA12" s="12">
        <v>65</v>
      </c>
      <c r="AB12" s="12">
        <v>42</v>
      </c>
      <c r="AC12" s="12">
        <v>124</v>
      </c>
      <c r="AD12" s="12">
        <v>160</v>
      </c>
      <c r="AE12" s="12">
        <v>77</v>
      </c>
      <c r="AF12" s="12">
        <v>165</v>
      </c>
    </row>
    <row r="13" spans="1:32" x14ac:dyDescent="0.35">
      <c r="A13" s="31"/>
      <c r="B13" s="13" t="s">
        <v>642</v>
      </c>
      <c r="C13" s="14">
        <v>0.12</v>
      </c>
      <c r="D13" s="14">
        <v>0.15</v>
      </c>
      <c r="E13" s="14">
        <v>0.04</v>
      </c>
      <c r="F13" s="14">
        <v>0.1</v>
      </c>
      <c r="G13" s="14">
        <v>0.18</v>
      </c>
      <c r="H13" s="14">
        <v>0.11</v>
      </c>
      <c r="I13" s="14">
        <v>0.1</v>
      </c>
      <c r="J13" s="14">
        <v>0.08</v>
      </c>
      <c r="K13" s="14">
        <v>0.12</v>
      </c>
      <c r="L13" s="14">
        <v>0.2</v>
      </c>
      <c r="M13" s="14">
        <v>0.09</v>
      </c>
      <c r="N13" s="14">
        <v>0.18</v>
      </c>
      <c r="O13" s="14">
        <v>0.15</v>
      </c>
      <c r="P13" s="14">
        <v>0.06</v>
      </c>
      <c r="Q13" s="14">
        <v>7.0000000000000007E-2</v>
      </c>
      <c r="R13" s="14">
        <v>0.13</v>
      </c>
      <c r="S13" s="14">
        <v>0.15</v>
      </c>
      <c r="T13" s="14">
        <v>0.08</v>
      </c>
      <c r="U13" s="14">
        <v>0.25</v>
      </c>
      <c r="V13" s="14">
        <v>0.03</v>
      </c>
      <c r="W13" s="14">
        <v>0.21</v>
      </c>
      <c r="X13" s="14">
        <v>0.2</v>
      </c>
      <c r="Y13" s="14">
        <v>0.19</v>
      </c>
      <c r="Z13" s="14">
        <v>0.05</v>
      </c>
      <c r="AA13" s="14">
        <v>0.06</v>
      </c>
      <c r="AB13" s="14">
        <v>0.04</v>
      </c>
      <c r="AC13" s="14">
        <v>0.12</v>
      </c>
      <c r="AD13" s="14">
        <v>0.16</v>
      </c>
      <c r="AE13" s="14">
        <v>0.08</v>
      </c>
      <c r="AF13" s="14">
        <v>0.16</v>
      </c>
    </row>
    <row r="14" spans="1:32" x14ac:dyDescent="0.35">
      <c r="A14" s="31"/>
      <c r="B14" s="11" t="s">
        <v>643</v>
      </c>
      <c r="C14" s="12">
        <v>8922</v>
      </c>
      <c r="D14" s="12">
        <v>370</v>
      </c>
      <c r="E14" s="12">
        <v>302</v>
      </c>
      <c r="F14" s="12">
        <v>365</v>
      </c>
      <c r="G14" s="12">
        <v>325</v>
      </c>
      <c r="H14" s="12">
        <v>367</v>
      </c>
      <c r="I14" s="12">
        <v>436</v>
      </c>
      <c r="J14" s="12">
        <v>69</v>
      </c>
      <c r="K14" s="12">
        <v>359</v>
      </c>
      <c r="L14" s="12">
        <v>380</v>
      </c>
      <c r="M14" s="12">
        <v>329</v>
      </c>
      <c r="N14" s="12">
        <v>344</v>
      </c>
      <c r="O14" s="12">
        <v>372</v>
      </c>
      <c r="P14" s="12">
        <v>332</v>
      </c>
      <c r="Q14" s="12">
        <v>335</v>
      </c>
      <c r="R14" s="12">
        <v>140</v>
      </c>
      <c r="S14" s="12">
        <v>367</v>
      </c>
      <c r="T14" s="12">
        <v>411</v>
      </c>
      <c r="U14" s="12">
        <v>227</v>
      </c>
      <c r="V14" s="12">
        <v>310</v>
      </c>
      <c r="W14" s="12">
        <v>224</v>
      </c>
      <c r="X14" s="12">
        <v>434</v>
      </c>
      <c r="Y14" s="12">
        <v>356</v>
      </c>
      <c r="Z14" s="12">
        <v>370</v>
      </c>
      <c r="AA14" s="12">
        <v>362</v>
      </c>
      <c r="AB14" s="12">
        <v>270</v>
      </c>
      <c r="AC14" s="12">
        <v>488</v>
      </c>
      <c r="AD14" s="12">
        <v>310</v>
      </c>
      <c r="AE14" s="12">
        <v>387</v>
      </c>
      <c r="AF14" s="12">
        <v>428</v>
      </c>
    </row>
    <row r="15" spans="1:32" x14ac:dyDescent="0.35">
      <c r="A15" s="31"/>
      <c r="B15" s="13" t="s">
        <v>361</v>
      </c>
      <c r="C15" s="14">
        <v>0.34</v>
      </c>
      <c r="D15" s="14">
        <v>0.36</v>
      </c>
      <c r="E15" s="14">
        <v>0.28999999999999998</v>
      </c>
      <c r="F15" s="14">
        <v>0.36</v>
      </c>
      <c r="G15" s="14">
        <v>0.32</v>
      </c>
      <c r="H15" s="14">
        <v>0.3</v>
      </c>
      <c r="I15" s="14">
        <v>0.28999999999999998</v>
      </c>
      <c r="J15" s="14">
        <v>0.23</v>
      </c>
      <c r="K15" s="14">
        <v>0.36</v>
      </c>
      <c r="L15" s="14">
        <v>0.38</v>
      </c>
      <c r="M15" s="14">
        <v>0.33</v>
      </c>
      <c r="N15" s="14">
        <v>0.35</v>
      </c>
      <c r="O15" s="14">
        <v>0.37</v>
      </c>
      <c r="P15" s="14">
        <v>0.33</v>
      </c>
      <c r="Q15" s="14">
        <v>0.32</v>
      </c>
      <c r="R15" s="14">
        <v>0.28000000000000003</v>
      </c>
      <c r="S15" s="14">
        <v>0.36</v>
      </c>
      <c r="T15" s="14">
        <v>0.4</v>
      </c>
      <c r="U15" s="14">
        <v>0.45</v>
      </c>
      <c r="V15" s="14">
        <v>0.3</v>
      </c>
      <c r="W15" s="14">
        <v>0.45</v>
      </c>
      <c r="X15" s="14">
        <v>0.43</v>
      </c>
      <c r="Y15" s="14">
        <v>0.35</v>
      </c>
      <c r="Z15" s="14">
        <v>0.37</v>
      </c>
      <c r="AA15" s="14">
        <v>0.35</v>
      </c>
      <c r="AB15" s="14">
        <v>0.26</v>
      </c>
      <c r="AC15" s="14">
        <v>0.48</v>
      </c>
      <c r="AD15" s="14">
        <v>0.31</v>
      </c>
      <c r="AE15" s="14">
        <v>0.38</v>
      </c>
      <c r="AF15" s="14">
        <v>0.42</v>
      </c>
    </row>
    <row r="16" spans="1:32" x14ac:dyDescent="0.35">
      <c r="A16" s="31"/>
      <c r="B16" s="11" t="s">
        <v>362</v>
      </c>
      <c r="C16" s="12">
        <v>7503</v>
      </c>
      <c r="D16" s="12">
        <v>304</v>
      </c>
      <c r="E16" s="12">
        <v>285</v>
      </c>
      <c r="F16" s="12">
        <v>289</v>
      </c>
      <c r="G16" s="12">
        <v>232</v>
      </c>
      <c r="H16" s="12">
        <v>351</v>
      </c>
      <c r="I16" s="12">
        <v>439</v>
      </c>
      <c r="J16" s="12">
        <v>87</v>
      </c>
      <c r="K16" s="12">
        <v>303</v>
      </c>
      <c r="L16" s="12">
        <v>210</v>
      </c>
      <c r="M16" s="12">
        <v>209</v>
      </c>
      <c r="N16" s="12">
        <v>222</v>
      </c>
      <c r="O16" s="12">
        <v>227</v>
      </c>
      <c r="P16" s="12">
        <v>348</v>
      </c>
      <c r="Q16" s="12">
        <v>380</v>
      </c>
      <c r="R16" s="12">
        <v>130</v>
      </c>
      <c r="S16" s="12">
        <v>292</v>
      </c>
      <c r="T16" s="12">
        <v>270</v>
      </c>
      <c r="U16" s="12">
        <v>92</v>
      </c>
      <c r="V16" s="12">
        <v>358</v>
      </c>
      <c r="W16" s="12">
        <v>88</v>
      </c>
      <c r="X16" s="12">
        <v>266</v>
      </c>
      <c r="Y16" s="12">
        <v>219</v>
      </c>
      <c r="Z16" s="12">
        <v>390</v>
      </c>
      <c r="AA16" s="12">
        <v>288</v>
      </c>
      <c r="AB16" s="12">
        <v>332</v>
      </c>
      <c r="AC16" s="12">
        <v>241</v>
      </c>
      <c r="AD16" s="12">
        <v>281</v>
      </c>
      <c r="AE16" s="12">
        <v>289</v>
      </c>
      <c r="AF16" s="12">
        <v>214</v>
      </c>
    </row>
    <row r="17" spans="1:32" x14ac:dyDescent="0.35">
      <c r="A17" s="31"/>
      <c r="B17" s="13" t="s">
        <v>644</v>
      </c>
      <c r="C17" s="14">
        <v>0.28000000000000003</v>
      </c>
      <c r="D17" s="14">
        <v>0.3</v>
      </c>
      <c r="E17" s="14">
        <v>0.27</v>
      </c>
      <c r="F17" s="14">
        <v>0.28000000000000003</v>
      </c>
      <c r="G17" s="14">
        <v>0.23</v>
      </c>
      <c r="H17" s="14">
        <v>0.28999999999999998</v>
      </c>
      <c r="I17" s="14">
        <v>0.28999999999999998</v>
      </c>
      <c r="J17" s="14">
        <v>0.28999999999999998</v>
      </c>
      <c r="K17" s="14">
        <v>0.3</v>
      </c>
      <c r="L17" s="14">
        <v>0.21</v>
      </c>
      <c r="M17" s="14">
        <v>0.21</v>
      </c>
      <c r="N17" s="14">
        <v>0.22</v>
      </c>
      <c r="O17" s="14">
        <v>0.23</v>
      </c>
      <c r="P17" s="14">
        <v>0.35</v>
      </c>
      <c r="Q17" s="14">
        <v>0.37</v>
      </c>
      <c r="R17" s="14">
        <v>0.26</v>
      </c>
      <c r="S17" s="14">
        <v>0.28999999999999998</v>
      </c>
      <c r="T17" s="14">
        <v>0.27</v>
      </c>
      <c r="U17" s="14">
        <v>0.18</v>
      </c>
      <c r="V17" s="14">
        <v>0.35</v>
      </c>
      <c r="W17" s="14">
        <v>0.17</v>
      </c>
      <c r="X17" s="14">
        <v>0.26</v>
      </c>
      <c r="Y17" s="14">
        <v>0.22</v>
      </c>
      <c r="Z17" s="14">
        <v>0.38</v>
      </c>
      <c r="AA17" s="14">
        <v>0.28000000000000003</v>
      </c>
      <c r="AB17" s="14">
        <v>0.31</v>
      </c>
      <c r="AC17" s="14">
        <v>0.24</v>
      </c>
      <c r="AD17" s="14">
        <v>0.28000000000000003</v>
      </c>
      <c r="AE17" s="14">
        <v>0.28999999999999998</v>
      </c>
      <c r="AF17" s="14">
        <v>0.21</v>
      </c>
    </row>
    <row r="18" spans="1:32" x14ac:dyDescent="0.35">
      <c r="A18" s="31"/>
      <c r="B18" s="11" t="s">
        <v>364</v>
      </c>
      <c r="C18" s="12">
        <v>6887</v>
      </c>
      <c r="D18" s="12">
        <v>196</v>
      </c>
      <c r="E18" s="12">
        <v>401</v>
      </c>
      <c r="F18" s="12">
        <v>259</v>
      </c>
      <c r="G18" s="12">
        <v>275</v>
      </c>
      <c r="H18" s="12">
        <v>373</v>
      </c>
      <c r="I18" s="12">
        <v>491</v>
      </c>
      <c r="J18" s="12">
        <v>119</v>
      </c>
      <c r="K18" s="12">
        <v>223</v>
      </c>
      <c r="L18" s="12">
        <v>212</v>
      </c>
      <c r="M18" s="12">
        <v>374</v>
      </c>
      <c r="N18" s="12">
        <v>252</v>
      </c>
      <c r="O18" s="12">
        <v>247</v>
      </c>
      <c r="P18" s="12">
        <v>260</v>
      </c>
      <c r="Q18" s="12">
        <v>247</v>
      </c>
      <c r="R18" s="12">
        <v>165</v>
      </c>
      <c r="S18" s="12">
        <v>205</v>
      </c>
      <c r="T18" s="12">
        <v>256</v>
      </c>
      <c r="U18" s="12">
        <v>61</v>
      </c>
      <c r="V18" s="12">
        <v>320</v>
      </c>
      <c r="W18" s="12">
        <v>80</v>
      </c>
      <c r="X18" s="12">
        <v>111</v>
      </c>
      <c r="Y18" s="12">
        <v>237</v>
      </c>
      <c r="Z18" s="12">
        <v>195</v>
      </c>
      <c r="AA18" s="12">
        <v>309</v>
      </c>
      <c r="AB18" s="12">
        <v>407</v>
      </c>
      <c r="AC18" s="12">
        <v>158</v>
      </c>
      <c r="AD18" s="12">
        <v>252</v>
      </c>
      <c r="AE18" s="12">
        <v>252</v>
      </c>
      <c r="AF18" s="12">
        <v>213</v>
      </c>
    </row>
    <row r="19" spans="1:32" x14ac:dyDescent="0.35">
      <c r="A19" s="31"/>
      <c r="B19" s="13" t="s">
        <v>365</v>
      </c>
      <c r="C19" s="14">
        <v>0.26</v>
      </c>
      <c r="D19" s="14">
        <v>0.19</v>
      </c>
      <c r="E19" s="14">
        <v>0.39</v>
      </c>
      <c r="F19" s="14">
        <v>0.26</v>
      </c>
      <c r="G19" s="14">
        <v>0.27</v>
      </c>
      <c r="H19" s="14">
        <v>0.3</v>
      </c>
      <c r="I19" s="14">
        <v>0.32</v>
      </c>
      <c r="J19" s="14">
        <v>0.4</v>
      </c>
      <c r="K19" s="14">
        <v>0.22</v>
      </c>
      <c r="L19" s="14">
        <v>0.21</v>
      </c>
      <c r="M19" s="14">
        <v>0.37</v>
      </c>
      <c r="N19" s="14">
        <v>0.25</v>
      </c>
      <c r="O19" s="14">
        <v>0.25</v>
      </c>
      <c r="P19" s="14">
        <v>0.26</v>
      </c>
      <c r="Q19" s="14">
        <v>0.24</v>
      </c>
      <c r="R19" s="14">
        <v>0.33</v>
      </c>
      <c r="S19" s="14">
        <v>0.2</v>
      </c>
      <c r="T19" s="14">
        <v>0.25</v>
      </c>
      <c r="U19" s="14">
        <v>0.12</v>
      </c>
      <c r="V19" s="14">
        <v>0.32</v>
      </c>
      <c r="W19" s="14">
        <v>0.16</v>
      </c>
      <c r="X19" s="14">
        <v>0.11</v>
      </c>
      <c r="Y19" s="14">
        <v>0.24</v>
      </c>
      <c r="Z19" s="14">
        <v>0.19</v>
      </c>
      <c r="AA19" s="14">
        <v>0.3</v>
      </c>
      <c r="AB19" s="14">
        <v>0.39</v>
      </c>
      <c r="AC19" s="14">
        <v>0.16</v>
      </c>
      <c r="AD19" s="14">
        <v>0.25</v>
      </c>
      <c r="AE19" s="14">
        <v>0.25</v>
      </c>
      <c r="AF19" s="14">
        <v>0.21</v>
      </c>
    </row>
    <row r="20" spans="1:32" x14ac:dyDescent="0.35">
      <c r="A20" s="31"/>
      <c r="B20" s="11" t="s">
        <v>344</v>
      </c>
      <c r="C20" s="12">
        <v>74</v>
      </c>
      <c r="D20" s="12">
        <v>1</v>
      </c>
      <c r="E20" s="12">
        <v>6</v>
      </c>
      <c r="F20" s="12">
        <v>0</v>
      </c>
      <c r="G20" s="12">
        <v>1</v>
      </c>
      <c r="H20" s="12">
        <v>3</v>
      </c>
      <c r="I20" s="12">
        <v>4</v>
      </c>
      <c r="J20" s="12">
        <v>1</v>
      </c>
      <c r="K20" s="12">
        <v>5</v>
      </c>
      <c r="L20" s="12">
        <v>2</v>
      </c>
      <c r="M20" s="12">
        <v>4</v>
      </c>
      <c r="N20" s="12">
        <v>2</v>
      </c>
      <c r="O20" s="12">
        <v>2</v>
      </c>
      <c r="P20" s="12">
        <v>2</v>
      </c>
      <c r="Q20" s="12">
        <v>2</v>
      </c>
      <c r="R20" s="12">
        <v>2</v>
      </c>
      <c r="S20" s="12">
        <v>2</v>
      </c>
      <c r="T20" s="12">
        <v>2</v>
      </c>
      <c r="U20" s="12">
        <v>0</v>
      </c>
      <c r="V20" s="12">
        <v>0</v>
      </c>
      <c r="W20" s="12">
        <v>2</v>
      </c>
      <c r="X20" s="12">
        <v>0</v>
      </c>
      <c r="Y20" s="12">
        <v>1</v>
      </c>
      <c r="Z20" s="12">
        <v>11</v>
      </c>
      <c r="AA20" s="12">
        <v>6</v>
      </c>
      <c r="AB20" s="12">
        <v>5</v>
      </c>
      <c r="AC20" s="12">
        <v>2</v>
      </c>
      <c r="AD20" s="12">
        <v>1</v>
      </c>
      <c r="AE20" s="12">
        <v>2</v>
      </c>
      <c r="AF20" s="12">
        <v>0</v>
      </c>
    </row>
    <row r="21" spans="1:32" x14ac:dyDescent="0.35">
      <c r="A21" s="31"/>
      <c r="B21" s="13" t="s">
        <v>357</v>
      </c>
      <c r="C21" s="15" t="s">
        <v>333</v>
      </c>
      <c r="D21" s="15" t="s">
        <v>333</v>
      </c>
      <c r="E21" s="14">
        <v>0.01</v>
      </c>
      <c r="F21" s="15" t="s">
        <v>333</v>
      </c>
      <c r="G21" s="15" t="s">
        <v>333</v>
      </c>
      <c r="H21" s="15" t="s">
        <v>333</v>
      </c>
      <c r="I21" s="15" t="s">
        <v>333</v>
      </c>
      <c r="J21" s="15" t="s">
        <v>333</v>
      </c>
      <c r="K21" s="15" t="s">
        <v>333</v>
      </c>
      <c r="L21" s="15" t="s">
        <v>333</v>
      </c>
      <c r="M21" s="15" t="s">
        <v>333</v>
      </c>
      <c r="N21" s="15" t="s">
        <v>333</v>
      </c>
      <c r="O21" s="15" t="s">
        <v>333</v>
      </c>
      <c r="P21" s="15" t="s">
        <v>333</v>
      </c>
      <c r="Q21" s="15" t="s">
        <v>333</v>
      </c>
      <c r="R21" s="15" t="s">
        <v>333</v>
      </c>
      <c r="S21" s="15" t="s">
        <v>333</v>
      </c>
      <c r="T21" s="15" t="s">
        <v>333</v>
      </c>
      <c r="U21" s="15" t="s">
        <v>333</v>
      </c>
      <c r="V21" s="15" t="s">
        <v>333</v>
      </c>
      <c r="W21" s="14">
        <v>0.01</v>
      </c>
      <c r="X21" s="15" t="s">
        <v>333</v>
      </c>
      <c r="Y21" s="15" t="s">
        <v>333</v>
      </c>
      <c r="Z21" s="14">
        <v>0.01</v>
      </c>
      <c r="AA21" s="14">
        <v>0.01</v>
      </c>
      <c r="AB21" s="15" t="s">
        <v>333</v>
      </c>
      <c r="AC21" s="15" t="s">
        <v>333</v>
      </c>
      <c r="AD21" s="15" t="s">
        <v>333</v>
      </c>
      <c r="AE21" s="15" t="s">
        <v>333</v>
      </c>
      <c r="AF21" s="15" t="s">
        <v>333</v>
      </c>
    </row>
    <row r="22" spans="1:32" x14ac:dyDescent="0.35">
      <c r="A22" s="31"/>
      <c r="B22" s="11" t="s">
        <v>366</v>
      </c>
      <c r="C22" s="12">
        <v>11947</v>
      </c>
      <c r="D22" s="12">
        <v>524</v>
      </c>
      <c r="E22" s="12">
        <v>347</v>
      </c>
      <c r="F22" s="12">
        <v>470</v>
      </c>
      <c r="G22" s="12">
        <v>509</v>
      </c>
      <c r="H22" s="12">
        <v>505</v>
      </c>
      <c r="I22" s="12">
        <v>596</v>
      </c>
      <c r="J22" s="12">
        <v>91</v>
      </c>
      <c r="K22" s="12">
        <v>478</v>
      </c>
      <c r="L22" s="12">
        <v>580</v>
      </c>
      <c r="M22" s="12">
        <v>417</v>
      </c>
      <c r="N22" s="12">
        <v>525</v>
      </c>
      <c r="O22" s="12">
        <v>524</v>
      </c>
      <c r="P22" s="12">
        <v>395</v>
      </c>
      <c r="Q22" s="12">
        <v>406</v>
      </c>
      <c r="R22" s="12">
        <v>204</v>
      </c>
      <c r="S22" s="12">
        <v>521</v>
      </c>
      <c r="T22" s="12">
        <v>490</v>
      </c>
      <c r="U22" s="12">
        <v>355</v>
      </c>
      <c r="V22" s="12">
        <v>336</v>
      </c>
      <c r="W22" s="12">
        <v>331</v>
      </c>
      <c r="X22" s="12">
        <v>632</v>
      </c>
      <c r="Y22" s="12">
        <v>545</v>
      </c>
      <c r="Z22" s="12">
        <v>422</v>
      </c>
      <c r="AA22" s="12">
        <v>427</v>
      </c>
      <c r="AB22" s="12">
        <v>312</v>
      </c>
      <c r="AC22" s="12">
        <v>612</v>
      </c>
      <c r="AD22" s="12">
        <v>470</v>
      </c>
      <c r="AE22" s="12">
        <v>464</v>
      </c>
      <c r="AF22" s="12">
        <v>593</v>
      </c>
    </row>
    <row r="23" spans="1:32" x14ac:dyDescent="0.35">
      <c r="A23" s="31"/>
      <c r="B23" s="13" t="s">
        <v>367</v>
      </c>
      <c r="C23" s="14">
        <v>0.46</v>
      </c>
      <c r="D23" s="14">
        <v>0.51</v>
      </c>
      <c r="E23" s="14">
        <v>0.33</v>
      </c>
      <c r="F23" s="14">
        <v>0.46</v>
      </c>
      <c r="G23" s="14">
        <v>0.5</v>
      </c>
      <c r="H23" s="14">
        <v>0.41</v>
      </c>
      <c r="I23" s="14">
        <v>0.39</v>
      </c>
      <c r="J23" s="14">
        <v>0.31</v>
      </c>
      <c r="K23" s="14">
        <v>0.48</v>
      </c>
      <c r="L23" s="14">
        <v>0.57999999999999996</v>
      </c>
      <c r="M23" s="14">
        <v>0.42</v>
      </c>
      <c r="N23" s="14">
        <v>0.53</v>
      </c>
      <c r="O23" s="14">
        <v>0.52</v>
      </c>
      <c r="P23" s="14">
        <v>0.39</v>
      </c>
      <c r="Q23" s="14">
        <v>0.39</v>
      </c>
      <c r="R23" s="14">
        <v>0.41</v>
      </c>
      <c r="S23" s="14">
        <v>0.51</v>
      </c>
      <c r="T23" s="14">
        <v>0.48</v>
      </c>
      <c r="U23" s="14">
        <v>0.70000000000000007</v>
      </c>
      <c r="V23" s="14">
        <v>0.33</v>
      </c>
      <c r="W23" s="14">
        <v>0.66</v>
      </c>
      <c r="X23" s="14">
        <v>0.63</v>
      </c>
      <c r="Y23" s="14">
        <v>0.54</v>
      </c>
      <c r="Z23" s="14">
        <v>0.42</v>
      </c>
      <c r="AA23" s="14">
        <v>0.41</v>
      </c>
      <c r="AB23" s="14">
        <v>0.3</v>
      </c>
      <c r="AC23" s="14">
        <v>0.6</v>
      </c>
      <c r="AD23" s="14">
        <v>0.47</v>
      </c>
      <c r="AE23" s="14">
        <v>0.46</v>
      </c>
      <c r="AF23" s="14">
        <v>0.57999999999999996</v>
      </c>
    </row>
    <row r="24" spans="1:32" x14ac:dyDescent="0.35">
      <c r="A24" s="31"/>
      <c r="B24" s="11" t="s">
        <v>368</v>
      </c>
      <c r="C24" s="12">
        <v>14390</v>
      </c>
      <c r="D24" s="12">
        <v>500</v>
      </c>
      <c r="E24" s="12">
        <v>686</v>
      </c>
      <c r="F24" s="12">
        <v>548</v>
      </c>
      <c r="G24" s="12">
        <v>507</v>
      </c>
      <c r="H24" s="12">
        <v>724</v>
      </c>
      <c r="I24" s="12">
        <v>930</v>
      </c>
      <c r="J24" s="12">
        <v>206</v>
      </c>
      <c r="K24" s="12">
        <v>526</v>
      </c>
      <c r="L24" s="12">
        <v>422</v>
      </c>
      <c r="M24" s="12">
        <v>583</v>
      </c>
      <c r="N24" s="12">
        <v>474</v>
      </c>
      <c r="O24" s="12">
        <v>474</v>
      </c>
      <c r="P24" s="12">
        <v>608</v>
      </c>
      <c r="Q24" s="12">
        <v>627</v>
      </c>
      <c r="R24" s="12">
        <v>295</v>
      </c>
      <c r="S24" s="12">
        <v>497</v>
      </c>
      <c r="T24" s="12">
        <v>526</v>
      </c>
      <c r="U24" s="12">
        <v>153</v>
      </c>
      <c r="V24" s="12">
        <v>678</v>
      </c>
      <c r="W24" s="12">
        <v>168</v>
      </c>
      <c r="X24" s="12">
        <v>377</v>
      </c>
      <c r="Y24" s="12">
        <v>456</v>
      </c>
      <c r="Z24" s="12">
        <v>585</v>
      </c>
      <c r="AA24" s="12">
        <v>597</v>
      </c>
      <c r="AB24" s="12">
        <v>739</v>
      </c>
      <c r="AC24" s="12">
        <v>399</v>
      </c>
      <c r="AD24" s="12">
        <v>533</v>
      </c>
      <c r="AE24" s="12">
        <v>541</v>
      </c>
      <c r="AF24" s="12">
        <v>427</v>
      </c>
    </row>
    <row r="25" spans="1:32" x14ac:dyDescent="0.35">
      <c r="A25" s="31"/>
      <c r="B25" s="13" t="s">
        <v>369</v>
      </c>
      <c r="C25" s="14">
        <v>0.54</v>
      </c>
      <c r="D25" s="14">
        <v>0.49</v>
      </c>
      <c r="E25" s="14">
        <v>0.66</v>
      </c>
      <c r="F25" s="14">
        <v>0.54</v>
      </c>
      <c r="G25" s="14">
        <v>0.5</v>
      </c>
      <c r="H25" s="14">
        <v>0.59</v>
      </c>
      <c r="I25" s="14">
        <v>0.61</v>
      </c>
      <c r="J25" s="14">
        <v>0.69000000000000006</v>
      </c>
      <c r="K25" s="14">
        <v>0.52</v>
      </c>
      <c r="L25" s="14">
        <v>0.42</v>
      </c>
      <c r="M25" s="14">
        <v>0.57999999999999996</v>
      </c>
      <c r="N25" s="14">
        <v>0.47</v>
      </c>
      <c r="O25" s="14">
        <v>0.48</v>
      </c>
      <c r="P25" s="14">
        <v>0.61</v>
      </c>
      <c r="Q25" s="14">
        <v>0.61</v>
      </c>
      <c r="R25" s="14">
        <v>0.59</v>
      </c>
      <c r="S25" s="14">
        <v>0.49</v>
      </c>
      <c r="T25" s="14">
        <v>0.52</v>
      </c>
      <c r="U25" s="14">
        <v>0.3</v>
      </c>
      <c r="V25" s="14">
        <v>0.67</v>
      </c>
      <c r="W25" s="14">
        <v>0.33</v>
      </c>
      <c r="X25" s="14">
        <v>0.37</v>
      </c>
      <c r="Y25" s="14">
        <v>0.46</v>
      </c>
      <c r="Z25" s="14">
        <v>0.57000000000000006</v>
      </c>
      <c r="AA25" s="14">
        <v>0.57999999999999996</v>
      </c>
      <c r="AB25" s="14">
        <v>0.70000000000000007</v>
      </c>
      <c r="AC25" s="14">
        <v>0.4</v>
      </c>
      <c r="AD25" s="14">
        <v>0.53</v>
      </c>
      <c r="AE25" s="14">
        <v>0.54</v>
      </c>
      <c r="AF25" s="14">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83</v>
      </c>
      <c r="C3" s="30"/>
      <c r="D3" s="30"/>
      <c r="E3" s="30"/>
      <c r="F3" s="30"/>
      <c r="H3" s="30" t="s">
        <v>84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645</v>
      </c>
      <c r="C12" s="12">
        <v>19381</v>
      </c>
      <c r="D12" s="12">
        <v>721</v>
      </c>
      <c r="E12" s="12">
        <v>474</v>
      </c>
      <c r="F12" s="12">
        <v>602</v>
      </c>
      <c r="G12" s="12">
        <v>918</v>
      </c>
      <c r="H12" s="12">
        <v>1043</v>
      </c>
      <c r="I12" s="12">
        <v>1296</v>
      </c>
      <c r="J12" s="12">
        <v>252</v>
      </c>
      <c r="K12" s="12">
        <v>629</v>
      </c>
      <c r="L12" s="12">
        <v>731</v>
      </c>
      <c r="M12" s="12">
        <v>830</v>
      </c>
      <c r="N12" s="12">
        <v>765</v>
      </c>
      <c r="O12" s="12">
        <v>829</v>
      </c>
      <c r="P12" s="12">
        <v>643</v>
      </c>
      <c r="Q12" s="12">
        <v>643</v>
      </c>
      <c r="R12" s="12">
        <v>327</v>
      </c>
      <c r="S12" s="12">
        <v>641</v>
      </c>
      <c r="T12" s="12">
        <v>668</v>
      </c>
      <c r="U12" s="12">
        <v>415</v>
      </c>
      <c r="V12" s="12">
        <v>665</v>
      </c>
      <c r="W12" s="12">
        <v>310</v>
      </c>
      <c r="X12" s="12">
        <v>870</v>
      </c>
      <c r="Y12" s="12">
        <v>717</v>
      </c>
      <c r="Z12" s="12">
        <v>559</v>
      </c>
      <c r="AA12" s="12">
        <v>769</v>
      </c>
      <c r="AB12" s="12">
        <v>426</v>
      </c>
      <c r="AC12" s="12">
        <v>824</v>
      </c>
      <c r="AD12" s="12">
        <v>773</v>
      </c>
      <c r="AE12" s="12">
        <v>936</v>
      </c>
      <c r="AF12" s="12">
        <v>975</v>
      </c>
    </row>
    <row r="13" spans="1:32" ht="21.5" x14ac:dyDescent="0.35">
      <c r="A13" s="31"/>
      <c r="B13" s="13" t="s">
        <v>646</v>
      </c>
      <c r="C13" s="14">
        <v>0.73</v>
      </c>
      <c r="D13" s="14">
        <v>0.70000000000000007</v>
      </c>
      <c r="E13" s="14">
        <v>0.46</v>
      </c>
      <c r="F13" s="14">
        <v>0.59</v>
      </c>
      <c r="G13" s="14">
        <v>0.9</v>
      </c>
      <c r="H13" s="14">
        <v>0.85</v>
      </c>
      <c r="I13" s="14">
        <v>0.85</v>
      </c>
      <c r="J13" s="14">
        <v>0.85</v>
      </c>
      <c r="K13" s="14">
        <v>0.62</v>
      </c>
      <c r="L13" s="14">
        <v>0.73</v>
      </c>
      <c r="M13" s="14">
        <v>0.83000000000000007</v>
      </c>
      <c r="N13" s="14">
        <v>0.76</v>
      </c>
      <c r="O13" s="14">
        <v>0.83000000000000007</v>
      </c>
      <c r="P13" s="14">
        <v>0.64</v>
      </c>
      <c r="Q13" s="14">
        <v>0.62</v>
      </c>
      <c r="R13" s="14">
        <v>0.65</v>
      </c>
      <c r="S13" s="14">
        <v>0.63</v>
      </c>
      <c r="T13" s="14">
        <v>0.66</v>
      </c>
      <c r="U13" s="14">
        <v>0.82000000000000006</v>
      </c>
      <c r="V13" s="14">
        <v>0.66</v>
      </c>
      <c r="W13" s="14">
        <v>0.62</v>
      </c>
      <c r="X13" s="14">
        <v>0.86</v>
      </c>
      <c r="Y13" s="14">
        <v>0.71</v>
      </c>
      <c r="Z13" s="14">
        <v>0.55000000000000004</v>
      </c>
      <c r="AA13" s="14">
        <v>0.75</v>
      </c>
      <c r="AB13" s="14">
        <v>0.4</v>
      </c>
      <c r="AC13" s="14">
        <v>0.81</v>
      </c>
      <c r="AD13" s="14">
        <v>0.77</v>
      </c>
      <c r="AE13" s="14">
        <v>0.93</v>
      </c>
      <c r="AF13" s="14">
        <v>0.96</v>
      </c>
    </row>
    <row r="14" spans="1:32" ht="41.5" x14ac:dyDescent="0.35">
      <c r="A14" s="31"/>
      <c r="B14" s="11" t="s">
        <v>647</v>
      </c>
      <c r="C14" s="12">
        <v>13158</v>
      </c>
      <c r="D14" s="12">
        <v>709</v>
      </c>
      <c r="E14" s="12">
        <v>280</v>
      </c>
      <c r="F14" s="12">
        <v>320</v>
      </c>
      <c r="G14" s="12">
        <v>535</v>
      </c>
      <c r="H14" s="12">
        <v>721</v>
      </c>
      <c r="I14" s="12">
        <v>918</v>
      </c>
      <c r="J14" s="12">
        <v>198</v>
      </c>
      <c r="K14" s="12">
        <v>319</v>
      </c>
      <c r="L14" s="12">
        <v>312</v>
      </c>
      <c r="M14" s="12">
        <v>256</v>
      </c>
      <c r="N14" s="12">
        <v>687</v>
      </c>
      <c r="O14" s="12">
        <v>560</v>
      </c>
      <c r="P14" s="12">
        <v>264</v>
      </c>
      <c r="Q14" s="12">
        <v>340</v>
      </c>
      <c r="R14" s="12">
        <v>167</v>
      </c>
      <c r="S14" s="12">
        <v>525</v>
      </c>
      <c r="T14" s="12">
        <v>361</v>
      </c>
      <c r="U14" s="12">
        <v>342</v>
      </c>
      <c r="V14" s="12">
        <v>354</v>
      </c>
      <c r="W14" s="12">
        <v>248</v>
      </c>
      <c r="X14" s="12">
        <v>696</v>
      </c>
      <c r="Y14" s="12">
        <v>529</v>
      </c>
      <c r="Z14" s="12">
        <v>463</v>
      </c>
      <c r="AA14" s="12">
        <v>337</v>
      </c>
      <c r="AB14" s="12">
        <v>333</v>
      </c>
      <c r="AC14" s="12">
        <v>643</v>
      </c>
      <c r="AD14" s="12">
        <v>362</v>
      </c>
      <c r="AE14" s="12">
        <v>606</v>
      </c>
      <c r="AF14" s="12">
        <v>405</v>
      </c>
    </row>
    <row r="15" spans="1:32" ht="31.5" x14ac:dyDescent="0.35">
      <c r="A15" s="31"/>
      <c r="B15" s="13" t="s">
        <v>648</v>
      </c>
      <c r="C15" s="14">
        <v>0.5</v>
      </c>
      <c r="D15" s="14">
        <v>0.69000000000000006</v>
      </c>
      <c r="E15" s="14">
        <v>0.27</v>
      </c>
      <c r="F15" s="14">
        <v>0.31</v>
      </c>
      <c r="G15" s="14">
        <v>0.53</v>
      </c>
      <c r="H15" s="14">
        <v>0.57999999999999996</v>
      </c>
      <c r="I15" s="14">
        <v>0.6</v>
      </c>
      <c r="J15" s="14">
        <v>0.66</v>
      </c>
      <c r="K15" s="14">
        <v>0.32</v>
      </c>
      <c r="L15" s="14">
        <v>0.31</v>
      </c>
      <c r="M15" s="14">
        <v>0.25</v>
      </c>
      <c r="N15" s="14">
        <v>0.69000000000000006</v>
      </c>
      <c r="O15" s="14">
        <v>0.56000000000000005</v>
      </c>
      <c r="P15" s="14">
        <v>0.26</v>
      </c>
      <c r="Q15" s="14">
        <v>0.33</v>
      </c>
      <c r="R15" s="14">
        <v>0.33</v>
      </c>
      <c r="S15" s="14">
        <v>0.51</v>
      </c>
      <c r="T15" s="14">
        <v>0.36</v>
      </c>
      <c r="U15" s="14">
        <v>0.67</v>
      </c>
      <c r="V15" s="14">
        <v>0.35</v>
      </c>
      <c r="W15" s="14">
        <v>0.49</v>
      </c>
      <c r="X15" s="14">
        <v>0.69000000000000006</v>
      </c>
      <c r="Y15" s="14">
        <v>0.53</v>
      </c>
      <c r="Z15" s="14">
        <v>0.45</v>
      </c>
      <c r="AA15" s="14">
        <v>0.33</v>
      </c>
      <c r="AB15" s="14">
        <v>0.32</v>
      </c>
      <c r="AC15" s="14">
        <v>0.63</v>
      </c>
      <c r="AD15" s="14">
        <v>0.36</v>
      </c>
      <c r="AE15" s="14">
        <v>0.6</v>
      </c>
      <c r="AF15" s="14">
        <v>0.4</v>
      </c>
    </row>
    <row r="16" spans="1:32" ht="41.5" x14ac:dyDescent="0.35">
      <c r="A16" s="31"/>
      <c r="B16" s="11" t="s">
        <v>649</v>
      </c>
      <c r="C16" s="12">
        <v>18122</v>
      </c>
      <c r="D16" s="12">
        <v>679</v>
      </c>
      <c r="E16" s="12">
        <v>559</v>
      </c>
      <c r="F16" s="12">
        <v>752</v>
      </c>
      <c r="G16" s="12">
        <v>856</v>
      </c>
      <c r="H16" s="12">
        <v>907</v>
      </c>
      <c r="I16" s="12">
        <v>1128</v>
      </c>
      <c r="J16" s="12">
        <v>221</v>
      </c>
      <c r="K16" s="12">
        <v>620</v>
      </c>
      <c r="L16" s="12">
        <v>663</v>
      </c>
      <c r="M16" s="12">
        <v>821</v>
      </c>
      <c r="N16" s="12">
        <v>786</v>
      </c>
      <c r="O16" s="12">
        <v>675</v>
      </c>
      <c r="P16" s="12">
        <v>522</v>
      </c>
      <c r="Q16" s="12">
        <v>579</v>
      </c>
      <c r="R16" s="12">
        <v>395</v>
      </c>
      <c r="S16" s="12">
        <v>756</v>
      </c>
      <c r="T16" s="12">
        <v>775</v>
      </c>
      <c r="U16" s="12">
        <v>404</v>
      </c>
      <c r="V16" s="12">
        <v>671</v>
      </c>
      <c r="W16" s="12">
        <v>307</v>
      </c>
      <c r="X16" s="12">
        <v>853</v>
      </c>
      <c r="Y16" s="12">
        <v>609</v>
      </c>
      <c r="Z16" s="12">
        <v>621</v>
      </c>
      <c r="AA16" s="12">
        <v>669</v>
      </c>
      <c r="AB16" s="12">
        <v>469</v>
      </c>
      <c r="AC16" s="12">
        <v>739</v>
      </c>
      <c r="AD16" s="12">
        <v>824</v>
      </c>
      <c r="AE16" s="12">
        <v>846</v>
      </c>
      <c r="AF16" s="12">
        <v>921</v>
      </c>
    </row>
    <row r="17" spans="1:32" ht="31.5" x14ac:dyDescent="0.35">
      <c r="A17" s="31"/>
      <c r="B17" s="13" t="s">
        <v>650</v>
      </c>
      <c r="C17" s="14">
        <v>0.69000000000000006</v>
      </c>
      <c r="D17" s="14">
        <v>0.66</v>
      </c>
      <c r="E17" s="14">
        <v>0.54</v>
      </c>
      <c r="F17" s="14">
        <v>0.74</v>
      </c>
      <c r="G17" s="14">
        <v>0.84</v>
      </c>
      <c r="H17" s="14">
        <v>0.74</v>
      </c>
      <c r="I17" s="14">
        <v>0.74</v>
      </c>
      <c r="J17" s="14">
        <v>0.74</v>
      </c>
      <c r="K17" s="14">
        <v>0.61</v>
      </c>
      <c r="L17" s="14">
        <v>0.66</v>
      </c>
      <c r="M17" s="14">
        <v>0.82000000000000006</v>
      </c>
      <c r="N17" s="14">
        <v>0.79</v>
      </c>
      <c r="O17" s="14">
        <v>0.67</v>
      </c>
      <c r="P17" s="14">
        <v>0.52</v>
      </c>
      <c r="Q17" s="14">
        <v>0.56000000000000005</v>
      </c>
      <c r="R17" s="14">
        <v>0.79</v>
      </c>
      <c r="S17" s="14">
        <v>0.74</v>
      </c>
      <c r="T17" s="14">
        <v>0.76</v>
      </c>
      <c r="U17" s="14">
        <v>0.79</v>
      </c>
      <c r="V17" s="14">
        <v>0.66</v>
      </c>
      <c r="W17" s="14">
        <v>0.61</v>
      </c>
      <c r="X17" s="14">
        <v>0.84</v>
      </c>
      <c r="Y17" s="14">
        <v>0.61</v>
      </c>
      <c r="Z17" s="14">
        <v>0.61</v>
      </c>
      <c r="AA17" s="14">
        <v>0.65</v>
      </c>
      <c r="AB17" s="14">
        <v>0.44</v>
      </c>
      <c r="AC17" s="14">
        <v>0.73</v>
      </c>
      <c r="AD17" s="14">
        <v>0.82000000000000006</v>
      </c>
      <c r="AE17" s="14">
        <v>0.84</v>
      </c>
      <c r="AF17" s="14">
        <v>0.9</v>
      </c>
    </row>
    <row r="18" spans="1:32" ht="41.5" x14ac:dyDescent="0.35">
      <c r="A18" s="31"/>
      <c r="B18" s="11" t="s">
        <v>651</v>
      </c>
      <c r="C18" s="12">
        <v>14906</v>
      </c>
      <c r="D18" s="12">
        <v>500</v>
      </c>
      <c r="E18" s="12">
        <v>434</v>
      </c>
      <c r="F18" s="12">
        <v>589</v>
      </c>
      <c r="G18" s="12">
        <v>581</v>
      </c>
      <c r="H18" s="12">
        <v>567</v>
      </c>
      <c r="I18" s="12">
        <v>709</v>
      </c>
      <c r="J18" s="12">
        <v>142</v>
      </c>
      <c r="K18" s="12">
        <v>551</v>
      </c>
      <c r="L18" s="12">
        <v>478</v>
      </c>
      <c r="M18" s="12">
        <v>799</v>
      </c>
      <c r="N18" s="12">
        <v>633</v>
      </c>
      <c r="O18" s="12">
        <v>614</v>
      </c>
      <c r="P18" s="12">
        <v>532</v>
      </c>
      <c r="Q18" s="12">
        <v>597</v>
      </c>
      <c r="R18" s="12">
        <v>249</v>
      </c>
      <c r="S18" s="12">
        <v>570</v>
      </c>
      <c r="T18" s="12">
        <v>618</v>
      </c>
      <c r="U18" s="12">
        <v>279</v>
      </c>
      <c r="V18" s="12">
        <v>576</v>
      </c>
      <c r="W18" s="12">
        <v>293</v>
      </c>
      <c r="X18" s="12">
        <v>662</v>
      </c>
      <c r="Y18" s="12">
        <v>479</v>
      </c>
      <c r="Z18" s="12">
        <v>506</v>
      </c>
      <c r="AA18" s="12">
        <v>651</v>
      </c>
      <c r="AB18" s="12">
        <v>410</v>
      </c>
      <c r="AC18" s="12">
        <v>792</v>
      </c>
      <c r="AD18" s="12">
        <v>697</v>
      </c>
      <c r="AE18" s="12">
        <v>767</v>
      </c>
      <c r="AF18" s="12">
        <v>850</v>
      </c>
    </row>
    <row r="19" spans="1:32" ht="31.5" x14ac:dyDescent="0.35">
      <c r="A19" s="31"/>
      <c r="B19" s="13" t="s">
        <v>652</v>
      </c>
      <c r="C19" s="14">
        <v>0.56000000000000005</v>
      </c>
      <c r="D19" s="14">
        <v>0.49</v>
      </c>
      <c r="E19" s="14">
        <v>0.42</v>
      </c>
      <c r="F19" s="14">
        <v>0.57999999999999996</v>
      </c>
      <c r="G19" s="14">
        <v>0.57000000000000006</v>
      </c>
      <c r="H19" s="14">
        <v>0.46</v>
      </c>
      <c r="I19" s="14">
        <v>0.46</v>
      </c>
      <c r="J19" s="14">
        <v>0.48</v>
      </c>
      <c r="K19" s="14">
        <v>0.55000000000000004</v>
      </c>
      <c r="L19" s="14">
        <v>0.48</v>
      </c>
      <c r="M19" s="14">
        <v>0.8</v>
      </c>
      <c r="N19" s="14">
        <v>0.63</v>
      </c>
      <c r="O19" s="14">
        <v>0.61</v>
      </c>
      <c r="P19" s="14">
        <v>0.53</v>
      </c>
      <c r="Q19" s="14">
        <v>0.57999999999999996</v>
      </c>
      <c r="R19" s="14">
        <v>0.5</v>
      </c>
      <c r="S19" s="14">
        <v>0.56000000000000005</v>
      </c>
      <c r="T19" s="14">
        <v>0.61</v>
      </c>
      <c r="U19" s="14">
        <v>0.55000000000000004</v>
      </c>
      <c r="V19" s="14">
        <v>0.57000000000000006</v>
      </c>
      <c r="W19" s="14">
        <v>0.59</v>
      </c>
      <c r="X19" s="14">
        <v>0.66</v>
      </c>
      <c r="Y19" s="14">
        <v>0.48</v>
      </c>
      <c r="Z19" s="14">
        <v>0.5</v>
      </c>
      <c r="AA19" s="14">
        <v>0.63</v>
      </c>
      <c r="AB19" s="14">
        <v>0.39</v>
      </c>
      <c r="AC19" s="14">
        <v>0.78</v>
      </c>
      <c r="AD19" s="14">
        <v>0.69000000000000006</v>
      </c>
      <c r="AE19" s="14">
        <v>0.76</v>
      </c>
      <c r="AF19" s="14">
        <v>0.83000000000000007</v>
      </c>
    </row>
    <row r="20" spans="1:32" ht="41.5" x14ac:dyDescent="0.35">
      <c r="A20" s="31"/>
      <c r="B20" s="11" t="s">
        <v>653</v>
      </c>
      <c r="C20" s="12">
        <v>12282</v>
      </c>
      <c r="D20" s="12">
        <v>507</v>
      </c>
      <c r="E20" s="12">
        <v>270</v>
      </c>
      <c r="F20" s="12">
        <v>475</v>
      </c>
      <c r="G20" s="12">
        <v>659</v>
      </c>
      <c r="H20" s="12">
        <v>692</v>
      </c>
      <c r="I20" s="12">
        <v>848</v>
      </c>
      <c r="J20" s="12">
        <v>156</v>
      </c>
      <c r="K20" s="12">
        <v>325</v>
      </c>
      <c r="L20" s="12">
        <v>391</v>
      </c>
      <c r="M20" s="12">
        <v>434</v>
      </c>
      <c r="N20" s="12">
        <v>573</v>
      </c>
      <c r="O20" s="12">
        <v>414</v>
      </c>
      <c r="P20" s="12">
        <v>314</v>
      </c>
      <c r="Q20" s="12">
        <v>419</v>
      </c>
      <c r="R20" s="12">
        <v>132</v>
      </c>
      <c r="S20" s="12">
        <v>516</v>
      </c>
      <c r="T20" s="12">
        <v>602</v>
      </c>
      <c r="U20" s="12">
        <v>293</v>
      </c>
      <c r="V20" s="12">
        <v>378</v>
      </c>
      <c r="W20" s="12">
        <v>259</v>
      </c>
      <c r="X20" s="12">
        <v>634</v>
      </c>
      <c r="Y20" s="12">
        <v>534</v>
      </c>
      <c r="Z20" s="12">
        <v>316</v>
      </c>
      <c r="AA20" s="12">
        <v>337</v>
      </c>
      <c r="AB20" s="12">
        <v>305</v>
      </c>
      <c r="AC20" s="12">
        <v>713</v>
      </c>
      <c r="AD20" s="12">
        <v>676</v>
      </c>
      <c r="AE20" s="12">
        <v>573</v>
      </c>
      <c r="AF20" s="12">
        <v>556</v>
      </c>
    </row>
    <row r="21" spans="1:32" ht="31.5" x14ac:dyDescent="0.35">
      <c r="A21" s="31"/>
      <c r="B21" s="13" t="s">
        <v>654</v>
      </c>
      <c r="C21" s="14">
        <v>0.47</v>
      </c>
      <c r="D21" s="14">
        <v>0.49</v>
      </c>
      <c r="E21" s="14">
        <v>0.26</v>
      </c>
      <c r="F21" s="14">
        <v>0.47</v>
      </c>
      <c r="G21" s="14">
        <v>0.65</v>
      </c>
      <c r="H21" s="14">
        <v>0.56000000000000005</v>
      </c>
      <c r="I21" s="14">
        <v>0.55000000000000004</v>
      </c>
      <c r="J21" s="14">
        <v>0.52</v>
      </c>
      <c r="K21" s="14">
        <v>0.32</v>
      </c>
      <c r="L21" s="14">
        <v>0.39</v>
      </c>
      <c r="M21" s="14">
        <v>0.43</v>
      </c>
      <c r="N21" s="14">
        <v>0.57000000000000006</v>
      </c>
      <c r="O21" s="14">
        <v>0.41</v>
      </c>
      <c r="P21" s="14">
        <v>0.31</v>
      </c>
      <c r="Q21" s="14">
        <v>0.41</v>
      </c>
      <c r="R21" s="14">
        <v>0.26</v>
      </c>
      <c r="S21" s="14">
        <v>0.51</v>
      </c>
      <c r="T21" s="14">
        <v>0.59</v>
      </c>
      <c r="U21" s="14">
        <v>0.57999999999999996</v>
      </c>
      <c r="V21" s="14">
        <v>0.37</v>
      </c>
      <c r="W21" s="14">
        <v>0.52</v>
      </c>
      <c r="X21" s="14">
        <v>0.63</v>
      </c>
      <c r="Y21" s="14">
        <v>0.53</v>
      </c>
      <c r="Z21" s="14">
        <v>0.31</v>
      </c>
      <c r="AA21" s="14">
        <v>0.33</v>
      </c>
      <c r="AB21" s="14">
        <v>0.28999999999999998</v>
      </c>
      <c r="AC21" s="14">
        <v>0.70000000000000007</v>
      </c>
      <c r="AD21" s="14">
        <v>0.67</v>
      </c>
      <c r="AE21" s="14">
        <v>0.57000000000000006</v>
      </c>
      <c r="AF21" s="14">
        <v>0.54</v>
      </c>
    </row>
    <row r="22" spans="1:32" x14ac:dyDescent="0.35">
      <c r="A22" s="31"/>
      <c r="B22" s="11" t="s">
        <v>344</v>
      </c>
      <c r="C22" s="12">
        <v>1329</v>
      </c>
      <c r="D22" s="12">
        <v>17</v>
      </c>
      <c r="E22" s="12">
        <v>161</v>
      </c>
      <c r="F22" s="12">
        <v>68</v>
      </c>
      <c r="G22" s="12">
        <v>15</v>
      </c>
      <c r="H22" s="12">
        <v>48</v>
      </c>
      <c r="I22" s="12">
        <v>58</v>
      </c>
      <c r="J22" s="12">
        <v>10</v>
      </c>
      <c r="K22" s="12">
        <v>122</v>
      </c>
      <c r="L22" s="12">
        <v>58</v>
      </c>
      <c r="M22" s="12">
        <v>43</v>
      </c>
      <c r="N22" s="12">
        <v>39</v>
      </c>
      <c r="O22" s="12">
        <v>48</v>
      </c>
      <c r="P22" s="12">
        <v>78</v>
      </c>
      <c r="Q22" s="12">
        <v>86</v>
      </c>
      <c r="R22" s="12">
        <v>55</v>
      </c>
      <c r="S22" s="12">
        <v>85</v>
      </c>
      <c r="T22" s="12">
        <v>67</v>
      </c>
      <c r="U22" s="12">
        <v>17</v>
      </c>
      <c r="V22" s="12">
        <v>13</v>
      </c>
      <c r="W22" s="12">
        <v>16</v>
      </c>
      <c r="X22" s="12">
        <v>7</v>
      </c>
      <c r="Y22" s="12">
        <v>28</v>
      </c>
      <c r="Z22" s="12">
        <v>65</v>
      </c>
      <c r="AA22" s="12">
        <v>65</v>
      </c>
      <c r="AB22" s="12">
        <v>100</v>
      </c>
      <c r="AC22" s="12">
        <v>21</v>
      </c>
      <c r="AD22" s="12">
        <v>14</v>
      </c>
      <c r="AE22" s="12">
        <v>17</v>
      </c>
      <c r="AF22" s="12">
        <v>3</v>
      </c>
    </row>
    <row r="23" spans="1:32" x14ac:dyDescent="0.35">
      <c r="A23" s="31"/>
      <c r="B23" s="13" t="s">
        <v>357</v>
      </c>
      <c r="C23" s="14">
        <v>0.05</v>
      </c>
      <c r="D23" s="14">
        <v>0.02</v>
      </c>
      <c r="E23" s="14">
        <v>0.15</v>
      </c>
      <c r="F23" s="14">
        <v>7.0000000000000007E-2</v>
      </c>
      <c r="G23" s="14">
        <v>0.01</v>
      </c>
      <c r="H23" s="14">
        <v>0.04</v>
      </c>
      <c r="I23" s="14">
        <v>0.04</v>
      </c>
      <c r="J23" s="14">
        <v>0.03</v>
      </c>
      <c r="K23" s="14">
        <v>0.12</v>
      </c>
      <c r="L23" s="14">
        <v>0.06</v>
      </c>
      <c r="M23" s="14">
        <v>0.04</v>
      </c>
      <c r="N23" s="14">
        <v>0.04</v>
      </c>
      <c r="O23" s="14">
        <v>0.05</v>
      </c>
      <c r="P23" s="14">
        <v>0.08</v>
      </c>
      <c r="Q23" s="14">
        <v>0.08</v>
      </c>
      <c r="R23" s="14">
        <v>0.11</v>
      </c>
      <c r="S23" s="14">
        <v>0.08</v>
      </c>
      <c r="T23" s="14">
        <v>7.0000000000000007E-2</v>
      </c>
      <c r="U23" s="14">
        <v>0.03</v>
      </c>
      <c r="V23" s="14">
        <v>0.01</v>
      </c>
      <c r="W23" s="14">
        <v>0.03</v>
      </c>
      <c r="X23" s="14">
        <v>0.01</v>
      </c>
      <c r="Y23" s="14">
        <v>0.03</v>
      </c>
      <c r="Z23" s="14">
        <v>0.06</v>
      </c>
      <c r="AA23" s="14">
        <v>0.06</v>
      </c>
      <c r="AB23" s="14">
        <v>0.09</v>
      </c>
      <c r="AC23" s="14">
        <v>0.02</v>
      </c>
      <c r="AD23" s="14">
        <v>0.01</v>
      </c>
      <c r="AE23" s="14">
        <v>0.02</v>
      </c>
      <c r="AF23" s="15" t="s">
        <v>333</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3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60" customHeight="1" x14ac:dyDescent="0.35">
      <c r="B3" s="30" t="s">
        <v>85</v>
      </c>
      <c r="C3" s="30"/>
      <c r="D3" s="30"/>
      <c r="E3" s="30"/>
      <c r="F3" s="30"/>
      <c r="H3" s="30" t="s">
        <v>86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655</v>
      </c>
      <c r="C12" s="12">
        <v>569</v>
      </c>
      <c r="D12" s="12">
        <v>25</v>
      </c>
      <c r="E12" s="12">
        <v>13</v>
      </c>
      <c r="F12" s="12">
        <v>16</v>
      </c>
      <c r="G12" s="12">
        <v>33</v>
      </c>
      <c r="H12" s="12">
        <v>23</v>
      </c>
      <c r="I12" s="12">
        <v>25</v>
      </c>
      <c r="J12" s="12">
        <v>2</v>
      </c>
      <c r="K12" s="12">
        <v>24</v>
      </c>
      <c r="L12" s="12">
        <v>17</v>
      </c>
      <c r="M12" s="12">
        <v>0</v>
      </c>
      <c r="N12" s="12">
        <v>20</v>
      </c>
      <c r="O12" s="12">
        <v>9</v>
      </c>
      <c r="P12" s="12">
        <v>39</v>
      </c>
      <c r="Q12" s="12">
        <v>24</v>
      </c>
      <c r="R12" s="12">
        <v>6</v>
      </c>
      <c r="S12" s="12">
        <v>8</v>
      </c>
      <c r="T12" s="12">
        <v>12</v>
      </c>
      <c r="U12" s="12">
        <v>6</v>
      </c>
      <c r="V12" s="12">
        <v>28</v>
      </c>
      <c r="W12" s="12">
        <v>20</v>
      </c>
      <c r="X12" s="12">
        <v>64</v>
      </c>
      <c r="Y12" s="12">
        <v>45</v>
      </c>
      <c r="Z12" s="12">
        <v>37</v>
      </c>
      <c r="AA12" s="12">
        <v>14</v>
      </c>
      <c r="AB12" s="12">
        <v>20</v>
      </c>
      <c r="AC12" s="12">
        <v>12</v>
      </c>
      <c r="AD12" s="12">
        <v>13</v>
      </c>
      <c r="AE12" s="12">
        <v>16</v>
      </c>
      <c r="AF12" s="12">
        <v>42</v>
      </c>
    </row>
    <row r="13" spans="1:32" x14ac:dyDescent="0.35">
      <c r="A13" s="31"/>
      <c r="B13" s="13" t="s">
        <v>656</v>
      </c>
      <c r="C13" s="14">
        <v>0.02</v>
      </c>
      <c r="D13" s="14">
        <v>0.02</v>
      </c>
      <c r="E13" s="14">
        <v>0.01</v>
      </c>
      <c r="F13" s="14">
        <v>0.02</v>
      </c>
      <c r="G13" s="14">
        <v>0.03</v>
      </c>
      <c r="H13" s="14">
        <v>0.02</v>
      </c>
      <c r="I13" s="14">
        <v>0.02</v>
      </c>
      <c r="J13" s="14">
        <v>0.01</v>
      </c>
      <c r="K13" s="14">
        <v>0.02</v>
      </c>
      <c r="L13" s="14">
        <v>0.02</v>
      </c>
      <c r="M13" s="15" t="s">
        <v>333</v>
      </c>
      <c r="N13" s="14">
        <v>0.02</v>
      </c>
      <c r="O13" s="14">
        <v>0.01</v>
      </c>
      <c r="P13" s="14">
        <v>0.04</v>
      </c>
      <c r="Q13" s="14">
        <v>0.02</v>
      </c>
      <c r="R13" s="14">
        <v>0.01</v>
      </c>
      <c r="S13" s="14">
        <v>0.01</v>
      </c>
      <c r="T13" s="14">
        <v>0.01</v>
      </c>
      <c r="U13" s="14">
        <v>0.01</v>
      </c>
      <c r="V13" s="14">
        <v>0.03</v>
      </c>
      <c r="W13" s="14">
        <v>0.04</v>
      </c>
      <c r="X13" s="14">
        <v>0.06</v>
      </c>
      <c r="Y13" s="14">
        <v>0.04</v>
      </c>
      <c r="Z13" s="14">
        <v>0.04</v>
      </c>
      <c r="AA13" s="14">
        <v>0.01</v>
      </c>
      <c r="AB13" s="14">
        <v>0.02</v>
      </c>
      <c r="AC13" s="14">
        <v>0.01</v>
      </c>
      <c r="AD13" s="14">
        <v>0.01</v>
      </c>
      <c r="AE13" s="14">
        <v>0.02</v>
      </c>
      <c r="AF13" s="14">
        <v>0.04</v>
      </c>
    </row>
    <row r="14" spans="1:32" ht="51.5" x14ac:dyDescent="0.35">
      <c r="A14" s="31"/>
      <c r="B14" s="11" t="s">
        <v>657</v>
      </c>
      <c r="C14" s="12">
        <v>1123</v>
      </c>
      <c r="D14" s="12">
        <v>54</v>
      </c>
      <c r="E14" s="12">
        <v>23</v>
      </c>
      <c r="F14" s="12">
        <v>33</v>
      </c>
      <c r="G14" s="12">
        <v>92</v>
      </c>
      <c r="H14" s="12">
        <v>65</v>
      </c>
      <c r="I14" s="12">
        <v>77</v>
      </c>
      <c r="J14" s="12">
        <v>12</v>
      </c>
      <c r="K14" s="12">
        <v>32</v>
      </c>
      <c r="L14" s="12">
        <v>47</v>
      </c>
      <c r="M14" s="12">
        <v>8</v>
      </c>
      <c r="N14" s="12">
        <v>23</v>
      </c>
      <c r="O14" s="12">
        <v>38</v>
      </c>
      <c r="P14" s="12">
        <v>34</v>
      </c>
      <c r="Q14" s="12">
        <v>27</v>
      </c>
      <c r="R14" s="12">
        <v>10</v>
      </c>
      <c r="S14" s="12">
        <v>21</v>
      </c>
      <c r="T14" s="12">
        <v>38</v>
      </c>
      <c r="U14" s="12">
        <v>32</v>
      </c>
      <c r="V14" s="12">
        <v>35</v>
      </c>
      <c r="W14" s="12">
        <v>36</v>
      </c>
      <c r="X14" s="12">
        <v>139</v>
      </c>
      <c r="Y14" s="12">
        <v>58</v>
      </c>
      <c r="Z14" s="12">
        <v>38</v>
      </c>
      <c r="AA14" s="12">
        <v>20</v>
      </c>
      <c r="AB14" s="12">
        <v>34</v>
      </c>
      <c r="AC14" s="12">
        <v>28</v>
      </c>
      <c r="AD14" s="12">
        <v>23</v>
      </c>
      <c r="AE14" s="12">
        <v>77</v>
      </c>
      <c r="AF14" s="12">
        <v>112</v>
      </c>
    </row>
    <row r="15" spans="1:32" ht="21.5" x14ac:dyDescent="0.35">
      <c r="A15" s="31"/>
      <c r="B15" s="13" t="s">
        <v>658</v>
      </c>
      <c r="C15" s="14">
        <v>0.04</v>
      </c>
      <c r="D15" s="14">
        <v>0.05</v>
      </c>
      <c r="E15" s="14">
        <v>0.02</v>
      </c>
      <c r="F15" s="14">
        <v>0.03</v>
      </c>
      <c r="G15" s="14">
        <v>0.09</v>
      </c>
      <c r="H15" s="14">
        <v>0.05</v>
      </c>
      <c r="I15" s="14">
        <v>0.05</v>
      </c>
      <c r="J15" s="14">
        <v>0.04</v>
      </c>
      <c r="K15" s="14">
        <v>0.03</v>
      </c>
      <c r="L15" s="14">
        <v>0.05</v>
      </c>
      <c r="M15" s="14">
        <v>0.01</v>
      </c>
      <c r="N15" s="14">
        <v>0.02</v>
      </c>
      <c r="O15" s="14">
        <v>0.04</v>
      </c>
      <c r="P15" s="14">
        <v>0.03</v>
      </c>
      <c r="Q15" s="14">
        <v>0.03</v>
      </c>
      <c r="R15" s="14">
        <v>0.02</v>
      </c>
      <c r="S15" s="14">
        <v>0.02</v>
      </c>
      <c r="T15" s="14">
        <v>0.04</v>
      </c>
      <c r="U15" s="14">
        <v>0.06</v>
      </c>
      <c r="V15" s="14">
        <v>0.03</v>
      </c>
      <c r="W15" s="14">
        <v>7.0000000000000007E-2</v>
      </c>
      <c r="X15" s="14">
        <v>0.14000000000000001</v>
      </c>
      <c r="Y15" s="14">
        <v>0.06</v>
      </c>
      <c r="Z15" s="14">
        <v>0.04</v>
      </c>
      <c r="AA15" s="14">
        <v>0.02</v>
      </c>
      <c r="AB15" s="14">
        <v>0.03</v>
      </c>
      <c r="AC15" s="14">
        <v>0.03</v>
      </c>
      <c r="AD15" s="14">
        <v>0.02</v>
      </c>
      <c r="AE15" s="14">
        <v>0.08</v>
      </c>
      <c r="AF15" s="14">
        <v>0.11</v>
      </c>
    </row>
    <row r="16" spans="1:32" x14ac:dyDescent="0.35">
      <c r="A16" s="31"/>
      <c r="B16" s="11" t="s">
        <v>659</v>
      </c>
      <c r="C16" s="12">
        <v>4719</v>
      </c>
      <c r="D16" s="12">
        <v>299</v>
      </c>
      <c r="E16" s="12">
        <v>71</v>
      </c>
      <c r="F16" s="12">
        <v>123</v>
      </c>
      <c r="G16" s="12">
        <v>435</v>
      </c>
      <c r="H16" s="12">
        <v>284</v>
      </c>
      <c r="I16" s="12">
        <v>327</v>
      </c>
      <c r="J16" s="12">
        <v>44</v>
      </c>
      <c r="K16" s="12">
        <v>155</v>
      </c>
      <c r="L16" s="12">
        <v>301</v>
      </c>
      <c r="M16" s="12">
        <v>59</v>
      </c>
      <c r="N16" s="12">
        <v>127</v>
      </c>
      <c r="O16" s="12">
        <v>199</v>
      </c>
      <c r="P16" s="12">
        <v>145</v>
      </c>
      <c r="Q16" s="12">
        <v>182</v>
      </c>
      <c r="R16" s="12">
        <v>88</v>
      </c>
      <c r="S16" s="12">
        <v>142</v>
      </c>
      <c r="T16" s="12">
        <v>92</v>
      </c>
      <c r="U16" s="12">
        <v>163</v>
      </c>
      <c r="V16" s="12">
        <v>63</v>
      </c>
      <c r="W16" s="12">
        <v>81</v>
      </c>
      <c r="X16" s="12">
        <v>497</v>
      </c>
      <c r="Y16" s="12">
        <v>148</v>
      </c>
      <c r="Z16" s="12">
        <v>60</v>
      </c>
      <c r="AA16" s="12">
        <v>61</v>
      </c>
      <c r="AB16" s="12">
        <v>48</v>
      </c>
      <c r="AC16" s="12">
        <v>243</v>
      </c>
      <c r="AD16" s="12">
        <v>132</v>
      </c>
      <c r="AE16" s="12">
        <v>339</v>
      </c>
      <c r="AF16" s="12">
        <v>309</v>
      </c>
    </row>
    <row r="17" spans="1:32" x14ac:dyDescent="0.35">
      <c r="A17" s="31"/>
      <c r="B17" s="13" t="s">
        <v>660</v>
      </c>
      <c r="C17" s="14">
        <v>0.18</v>
      </c>
      <c r="D17" s="14">
        <v>0.28999999999999998</v>
      </c>
      <c r="E17" s="14">
        <v>7.0000000000000007E-2</v>
      </c>
      <c r="F17" s="14">
        <v>0.12</v>
      </c>
      <c r="G17" s="14">
        <v>0.43</v>
      </c>
      <c r="H17" s="14">
        <v>0.23</v>
      </c>
      <c r="I17" s="14">
        <v>0.21</v>
      </c>
      <c r="J17" s="14">
        <v>0.15</v>
      </c>
      <c r="K17" s="14">
        <v>0.15</v>
      </c>
      <c r="L17" s="14">
        <v>0.3</v>
      </c>
      <c r="M17" s="14">
        <v>0.06</v>
      </c>
      <c r="N17" s="14">
        <v>0.13</v>
      </c>
      <c r="O17" s="14">
        <v>0.2</v>
      </c>
      <c r="P17" s="14">
        <v>0.14000000000000001</v>
      </c>
      <c r="Q17" s="14">
        <v>0.18</v>
      </c>
      <c r="R17" s="14">
        <v>0.18</v>
      </c>
      <c r="S17" s="14">
        <v>0.14000000000000001</v>
      </c>
      <c r="T17" s="14">
        <v>0.09</v>
      </c>
      <c r="U17" s="14">
        <v>0.32</v>
      </c>
      <c r="V17" s="14">
        <v>0.06</v>
      </c>
      <c r="W17" s="14">
        <v>0.16</v>
      </c>
      <c r="X17" s="14">
        <v>0.49</v>
      </c>
      <c r="Y17" s="14">
        <v>0.15</v>
      </c>
      <c r="Z17" s="14">
        <v>0.06</v>
      </c>
      <c r="AA17" s="14">
        <v>0.06</v>
      </c>
      <c r="AB17" s="14">
        <v>0.05</v>
      </c>
      <c r="AC17" s="14">
        <v>0.24</v>
      </c>
      <c r="AD17" s="14">
        <v>0.13</v>
      </c>
      <c r="AE17" s="14">
        <v>0.34</v>
      </c>
      <c r="AF17" s="14">
        <v>0.3</v>
      </c>
    </row>
    <row r="18" spans="1:32" x14ac:dyDescent="0.35">
      <c r="A18" s="31"/>
      <c r="B18" s="11" t="s">
        <v>661</v>
      </c>
      <c r="C18" s="12">
        <v>3315</v>
      </c>
      <c r="D18" s="12">
        <v>211</v>
      </c>
      <c r="E18" s="12">
        <v>29</v>
      </c>
      <c r="F18" s="12">
        <v>56</v>
      </c>
      <c r="G18" s="12">
        <v>391</v>
      </c>
      <c r="H18" s="12">
        <v>304</v>
      </c>
      <c r="I18" s="12">
        <v>361</v>
      </c>
      <c r="J18" s="12">
        <v>57</v>
      </c>
      <c r="K18" s="12">
        <v>65</v>
      </c>
      <c r="L18" s="12">
        <v>188</v>
      </c>
      <c r="M18" s="12">
        <v>50</v>
      </c>
      <c r="N18" s="12">
        <v>49</v>
      </c>
      <c r="O18" s="12">
        <v>100</v>
      </c>
      <c r="P18" s="12">
        <v>58</v>
      </c>
      <c r="Q18" s="12">
        <v>30</v>
      </c>
      <c r="R18" s="12">
        <v>22</v>
      </c>
      <c r="S18" s="12">
        <v>72</v>
      </c>
      <c r="T18" s="12">
        <v>24</v>
      </c>
      <c r="U18" s="12">
        <v>115</v>
      </c>
      <c r="V18" s="12">
        <v>28</v>
      </c>
      <c r="W18" s="12">
        <v>47</v>
      </c>
      <c r="X18" s="12">
        <v>293</v>
      </c>
      <c r="Y18" s="12">
        <v>131</v>
      </c>
      <c r="Z18" s="12">
        <v>52</v>
      </c>
      <c r="AA18" s="12">
        <v>17</v>
      </c>
      <c r="AB18" s="12">
        <v>17</v>
      </c>
      <c r="AC18" s="12">
        <v>113</v>
      </c>
      <c r="AD18" s="12">
        <v>74</v>
      </c>
      <c r="AE18" s="12">
        <v>448</v>
      </c>
      <c r="AF18" s="12">
        <v>594</v>
      </c>
    </row>
    <row r="19" spans="1:32" x14ac:dyDescent="0.35">
      <c r="A19" s="31"/>
      <c r="B19" s="13" t="s">
        <v>662</v>
      </c>
      <c r="C19" s="14">
        <v>0.13</v>
      </c>
      <c r="D19" s="14">
        <v>0.21</v>
      </c>
      <c r="E19" s="14">
        <v>0.03</v>
      </c>
      <c r="F19" s="14">
        <v>0.05</v>
      </c>
      <c r="G19" s="14">
        <v>0.38</v>
      </c>
      <c r="H19" s="14">
        <v>0.25</v>
      </c>
      <c r="I19" s="14">
        <v>0.24</v>
      </c>
      <c r="J19" s="14">
        <v>0.19</v>
      </c>
      <c r="K19" s="14">
        <v>0.06</v>
      </c>
      <c r="L19" s="14">
        <v>0.19</v>
      </c>
      <c r="M19" s="14">
        <v>0.05</v>
      </c>
      <c r="N19" s="14">
        <v>0.05</v>
      </c>
      <c r="O19" s="14">
        <v>0.1</v>
      </c>
      <c r="P19" s="14">
        <v>0.06</v>
      </c>
      <c r="Q19" s="14">
        <v>0.03</v>
      </c>
      <c r="R19" s="14">
        <v>0.04</v>
      </c>
      <c r="S19" s="14">
        <v>7.0000000000000007E-2</v>
      </c>
      <c r="T19" s="14">
        <v>0.02</v>
      </c>
      <c r="U19" s="14">
        <v>0.23</v>
      </c>
      <c r="V19" s="14">
        <v>0.03</v>
      </c>
      <c r="W19" s="14">
        <v>0.09</v>
      </c>
      <c r="X19" s="14">
        <v>0.28999999999999998</v>
      </c>
      <c r="Y19" s="14">
        <v>0.13</v>
      </c>
      <c r="Z19" s="14">
        <v>0.05</v>
      </c>
      <c r="AA19" s="14">
        <v>0.02</v>
      </c>
      <c r="AB19" s="14">
        <v>0.02</v>
      </c>
      <c r="AC19" s="14">
        <v>0.11</v>
      </c>
      <c r="AD19" s="14">
        <v>7.0000000000000007E-2</v>
      </c>
      <c r="AE19" s="14">
        <v>0.44</v>
      </c>
      <c r="AF19" s="14">
        <v>0.57999999999999996</v>
      </c>
    </row>
    <row r="20" spans="1:32" ht="21.5" x14ac:dyDescent="0.35">
      <c r="A20" s="31"/>
      <c r="B20" s="11" t="s">
        <v>663</v>
      </c>
      <c r="C20" s="12">
        <v>1243</v>
      </c>
      <c r="D20" s="12">
        <v>50</v>
      </c>
      <c r="E20" s="12">
        <v>12</v>
      </c>
      <c r="F20" s="12">
        <v>17</v>
      </c>
      <c r="G20" s="12">
        <v>170</v>
      </c>
      <c r="H20" s="12">
        <v>55</v>
      </c>
      <c r="I20" s="12">
        <v>68</v>
      </c>
      <c r="J20" s="12">
        <v>13</v>
      </c>
      <c r="K20" s="12">
        <v>42</v>
      </c>
      <c r="L20" s="12">
        <v>38</v>
      </c>
      <c r="M20" s="12">
        <v>6</v>
      </c>
      <c r="N20" s="12">
        <v>14</v>
      </c>
      <c r="O20" s="12">
        <v>44</v>
      </c>
      <c r="P20" s="12">
        <v>30</v>
      </c>
      <c r="Q20" s="12">
        <v>30</v>
      </c>
      <c r="R20" s="12">
        <v>9</v>
      </c>
      <c r="S20" s="12">
        <v>18</v>
      </c>
      <c r="T20" s="12">
        <v>4</v>
      </c>
      <c r="U20" s="12">
        <v>20</v>
      </c>
      <c r="V20" s="12">
        <v>19</v>
      </c>
      <c r="W20" s="12">
        <v>33</v>
      </c>
      <c r="X20" s="12">
        <v>174</v>
      </c>
      <c r="Y20" s="12">
        <v>45</v>
      </c>
      <c r="Z20" s="12">
        <v>36</v>
      </c>
      <c r="AA20" s="12">
        <v>13</v>
      </c>
      <c r="AB20" s="12">
        <v>32</v>
      </c>
      <c r="AC20" s="12">
        <v>13</v>
      </c>
      <c r="AD20" s="12">
        <v>11</v>
      </c>
      <c r="AE20" s="12">
        <v>161</v>
      </c>
      <c r="AF20" s="12">
        <v>298</v>
      </c>
    </row>
    <row r="21" spans="1:32" x14ac:dyDescent="0.35">
      <c r="A21" s="31"/>
      <c r="B21" s="13" t="s">
        <v>664</v>
      </c>
      <c r="C21" s="14">
        <v>0.05</v>
      </c>
      <c r="D21" s="14">
        <v>0.05</v>
      </c>
      <c r="E21" s="14">
        <v>0.01</v>
      </c>
      <c r="F21" s="14">
        <v>0.02</v>
      </c>
      <c r="G21" s="14">
        <v>0.17</v>
      </c>
      <c r="H21" s="14">
        <v>0.04</v>
      </c>
      <c r="I21" s="14">
        <v>0.04</v>
      </c>
      <c r="J21" s="14">
        <v>0.04</v>
      </c>
      <c r="K21" s="14">
        <v>0.04</v>
      </c>
      <c r="L21" s="14">
        <v>0.04</v>
      </c>
      <c r="M21" s="14">
        <v>0.01</v>
      </c>
      <c r="N21" s="14">
        <v>0.01</v>
      </c>
      <c r="O21" s="14">
        <v>0.04</v>
      </c>
      <c r="P21" s="14">
        <v>0.03</v>
      </c>
      <c r="Q21" s="14">
        <v>0.03</v>
      </c>
      <c r="R21" s="14">
        <v>0.02</v>
      </c>
      <c r="S21" s="14">
        <v>0.02</v>
      </c>
      <c r="T21" s="15" t="s">
        <v>333</v>
      </c>
      <c r="U21" s="14">
        <v>0.04</v>
      </c>
      <c r="V21" s="14">
        <v>0.02</v>
      </c>
      <c r="W21" s="14">
        <v>7.0000000000000007E-2</v>
      </c>
      <c r="X21" s="14">
        <v>0.17</v>
      </c>
      <c r="Y21" s="14">
        <v>0.04</v>
      </c>
      <c r="Z21" s="14">
        <v>0.04</v>
      </c>
      <c r="AA21" s="14">
        <v>0.01</v>
      </c>
      <c r="AB21" s="14">
        <v>0.03</v>
      </c>
      <c r="AC21" s="14">
        <v>0.01</v>
      </c>
      <c r="AD21" s="14">
        <v>0.01</v>
      </c>
      <c r="AE21" s="14">
        <v>0.16</v>
      </c>
      <c r="AF21" s="14">
        <v>0.28999999999999998</v>
      </c>
    </row>
    <row r="22" spans="1:32" ht="21.5" x14ac:dyDescent="0.35">
      <c r="A22" s="31"/>
      <c r="B22" s="11" t="s">
        <v>665</v>
      </c>
      <c r="C22" s="12">
        <v>4756</v>
      </c>
      <c r="D22" s="12">
        <v>203</v>
      </c>
      <c r="E22" s="12">
        <v>8</v>
      </c>
      <c r="F22" s="12">
        <v>228</v>
      </c>
      <c r="G22" s="12">
        <v>322</v>
      </c>
      <c r="H22" s="12">
        <v>397</v>
      </c>
      <c r="I22" s="12">
        <v>483</v>
      </c>
      <c r="J22" s="12">
        <v>86</v>
      </c>
      <c r="K22" s="12">
        <v>247</v>
      </c>
      <c r="L22" s="12">
        <v>179</v>
      </c>
      <c r="M22" s="12">
        <v>10</v>
      </c>
      <c r="N22" s="12">
        <v>114</v>
      </c>
      <c r="O22" s="12">
        <v>158</v>
      </c>
      <c r="P22" s="12">
        <v>81</v>
      </c>
      <c r="Q22" s="12">
        <v>80</v>
      </c>
      <c r="R22" s="12">
        <v>7</v>
      </c>
      <c r="S22" s="12">
        <v>227</v>
      </c>
      <c r="T22" s="12">
        <v>56</v>
      </c>
      <c r="U22" s="12">
        <v>209</v>
      </c>
      <c r="V22" s="12">
        <v>106</v>
      </c>
      <c r="W22" s="12">
        <v>80</v>
      </c>
      <c r="X22" s="12">
        <v>368</v>
      </c>
      <c r="Y22" s="12">
        <v>350</v>
      </c>
      <c r="Z22" s="12">
        <v>110</v>
      </c>
      <c r="AA22" s="12">
        <v>66</v>
      </c>
      <c r="AB22" s="12">
        <v>44</v>
      </c>
      <c r="AC22" s="12">
        <v>196</v>
      </c>
      <c r="AD22" s="12">
        <v>181</v>
      </c>
      <c r="AE22" s="12">
        <v>296</v>
      </c>
      <c r="AF22" s="12">
        <v>511</v>
      </c>
    </row>
    <row r="23" spans="1:32" x14ac:dyDescent="0.35">
      <c r="A23" s="31"/>
      <c r="B23" s="13" t="s">
        <v>666</v>
      </c>
      <c r="C23" s="14">
        <v>0.18</v>
      </c>
      <c r="D23" s="14">
        <v>0.2</v>
      </c>
      <c r="E23" s="14">
        <v>0.01</v>
      </c>
      <c r="F23" s="14">
        <v>0.22</v>
      </c>
      <c r="G23" s="14">
        <v>0.32</v>
      </c>
      <c r="H23" s="14">
        <v>0.32</v>
      </c>
      <c r="I23" s="14">
        <v>0.32</v>
      </c>
      <c r="J23" s="14">
        <v>0.28999999999999998</v>
      </c>
      <c r="K23" s="14">
        <v>0.24</v>
      </c>
      <c r="L23" s="14">
        <v>0.18</v>
      </c>
      <c r="M23" s="14">
        <v>0.01</v>
      </c>
      <c r="N23" s="14">
        <v>0.11</v>
      </c>
      <c r="O23" s="14">
        <v>0.16</v>
      </c>
      <c r="P23" s="14">
        <v>0.08</v>
      </c>
      <c r="Q23" s="14">
        <v>0.08</v>
      </c>
      <c r="R23" s="14">
        <v>0.01</v>
      </c>
      <c r="S23" s="14">
        <v>0.22</v>
      </c>
      <c r="T23" s="14">
        <v>0.05</v>
      </c>
      <c r="U23" s="14">
        <v>0.41</v>
      </c>
      <c r="V23" s="14">
        <v>0.1</v>
      </c>
      <c r="W23" s="14">
        <v>0.16</v>
      </c>
      <c r="X23" s="14">
        <v>0.36</v>
      </c>
      <c r="Y23" s="14">
        <v>0.35</v>
      </c>
      <c r="Z23" s="14">
        <v>0.11</v>
      </c>
      <c r="AA23" s="14">
        <v>0.06</v>
      </c>
      <c r="AB23" s="14">
        <v>0.04</v>
      </c>
      <c r="AC23" s="14">
        <v>0.19</v>
      </c>
      <c r="AD23" s="14">
        <v>0.18</v>
      </c>
      <c r="AE23" s="14">
        <v>0.28999999999999998</v>
      </c>
      <c r="AF23" s="14">
        <v>0.5</v>
      </c>
    </row>
    <row r="24" spans="1:32" ht="21.5" x14ac:dyDescent="0.35">
      <c r="A24" s="31"/>
      <c r="B24" s="11" t="s">
        <v>667</v>
      </c>
      <c r="C24" s="12">
        <v>3210</v>
      </c>
      <c r="D24" s="12">
        <v>120</v>
      </c>
      <c r="E24" s="12">
        <v>14</v>
      </c>
      <c r="F24" s="12">
        <v>172</v>
      </c>
      <c r="G24" s="12">
        <v>83</v>
      </c>
      <c r="H24" s="12">
        <v>279</v>
      </c>
      <c r="I24" s="12">
        <v>350</v>
      </c>
      <c r="J24" s="12">
        <v>70</v>
      </c>
      <c r="K24" s="12">
        <v>195</v>
      </c>
      <c r="L24" s="12">
        <v>170</v>
      </c>
      <c r="M24" s="12">
        <v>34</v>
      </c>
      <c r="N24" s="12">
        <v>57</v>
      </c>
      <c r="O24" s="12">
        <v>125</v>
      </c>
      <c r="P24" s="12">
        <v>122</v>
      </c>
      <c r="Q24" s="12">
        <v>54</v>
      </c>
      <c r="R24" s="12">
        <v>17</v>
      </c>
      <c r="S24" s="12">
        <v>157</v>
      </c>
      <c r="T24" s="12">
        <v>53</v>
      </c>
      <c r="U24" s="12">
        <v>92</v>
      </c>
      <c r="V24" s="12">
        <v>87</v>
      </c>
      <c r="W24" s="12">
        <v>41</v>
      </c>
      <c r="X24" s="12">
        <v>172</v>
      </c>
      <c r="Y24" s="12">
        <v>299</v>
      </c>
      <c r="Z24" s="12">
        <v>41</v>
      </c>
      <c r="AA24" s="12">
        <v>111</v>
      </c>
      <c r="AB24" s="12">
        <v>51</v>
      </c>
      <c r="AC24" s="12">
        <v>75</v>
      </c>
      <c r="AD24" s="12">
        <v>182</v>
      </c>
      <c r="AE24" s="12">
        <v>276</v>
      </c>
      <c r="AF24" s="12">
        <v>193</v>
      </c>
    </row>
    <row r="25" spans="1:32" x14ac:dyDescent="0.35">
      <c r="A25" s="31"/>
      <c r="B25" s="13" t="s">
        <v>668</v>
      </c>
      <c r="C25" s="14">
        <v>0.12</v>
      </c>
      <c r="D25" s="14">
        <v>0.12</v>
      </c>
      <c r="E25" s="14">
        <v>0.01</v>
      </c>
      <c r="F25" s="14">
        <v>0.17</v>
      </c>
      <c r="G25" s="14">
        <v>0.08</v>
      </c>
      <c r="H25" s="14">
        <v>0.23</v>
      </c>
      <c r="I25" s="14">
        <v>0.23</v>
      </c>
      <c r="J25" s="14">
        <v>0.24</v>
      </c>
      <c r="K25" s="14">
        <v>0.19</v>
      </c>
      <c r="L25" s="14">
        <v>0.17</v>
      </c>
      <c r="M25" s="14">
        <v>0.03</v>
      </c>
      <c r="N25" s="14">
        <v>0.06</v>
      </c>
      <c r="O25" s="14">
        <v>0.12</v>
      </c>
      <c r="P25" s="14">
        <v>0.12</v>
      </c>
      <c r="Q25" s="14">
        <v>0.05</v>
      </c>
      <c r="R25" s="14">
        <v>0.03</v>
      </c>
      <c r="S25" s="14">
        <v>0.15</v>
      </c>
      <c r="T25" s="14">
        <v>0.05</v>
      </c>
      <c r="U25" s="14">
        <v>0.18</v>
      </c>
      <c r="V25" s="14">
        <v>0.09</v>
      </c>
      <c r="W25" s="14">
        <v>0.08</v>
      </c>
      <c r="X25" s="14">
        <v>0.17</v>
      </c>
      <c r="Y25" s="14">
        <v>0.3</v>
      </c>
      <c r="Z25" s="14">
        <v>0.04</v>
      </c>
      <c r="AA25" s="14">
        <v>0.11</v>
      </c>
      <c r="AB25" s="14">
        <v>0.05</v>
      </c>
      <c r="AC25" s="14">
        <v>7.0000000000000007E-2</v>
      </c>
      <c r="AD25" s="14">
        <v>0.18</v>
      </c>
      <c r="AE25" s="14">
        <v>0.27</v>
      </c>
      <c r="AF25" s="14">
        <v>0.19</v>
      </c>
    </row>
    <row r="26" spans="1:32" x14ac:dyDescent="0.35">
      <c r="A26" s="31"/>
      <c r="B26" s="11" t="s">
        <v>669</v>
      </c>
      <c r="C26" s="12">
        <v>3861</v>
      </c>
      <c r="D26" s="12">
        <v>320</v>
      </c>
      <c r="E26" s="12">
        <v>135</v>
      </c>
      <c r="F26" s="12">
        <v>124</v>
      </c>
      <c r="G26" s="12">
        <v>209</v>
      </c>
      <c r="H26" s="12">
        <v>109</v>
      </c>
      <c r="I26" s="12">
        <v>155</v>
      </c>
      <c r="J26" s="12">
        <v>47</v>
      </c>
      <c r="K26" s="12">
        <v>193</v>
      </c>
      <c r="L26" s="12">
        <v>184</v>
      </c>
      <c r="M26" s="12">
        <v>57</v>
      </c>
      <c r="N26" s="12">
        <v>106</v>
      </c>
      <c r="O26" s="12">
        <v>215</v>
      </c>
      <c r="P26" s="12">
        <v>137</v>
      </c>
      <c r="Q26" s="12">
        <v>133</v>
      </c>
      <c r="R26" s="12">
        <v>32</v>
      </c>
      <c r="S26" s="12">
        <v>167</v>
      </c>
      <c r="T26" s="12">
        <v>76</v>
      </c>
      <c r="U26" s="12">
        <v>61</v>
      </c>
      <c r="V26" s="12">
        <v>121</v>
      </c>
      <c r="W26" s="12">
        <v>61</v>
      </c>
      <c r="X26" s="12">
        <v>340</v>
      </c>
      <c r="Y26" s="12">
        <v>106</v>
      </c>
      <c r="Z26" s="12">
        <v>97</v>
      </c>
      <c r="AA26" s="12">
        <v>31</v>
      </c>
      <c r="AB26" s="12">
        <v>60</v>
      </c>
      <c r="AC26" s="12">
        <v>66</v>
      </c>
      <c r="AD26" s="12">
        <v>97</v>
      </c>
      <c r="AE26" s="12">
        <v>531</v>
      </c>
      <c r="AF26" s="12">
        <v>323</v>
      </c>
    </row>
    <row r="27" spans="1:32" x14ac:dyDescent="0.35">
      <c r="A27" s="31"/>
      <c r="B27" s="13" t="s">
        <v>670</v>
      </c>
      <c r="C27" s="14">
        <v>0.15</v>
      </c>
      <c r="D27" s="14">
        <v>0.31</v>
      </c>
      <c r="E27" s="14">
        <v>0.13</v>
      </c>
      <c r="F27" s="14">
        <v>0.12</v>
      </c>
      <c r="G27" s="14">
        <v>0.21</v>
      </c>
      <c r="H27" s="14">
        <v>0.09</v>
      </c>
      <c r="I27" s="14">
        <v>0.1</v>
      </c>
      <c r="J27" s="14">
        <v>0.16</v>
      </c>
      <c r="K27" s="14">
        <v>0.19</v>
      </c>
      <c r="L27" s="14">
        <v>0.18</v>
      </c>
      <c r="M27" s="14">
        <v>0.06</v>
      </c>
      <c r="N27" s="14">
        <v>0.11</v>
      </c>
      <c r="O27" s="14">
        <v>0.21</v>
      </c>
      <c r="P27" s="14">
        <v>0.14000000000000001</v>
      </c>
      <c r="Q27" s="14">
        <v>0.13</v>
      </c>
      <c r="R27" s="14">
        <v>0.06</v>
      </c>
      <c r="S27" s="14">
        <v>0.16</v>
      </c>
      <c r="T27" s="14">
        <v>7.0000000000000007E-2</v>
      </c>
      <c r="U27" s="14">
        <v>0.12</v>
      </c>
      <c r="V27" s="14">
        <v>0.12</v>
      </c>
      <c r="W27" s="14">
        <v>0.12</v>
      </c>
      <c r="X27" s="14">
        <v>0.34</v>
      </c>
      <c r="Y27" s="14">
        <v>0.11</v>
      </c>
      <c r="Z27" s="14">
        <v>0.1</v>
      </c>
      <c r="AA27" s="14">
        <v>0.03</v>
      </c>
      <c r="AB27" s="14">
        <v>0.06</v>
      </c>
      <c r="AC27" s="14">
        <v>0.06</v>
      </c>
      <c r="AD27" s="14">
        <v>0.1</v>
      </c>
      <c r="AE27" s="14">
        <v>0.53</v>
      </c>
      <c r="AF27" s="14">
        <v>0.32</v>
      </c>
    </row>
    <row r="28" spans="1:32" x14ac:dyDescent="0.35">
      <c r="A28" s="31"/>
      <c r="B28" s="11" t="s">
        <v>407</v>
      </c>
      <c r="C28" s="12">
        <v>72</v>
      </c>
      <c r="D28" s="12">
        <v>4</v>
      </c>
      <c r="E28" s="12">
        <v>7</v>
      </c>
      <c r="F28" s="12">
        <v>3</v>
      </c>
      <c r="G28" s="12">
        <v>17</v>
      </c>
      <c r="H28" s="12">
        <v>2</v>
      </c>
      <c r="I28" s="12">
        <v>4</v>
      </c>
      <c r="J28" s="12">
        <v>2</v>
      </c>
      <c r="K28" s="12">
        <v>13</v>
      </c>
      <c r="L28" s="12">
        <v>3</v>
      </c>
      <c r="M28" s="12">
        <v>1</v>
      </c>
      <c r="N28" s="12">
        <v>3</v>
      </c>
      <c r="O28" s="12">
        <v>3</v>
      </c>
      <c r="P28" s="12">
        <v>2</v>
      </c>
      <c r="Q28" s="12">
        <v>1</v>
      </c>
      <c r="R28" s="12">
        <v>2</v>
      </c>
      <c r="S28" s="12">
        <v>2</v>
      </c>
      <c r="T28" s="12">
        <v>13</v>
      </c>
      <c r="U28" s="12">
        <v>1</v>
      </c>
      <c r="V28" s="12">
        <v>1</v>
      </c>
      <c r="W28" s="12">
        <v>2</v>
      </c>
      <c r="X28" s="12">
        <v>5</v>
      </c>
      <c r="Y28" s="12">
        <v>9</v>
      </c>
      <c r="Z28" s="12">
        <v>0</v>
      </c>
      <c r="AA28" s="12">
        <v>0</v>
      </c>
      <c r="AB28" s="12">
        <v>4</v>
      </c>
      <c r="AC28" s="12">
        <v>2</v>
      </c>
      <c r="AD28" s="12">
        <v>0</v>
      </c>
      <c r="AE28" s="12">
        <v>5</v>
      </c>
      <c r="AF28" s="12">
        <v>1</v>
      </c>
    </row>
    <row r="29" spans="1:32" x14ac:dyDescent="0.35">
      <c r="A29" s="31"/>
      <c r="B29" s="13" t="s">
        <v>408</v>
      </c>
      <c r="C29" s="15" t="s">
        <v>333</v>
      </c>
      <c r="D29" s="15" t="s">
        <v>333</v>
      </c>
      <c r="E29" s="14">
        <v>0.01</v>
      </c>
      <c r="F29" s="15" t="s">
        <v>333</v>
      </c>
      <c r="G29" s="14">
        <v>0.02</v>
      </c>
      <c r="H29" s="15" t="s">
        <v>333</v>
      </c>
      <c r="I29" s="15" t="s">
        <v>333</v>
      </c>
      <c r="J29" s="14">
        <v>0.01</v>
      </c>
      <c r="K29" s="14">
        <v>0.01</v>
      </c>
      <c r="L29" s="15" t="s">
        <v>333</v>
      </c>
      <c r="M29" s="15" t="s">
        <v>333</v>
      </c>
      <c r="N29" s="15" t="s">
        <v>333</v>
      </c>
      <c r="O29" s="15" t="s">
        <v>333</v>
      </c>
      <c r="P29" s="15" t="s">
        <v>333</v>
      </c>
      <c r="Q29" s="15" t="s">
        <v>333</v>
      </c>
      <c r="R29" s="15" t="s">
        <v>333</v>
      </c>
      <c r="S29" s="15" t="s">
        <v>333</v>
      </c>
      <c r="T29" s="14">
        <v>0.01</v>
      </c>
      <c r="U29" s="15" t="s">
        <v>333</v>
      </c>
      <c r="V29" s="15" t="s">
        <v>333</v>
      </c>
      <c r="W29" s="15" t="s">
        <v>333</v>
      </c>
      <c r="X29" s="15" t="s">
        <v>333</v>
      </c>
      <c r="Y29" s="14">
        <v>0.01</v>
      </c>
      <c r="Z29" s="15" t="s">
        <v>333</v>
      </c>
      <c r="AA29" s="15" t="s">
        <v>333</v>
      </c>
      <c r="AB29" s="15" t="s">
        <v>333</v>
      </c>
      <c r="AC29" s="15" t="s">
        <v>333</v>
      </c>
      <c r="AD29" s="15" t="s">
        <v>333</v>
      </c>
      <c r="AE29" s="15" t="s">
        <v>333</v>
      </c>
      <c r="AF29" s="15" t="s">
        <v>333</v>
      </c>
    </row>
    <row r="30" spans="1:32" ht="101.5" x14ac:dyDescent="0.35">
      <c r="A30" s="31"/>
      <c r="B30" s="11" t="s">
        <v>671</v>
      </c>
      <c r="C30" s="12">
        <v>12482</v>
      </c>
      <c r="D30" s="12">
        <v>251</v>
      </c>
      <c r="E30" s="12">
        <v>741</v>
      </c>
      <c r="F30" s="12">
        <v>443</v>
      </c>
      <c r="G30" s="12">
        <v>180</v>
      </c>
      <c r="H30" s="12">
        <v>405</v>
      </c>
      <c r="I30" s="12">
        <v>505</v>
      </c>
      <c r="J30" s="12">
        <v>101</v>
      </c>
      <c r="K30" s="12">
        <v>403</v>
      </c>
      <c r="L30" s="12">
        <v>354</v>
      </c>
      <c r="M30" s="12">
        <v>817</v>
      </c>
      <c r="N30" s="12">
        <v>593</v>
      </c>
      <c r="O30" s="12">
        <v>405</v>
      </c>
      <c r="P30" s="12">
        <v>524</v>
      </c>
      <c r="Q30" s="12">
        <v>611</v>
      </c>
      <c r="R30" s="12">
        <v>306</v>
      </c>
      <c r="S30" s="12">
        <v>475</v>
      </c>
      <c r="T30" s="12">
        <v>711</v>
      </c>
      <c r="U30" s="12">
        <v>115</v>
      </c>
      <c r="V30" s="12">
        <v>680</v>
      </c>
      <c r="W30" s="12">
        <v>237</v>
      </c>
      <c r="X30" s="12">
        <v>114</v>
      </c>
      <c r="Y30" s="12">
        <v>379</v>
      </c>
      <c r="Z30" s="12">
        <v>623</v>
      </c>
      <c r="AA30" s="12">
        <v>761</v>
      </c>
      <c r="AB30" s="12">
        <v>814</v>
      </c>
      <c r="AC30" s="12">
        <v>527</v>
      </c>
      <c r="AD30" s="12">
        <v>509</v>
      </c>
      <c r="AE30" s="12">
        <v>145</v>
      </c>
      <c r="AF30" s="12">
        <v>111</v>
      </c>
    </row>
    <row r="31" spans="1:32" ht="61.5" x14ac:dyDescent="0.35">
      <c r="A31" s="31"/>
      <c r="B31" s="13" t="s">
        <v>672</v>
      </c>
      <c r="C31" s="14">
        <v>0.47</v>
      </c>
      <c r="D31" s="14">
        <v>0.25</v>
      </c>
      <c r="E31" s="14">
        <v>0.71</v>
      </c>
      <c r="F31" s="14">
        <v>0.44</v>
      </c>
      <c r="G31" s="14">
        <v>0.18</v>
      </c>
      <c r="H31" s="14">
        <v>0.33</v>
      </c>
      <c r="I31" s="14">
        <v>0.33</v>
      </c>
      <c r="J31" s="14">
        <v>0.34</v>
      </c>
      <c r="K31" s="14">
        <v>0.4</v>
      </c>
      <c r="L31" s="14">
        <v>0.35</v>
      </c>
      <c r="M31" s="14">
        <v>0.81</v>
      </c>
      <c r="N31" s="14">
        <v>0.59</v>
      </c>
      <c r="O31" s="14">
        <v>0.41</v>
      </c>
      <c r="P31" s="14">
        <v>0.52</v>
      </c>
      <c r="Q31" s="14">
        <v>0.59</v>
      </c>
      <c r="R31" s="14">
        <v>0.61</v>
      </c>
      <c r="S31" s="14">
        <v>0.47</v>
      </c>
      <c r="T31" s="14">
        <v>0.70000000000000007</v>
      </c>
      <c r="U31" s="14">
        <v>0.23</v>
      </c>
      <c r="V31" s="14">
        <v>0.67</v>
      </c>
      <c r="W31" s="14">
        <v>0.47</v>
      </c>
      <c r="X31" s="14">
        <v>0.11</v>
      </c>
      <c r="Y31" s="14">
        <v>0.38</v>
      </c>
      <c r="Z31" s="14">
        <v>0.61</v>
      </c>
      <c r="AA31" s="14">
        <v>0.74</v>
      </c>
      <c r="AB31" s="14">
        <v>0.77</v>
      </c>
      <c r="AC31" s="14">
        <v>0.52</v>
      </c>
      <c r="AD31" s="14">
        <v>0.51</v>
      </c>
      <c r="AE31" s="14">
        <v>0.14000000000000001</v>
      </c>
      <c r="AF31" s="14">
        <v>0.11</v>
      </c>
    </row>
    <row r="32" spans="1:32" x14ac:dyDescent="0.35">
      <c r="A32" s="31"/>
      <c r="B32" s="11" t="s">
        <v>344</v>
      </c>
      <c r="C32" s="12">
        <v>465</v>
      </c>
      <c r="D32" s="12">
        <v>12</v>
      </c>
      <c r="E32" s="12">
        <v>20</v>
      </c>
      <c r="F32" s="12">
        <v>31</v>
      </c>
      <c r="G32" s="12">
        <v>15</v>
      </c>
      <c r="H32" s="12">
        <v>14</v>
      </c>
      <c r="I32" s="12">
        <v>18</v>
      </c>
      <c r="J32" s="12">
        <v>4</v>
      </c>
      <c r="K32" s="12">
        <v>37</v>
      </c>
      <c r="L32" s="12">
        <v>29</v>
      </c>
      <c r="M32" s="12">
        <v>10</v>
      </c>
      <c r="N32" s="12">
        <v>22</v>
      </c>
      <c r="O32" s="12">
        <v>22</v>
      </c>
      <c r="P32" s="12">
        <v>23</v>
      </c>
      <c r="Q32" s="12">
        <v>8</v>
      </c>
      <c r="R32" s="12">
        <v>22</v>
      </c>
      <c r="S32" s="12">
        <v>19</v>
      </c>
      <c r="T32" s="12">
        <v>28</v>
      </c>
      <c r="U32" s="12">
        <v>3</v>
      </c>
      <c r="V32" s="12">
        <v>9</v>
      </c>
      <c r="W32" s="12">
        <v>17</v>
      </c>
      <c r="X32" s="12">
        <v>12</v>
      </c>
      <c r="Y32" s="12">
        <v>20</v>
      </c>
      <c r="Z32" s="12">
        <v>32</v>
      </c>
      <c r="AA32" s="12">
        <v>21</v>
      </c>
      <c r="AB32" s="12">
        <v>29</v>
      </c>
      <c r="AC32" s="12">
        <v>8</v>
      </c>
      <c r="AD32" s="12">
        <v>8</v>
      </c>
      <c r="AE32" s="12">
        <v>15</v>
      </c>
      <c r="AF32" s="12">
        <v>12</v>
      </c>
    </row>
    <row r="33" spans="1:32" x14ac:dyDescent="0.35">
      <c r="A33" s="31"/>
      <c r="B33" s="13" t="s">
        <v>357</v>
      </c>
      <c r="C33" s="14">
        <v>0.02</v>
      </c>
      <c r="D33" s="14">
        <v>0.01</v>
      </c>
      <c r="E33" s="14">
        <v>0.02</v>
      </c>
      <c r="F33" s="14">
        <v>0.03</v>
      </c>
      <c r="G33" s="14">
        <v>0.02</v>
      </c>
      <c r="H33" s="14">
        <v>0.01</v>
      </c>
      <c r="I33" s="14">
        <v>0.01</v>
      </c>
      <c r="J33" s="14">
        <v>0.01</v>
      </c>
      <c r="K33" s="14">
        <v>0.04</v>
      </c>
      <c r="L33" s="14">
        <v>0.03</v>
      </c>
      <c r="M33" s="14">
        <v>0.01</v>
      </c>
      <c r="N33" s="14">
        <v>0.02</v>
      </c>
      <c r="O33" s="14">
        <v>0.02</v>
      </c>
      <c r="P33" s="14">
        <v>0.02</v>
      </c>
      <c r="Q33" s="14">
        <v>0.01</v>
      </c>
      <c r="R33" s="14">
        <v>0.04</v>
      </c>
      <c r="S33" s="14">
        <v>0.02</v>
      </c>
      <c r="T33" s="14">
        <v>0.03</v>
      </c>
      <c r="U33" s="14">
        <v>0.01</v>
      </c>
      <c r="V33" s="14">
        <v>0.01</v>
      </c>
      <c r="W33" s="14">
        <v>0.03</v>
      </c>
      <c r="X33" s="14">
        <v>0.01</v>
      </c>
      <c r="Y33" s="14">
        <v>0.02</v>
      </c>
      <c r="Z33" s="14">
        <v>0.03</v>
      </c>
      <c r="AA33" s="14">
        <v>0.02</v>
      </c>
      <c r="AB33" s="14">
        <v>0.03</v>
      </c>
      <c r="AC33" s="14">
        <v>0.01</v>
      </c>
      <c r="AD33" s="14">
        <v>0.01</v>
      </c>
      <c r="AE33" s="14">
        <v>0.01</v>
      </c>
      <c r="AF33" s="14">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3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87</v>
      </c>
      <c r="C3" s="30"/>
      <c r="D3" s="30"/>
      <c r="E3" s="30"/>
      <c r="F3" s="30"/>
      <c r="H3" s="30" t="s">
        <v>88</v>
      </c>
      <c r="I3" s="30"/>
      <c r="J3" s="30"/>
      <c r="K3" s="30"/>
      <c r="L3" s="30"/>
    </row>
    <row r="4" spans="1:32" ht="27" customHeight="1" x14ac:dyDescent="0.35">
      <c r="B4" s="30"/>
      <c r="C4" s="30"/>
      <c r="D4" s="30"/>
      <c r="E4" s="30"/>
      <c r="F4" s="30"/>
      <c r="H4" s="30"/>
      <c r="I4" s="30"/>
      <c r="J4" s="30"/>
      <c r="K4" s="30"/>
      <c r="L4" s="30"/>
    </row>
    <row r="5" spans="1:32" ht="12" customHeight="1" x14ac:dyDescent="0.35">
      <c r="B5" s="30" t="s">
        <v>673</v>
      </c>
      <c r="C5" s="30"/>
      <c r="D5" s="30"/>
      <c r="E5" s="30"/>
      <c r="F5" s="30"/>
      <c r="H5" s="30" t="s">
        <v>674</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13463</v>
      </c>
      <c r="D10" s="10">
        <v>762</v>
      </c>
      <c r="E10" s="10">
        <v>278</v>
      </c>
      <c r="F10" s="10">
        <v>544</v>
      </c>
      <c r="G10" s="10">
        <v>822</v>
      </c>
      <c r="H10" s="10">
        <v>813</v>
      </c>
      <c r="I10" s="10">
        <v>1006</v>
      </c>
      <c r="J10" s="10">
        <v>193</v>
      </c>
      <c r="K10" s="10">
        <v>570</v>
      </c>
      <c r="L10" s="10">
        <v>621</v>
      </c>
      <c r="M10" s="10">
        <v>178</v>
      </c>
      <c r="N10" s="10">
        <v>385</v>
      </c>
      <c r="O10" s="10">
        <v>573</v>
      </c>
      <c r="P10" s="10">
        <v>456</v>
      </c>
      <c r="Q10" s="10">
        <v>416</v>
      </c>
      <c r="R10" s="10">
        <v>174</v>
      </c>
      <c r="S10" s="10">
        <v>527</v>
      </c>
      <c r="T10" s="10">
        <v>278</v>
      </c>
      <c r="U10" s="10">
        <v>391</v>
      </c>
      <c r="V10" s="10">
        <v>325</v>
      </c>
      <c r="W10" s="10">
        <v>247</v>
      </c>
      <c r="X10" s="10">
        <v>885</v>
      </c>
      <c r="Y10" s="10">
        <v>604</v>
      </c>
      <c r="Z10" s="10">
        <v>364</v>
      </c>
      <c r="AA10" s="10">
        <v>249</v>
      </c>
      <c r="AB10" s="10">
        <v>213</v>
      </c>
      <c r="AC10" s="10">
        <v>478</v>
      </c>
      <c r="AD10" s="10">
        <v>487</v>
      </c>
      <c r="AE10" s="10">
        <v>847</v>
      </c>
      <c r="AF10" s="10">
        <v>897</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675</v>
      </c>
      <c r="C12" s="12">
        <v>668</v>
      </c>
      <c r="D12" s="12">
        <v>57</v>
      </c>
      <c r="E12" s="12">
        <v>9</v>
      </c>
      <c r="F12" s="12">
        <v>10</v>
      </c>
      <c r="G12" s="12">
        <v>56</v>
      </c>
      <c r="H12" s="12">
        <v>39</v>
      </c>
      <c r="I12" s="12">
        <v>46</v>
      </c>
      <c r="J12" s="12">
        <v>8</v>
      </c>
      <c r="K12" s="12">
        <v>27</v>
      </c>
      <c r="L12" s="12">
        <v>47</v>
      </c>
      <c r="M12" s="12">
        <v>4</v>
      </c>
      <c r="N12" s="12">
        <v>20</v>
      </c>
      <c r="O12" s="12">
        <v>25</v>
      </c>
      <c r="P12" s="12">
        <v>19</v>
      </c>
      <c r="Q12" s="12">
        <v>9</v>
      </c>
      <c r="R12" s="12">
        <v>14</v>
      </c>
      <c r="S12" s="12">
        <v>7</v>
      </c>
      <c r="T12" s="12">
        <v>15</v>
      </c>
      <c r="U12" s="12">
        <v>20</v>
      </c>
      <c r="V12" s="12">
        <v>5</v>
      </c>
      <c r="W12" s="12">
        <v>34</v>
      </c>
      <c r="X12" s="12">
        <v>93</v>
      </c>
      <c r="Y12" s="12">
        <v>12</v>
      </c>
      <c r="Z12" s="12">
        <v>4</v>
      </c>
      <c r="AA12" s="12">
        <v>18</v>
      </c>
      <c r="AB12" s="12">
        <v>7</v>
      </c>
      <c r="AC12" s="12">
        <v>23</v>
      </c>
      <c r="AD12" s="12">
        <v>8</v>
      </c>
      <c r="AE12" s="12">
        <v>56</v>
      </c>
      <c r="AF12" s="12">
        <v>130</v>
      </c>
    </row>
    <row r="13" spans="1:32" ht="21.5" x14ac:dyDescent="0.35">
      <c r="A13" s="31"/>
      <c r="B13" s="13" t="s">
        <v>676</v>
      </c>
      <c r="C13" s="14">
        <v>0.05</v>
      </c>
      <c r="D13" s="14">
        <v>7.0000000000000007E-2</v>
      </c>
      <c r="E13" s="14">
        <v>0.03</v>
      </c>
      <c r="F13" s="14">
        <v>0.02</v>
      </c>
      <c r="G13" s="14">
        <v>7.0000000000000007E-2</v>
      </c>
      <c r="H13" s="14">
        <v>0.05</v>
      </c>
      <c r="I13" s="14">
        <v>0.04</v>
      </c>
      <c r="J13" s="14">
        <v>0.04</v>
      </c>
      <c r="K13" s="14">
        <v>0.05</v>
      </c>
      <c r="L13" s="14">
        <v>7.0000000000000007E-2</v>
      </c>
      <c r="M13" s="14">
        <v>0.02</v>
      </c>
      <c r="N13" s="14">
        <v>0.05</v>
      </c>
      <c r="O13" s="14">
        <v>0.04</v>
      </c>
      <c r="P13" s="14">
        <v>0.04</v>
      </c>
      <c r="Q13" s="14">
        <v>0.02</v>
      </c>
      <c r="R13" s="14">
        <v>0.08</v>
      </c>
      <c r="S13" s="14">
        <v>0.01</v>
      </c>
      <c r="T13" s="14">
        <v>0.05</v>
      </c>
      <c r="U13" s="14">
        <v>0.05</v>
      </c>
      <c r="V13" s="14">
        <v>0.02</v>
      </c>
      <c r="W13" s="14">
        <v>0.14000000000000001</v>
      </c>
      <c r="X13" s="14">
        <v>0.11</v>
      </c>
      <c r="Y13" s="14">
        <v>0.02</v>
      </c>
      <c r="Z13" s="14">
        <v>0.01</v>
      </c>
      <c r="AA13" s="14">
        <v>7.0000000000000007E-2</v>
      </c>
      <c r="AB13" s="14">
        <v>0.03</v>
      </c>
      <c r="AC13" s="14">
        <v>0.05</v>
      </c>
      <c r="AD13" s="14">
        <v>0.02</v>
      </c>
      <c r="AE13" s="14">
        <v>0.06</v>
      </c>
      <c r="AF13" s="14">
        <v>0.14000000000000001</v>
      </c>
    </row>
    <row r="14" spans="1:32" ht="21.5" x14ac:dyDescent="0.35">
      <c r="A14" s="31"/>
      <c r="B14" s="11" t="s">
        <v>677</v>
      </c>
      <c r="C14" s="12">
        <v>1180</v>
      </c>
      <c r="D14" s="12">
        <v>63</v>
      </c>
      <c r="E14" s="12">
        <v>23</v>
      </c>
      <c r="F14" s="12">
        <v>26</v>
      </c>
      <c r="G14" s="12">
        <v>101</v>
      </c>
      <c r="H14" s="12">
        <v>78</v>
      </c>
      <c r="I14" s="12">
        <v>90</v>
      </c>
      <c r="J14" s="12">
        <v>12</v>
      </c>
      <c r="K14" s="12">
        <v>31</v>
      </c>
      <c r="L14" s="12">
        <v>103</v>
      </c>
      <c r="M14" s="12">
        <v>9</v>
      </c>
      <c r="N14" s="12">
        <v>13</v>
      </c>
      <c r="O14" s="12">
        <v>38</v>
      </c>
      <c r="P14" s="12">
        <v>28</v>
      </c>
      <c r="Q14" s="12">
        <v>45</v>
      </c>
      <c r="R14" s="12">
        <v>18</v>
      </c>
      <c r="S14" s="12">
        <v>26</v>
      </c>
      <c r="T14" s="12">
        <v>17</v>
      </c>
      <c r="U14" s="12">
        <v>41</v>
      </c>
      <c r="V14" s="12">
        <v>22</v>
      </c>
      <c r="W14" s="12">
        <v>31</v>
      </c>
      <c r="X14" s="12">
        <v>154</v>
      </c>
      <c r="Y14" s="12">
        <v>78</v>
      </c>
      <c r="Z14" s="12">
        <v>24</v>
      </c>
      <c r="AA14" s="12">
        <v>21</v>
      </c>
      <c r="AB14" s="12">
        <v>7</v>
      </c>
      <c r="AC14" s="12">
        <v>21</v>
      </c>
      <c r="AD14" s="12">
        <v>17</v>
      </c>
      <c r="AE14" s="12">
        <v>76</v>
      </c>
      <c r="AF14" s="12">
        <v>122</v>
      </c>
    </row>
    <row r="15" spans="1:32" x14ac:dyDescent="0.35">
      <c r="A15" s="31"/>
      <c r="B15" s="13" t="s">
        <v>678</v>
      </c>
      <c r="C15" s="14">
        <v>0.09</v>
      </c>
      <c r="D15" s="14">
        <v>0.08</v>
      </c>
      <c r="E15" s="14">
        <v>0.08</v>
      </c>
      <c r="F15" s="14">
        <v>0.05</v>
      </c>
      <c r="G15" s="14">
        <v>0.12</v>
      </c>
      <c r="H15" s="14">
        <v>0.1</v>
      </c>
      <c r="I15" s="14">
        <v>0.09</v>
      </c>
      <c r="J15" s="14">
        <v>0.06</v>
      </c>
      <c r="K15" s="14">
        <v>0.05</v>
      </c>
      <c r="L15" s="14">
        <v>0.17</v>
      </c>
      <c r="M15" s="14">
        <v>0.05</v>
      </c>
      <c r="N15" s="14">
        <v>0.03</v>
      </c>
      <c r="O15" s="14">
        <v>7.0000000000000007E-2</v>
      </c>
      <c r="P15" s="14">
        <v>0.06</v>
      </c>
      <c r="Q15" s="14">
        <v>0.11</v>
      </c>
      <c r="R15" s="14">
        <v>0.11</v>
      </c>
      <c r="S15" s="14">
        <v>0.05</v>
      </c>
      <c r="T15" s="14">
        <v>0.06</v>
      </c>
      <c r="U15" s="14">
        <v>0.11</v>
      </c>
      <c r="V15" s="14">
        <v>7.0000000000000007E-2</v>
      </c>
      <c r="W15" s="14">
        <v>0.12</v>
      </c>
      <c r="X15" s="14">
        <v>0.17</v>
      </c>
      <c r="Y15" s="14">
        <v>0.13</v>
      </c>
      <c r="Z15" s="14">
        <v>7.0000000000000007E-2</v>
      </c>
      <c r="AA15" s="14">
        <v>0.08</v>
      </c>
      <c r="AB15" s="14">
        <v>0.04</v>
      </c>
      <c r="AC15" s="14">
        <v>0.04</v>
      </c>
      <c r="AD15" s="14">
        <v>0.04</v>
      </c>
      <c r="AE15" s="14">
        <v>0.09</v>
      </c>
      <c r="AF15" s="14">
        <v>0.14000000000000001</v>
      </c>
    </row>
    <row r="16" spans="1:32" x14ac:dyDescent="0.35">
      <c r="A16" s="31"/>
      <c r="B16" s="11" t="s">
        <v>679</v>
      </c>
      <c r="C16" s="12">
        <v>1730</v>
      </c>
      <c r="D16" s="12">
        <v>88</v>
      </c>
      <c r="E16" s="12">
        <v>26</v>
      </c>
      <c r="F16" s="12">
        <v>42</v>
      </c>
      <c r="G16" s="12">
        <v>115</v>
      </c>
      <c r="H16" s="12">
        <v>112</v>
      </c>
      <c r="I16" s="12">
        <v>138</v>
      </c>
      <c r="J16" s="12">
        <v>27</v>
      </c>
      <c r="K16" s="12">
        <v>40</v>
      </c>
      <c r="L16" s="12">
        <v>98</v>
      </c>
      <c r="M16" s="12">
        <v>20</v>
      </c>
      <c r="N16" s="12">
        <v>18</v>
      </c>
      <c r="O16" s="12">
        <v>66</v>
      </c>
      <c r="P16" s="12">
        <v>73</v>
      </c>
      <c r="Q16" s="12">
        <v>63</v>
      </c>
      <c r="R16" s="12">
        <v>13</v>
      </c>
      <c r="S16" s="12">
        <v>28</v>
      </c>
      <c r="T16" s="12">
        <v>26</v>
      </c>
      <c r="U16" s="12">
        <v>33</v>
      </c>
      <c r="V16" s="12">
        <v>34</v>
      </c>
      <c r="W16" s="12">
        <v>30</v>
      </c>
      <c r="X16" s="12">
        <v>201</v>
      </c>
      <c r="Y16" s="12">
        <v>117</v>
      </c>
      <c r="Z16" s="12">
        <v>49</v>
      </c>
      <c r="AA16" s="12">
        <v>23</v>
      </c>
      <c r="AB16" s="12">
        <v>22</v>
      </c>
      <c r="AC16" s="12">
        <v>35</v>
      </c>
      <c r="AD16" s="12">
        <v>26</v>
      </c>
      <c r="AE16" s="12">
        <v>92</v>
      </c>
      <c r="AF16" s="12">
        <v>126</v>
      </c>
    </row>
    <row r="17" spans="1:32" x14ac:dyDescent="0.35">
      <c r="A17" s="31"/>
      <c r="B17" s="13" t="s">
        <v>680</v>
      </c>
      <c r="C17" s="14">
        <v>0.13</v>
      </c>
      <c r="D17" s="14">
        <v>0.12</v>
      </c>
      <c r="E17" s="14">
        <v>0.09</v>
      </c>
      <c r="F17" s="14">
        <v>0.08</v>
      </c>
      <c r="G17" s="14">
        <v>0.14000000000000001</v>
      </c>
      <c r="H17" s="14">
        <v>0.14000000000000001</v>
      </c>
      <c r="I17" s="14">
        <v>0.14000000000000001</v>
      </c>
      <c r="J17" s="14">
        <v>0.14000000000000001</v>
      </c>
      <c r="K17" s="14">
        <v>7.0000000000000007E-2</v>
      </c>
      <c r="L17" s="14">
        <v>0.16</v>
      </c>
      <c r="M17" s="14">
        <v>0.11</v>
      </c>
      <c r="N17" s="14">
        <v>0.05</v>
      </c>
      <c r="O17" s="14">
        <v>0.12</v>
      </c>
      <c r="P17" s="14">
        <v>0.16</v>
      </c>
      <c r="Q17" s="14">
        <v>0.15</v>
      </c>
      <c r="R17" s="14">
        <v>0.08</v>
      </c>
      <c r="S17" s="14">
        <v>0.05</v>
      </c>
      <c r="T17" s="14">
        <v>0.09</v>
      </c>
      <c r="U17" s="14">
        <v>0.08</v>
      </c>
      <c r="V17" s="14">
        <v>0.1</v>
      </c>
      <c r="W17" s="14">
        <v>0.12</v>
      </c>
      <c r="X17" s="14">
        <v>0.23</v>
      </c>
      <c r="Y17" s="14">
        <v>0.19</v>
      </c>
      <c r="Z17" s="14">
        <v>0.13</v>
      </c>
      <c r="AA17" s="14">
        <v>0.09</v>
      </c>
      <c r="AB17" s="14">
        <v>0.1</v>
      </c>
      <c r="AC17" s="14">
        <v>7.0000000000000007E-2</v>
      </c>
      <c r="AD17" s="14">
        <v>0.05</v>
      </c>
      <c r="AE17" s="14">
        <v>0.11</v>
      </c>
      <c r="AF17" s="14">
        <v>0.14000000000000001</v>
      </c>
    </row>
    <row r="18" spans="1:32" x14ac:dyDescent="0.35">
      <c r="A18" s="31"/>
      <c r="B18" s="11" t="s">
        <v>681</v>
      </c>
      <c r="C18" s="12">
        <v>2143</v>
      </c>
      <c r="D18" s="12">
        <v>117</v>
      </c>
      <c r="E18" s="12">
        <v>34</v>
      </c>
      <c r="F18" s="12">
        <v>52</v>
      </c>
      <c r="G18" s="12">
        <v>172</v>
      </c>
      <c r="H18" s="12">
        <v>150</v>
      </c>
      <c r="I18" s="12">
        <v>183</v>
      </c>
      <c r="J18" s="12">
        <v>32</v>
      </c>
      <c r="K18" s="12">
        <v>94</v>
      </c>
      <c r="L18" s="12">
        <v>95</v>
      </c>
      <c r="M18" s="12">
        <v>22</v>
      </c>
      <c r="N18" s="12">
        <v>48</v>
      </c>
      <c r="O18" s="12">
        <v>93</v>
      </c>
      <c r="P18" s="12">
        <v>92</v>
      </c>
      <c r="Q18" s="12">
        <v>68</v>
      </c>
      <c r="R18" s="12">
        <v>33</v>
      </c>
      <c r="S18" s="12">
        <v>63</v>
      </c>
      <c r="T18" s="12">
        <v>28</v>
      </c>
      <c r="U18" s="12">
        <v>78</v>
      </c>
      <c r="V18" s="12">
        <v>24</v>
      </c>
      <c r="W18" s="12">
        <v>40</v>
      </c>
      <c r="X18" s="12">
        <v>142</v>
      </c>
      <c r="Y18" s="12">
        <v>104</v>
      </c>
      <c r="Z18" s="12">
        <v>43</v>
      </c>
      <c r="AA18" s="12">
        <v>24</v>
      </c>
      <c r="AB18" s="12">
        <v>15</v>
      </c>
      <c r="AC18" s="12">
        <v>80</v>
      </c>
      <c r="AD18" s="12">
        <v>108</v>
      </c>
      <c r="AE18" s="12">
        <v>168</v>
      </c>
      <c r="AF18" s="12">
        <v>176</v>
      </c>
    </row>
    <row r="19" spans="1:32" x14ac:dyDescent="0.35">
      <c r="A19" s="31"/>
      <c r="B19" s="13" t="s">
        <v>682</v>
      </c>
      <c r="C19" s="14">
        <v>0.16</v>
      </c>
      <c r="D19" s="14">
        <v>0.15</v>
      </c>
      <c r="E19" s="14">
        <v>0.12</v>
      </c>
      <c r="F19" s="14">
        <v>0.1</v>
      </c>
      <c r="G19" s="14">
        <v>0.21</v>
      </c>
      <c r="H19" s="14">
        <v>0.18</v>
      </c>
      <c r="I19" s="14">
        <v>0.18</v>
      </c>
      <c r="J19" s="14">
        <v>0.17</v>
      </c>
      <c r="K19" s="14">
        <v>0.16</v>
      </c>
      <c r="L19" s="14">
        <v>0.15</v>
      </c>
      <c r="M19" s="14">
        <v>0.12</v>
      </c>
      <c r="N19" s="14">
        <v>0.13</v>
      </c>
      <c r="O19" s="14">
        <v>0.16</v>
      </c>
      <c r="P19" s="14">
        <v>0.2</v>
      </c>
      <c r="Q19" s="14">
        <v>0.17</v>
      </c>
      <c r="R19" s="14">
        <v>0.19</v>
      </c>
      <c r="S19" s="14">
        <v>0.12</v>
      </c>
      <c r="T19" s="14">
        <v>0.1</v>
      </c>
      <c r="U19" s="14">
        <v>0.2</v>
      </c>
      <c r="V19" s="14">
        <v>7.0000000000000007E-2</v>
      </c>
      <c r="W19" s="14">
        <v>0.16</v>
      </c>
      <c r="X19" s="14">
        <v>0.16</v>
      </c>
      <c r="Y19" s="14">
        <v>0.17</v>
      </c>
      <c r="Z19" s="14">
        <v>0.12</v>
      </c>
      <c r="AA19" s="14">
        <v>0.09</v>
      </c>
      <c r="AB19" s="14">
        <v>7.0000000000000007E-2</v>
      </c>
      <c r="AC19" s="14">
        <v>0.17</v>
      </c>
      <c r="AD19" s="14">
        <v>0.22</v>
      </c>
      <c r="AE19" s="14">
        <v>0.2</v>
      </c>
      <c r="AF19" s="14">
        <v>0.2</v>
      </c>
    </row>
    <row r="20" spans="1:32" x14ac:dyDescent="0.35">
      <c r="A20" s="31"/>
      <c r="B20" s="11" t="s">
        <v>683</v>
      </c>
      <c r="C20" s="12">
        <v>5312</v>
      </c>
      <c r="D20" s="12">
        <v>305</v>
      </c>
      <c r="E20" s="12">
        <v>114</v>
      </c>
      <c r="F20" s="12">
        <v>307</v>
      </c>
      <c r="G20" s="12">
        <v>265</v>
      </c>
      <c r="H20" s="12">
        <v>301</v>
      </c>
      <c r="I20" s="12">
        <v>379</v>
      </c>
      <c r="J20" s="12">
        <v>78</v>
      </c>
      <c r="K20" s="12">
        <v>284</v>
      </c>
      <c r="L20" s="12">
        <v>218</v>
      </c>
      <c r="M20" s="12">
        <v>114</v>
      </c>
      <c r="N20" s="12">
        <v>180</v>
      </c>
      <c r="O20" s="12">
        <v>241</v>
      </c>
      <c r="P20" s="12">
        <v>160</v>
      </c>
      <c r="Q20" s="12">
        <v>163</v>
      </c>
      <c r="R20" s="12">
        <v>66</v>
      </c>
      <c r="S20" s="12">
        <v>324</v>
      </c>
      <c r="T20" s="12">
        <v>157</v>
      </c>
      <c r="U20" s="12">
        <v>186</v>
      </c>
      <c r="V20" s="12">
        <v>127</v>
      </c>
      <c r="W20" s="12">
        <v>74</v>
      </c>
      <c r="X20" s="12">
        <v>225</v>
      </c>
      <c r="Y20" s="12">
        <v>210</v>
      </c>
      <c r="Z20" s="12">
        <v>114</v>
      </c>
      <c r="AA20" s="12">
        <v>128</v>
      </c>
      <c r="AB20" s="12">
        <v>98</v>
      </c>
      <c r="AC20" s="12">
        <v>256</v>
      </c>
      <c r="AD20" s="12">
        <v>268</v>
      </c>
      <c r="AE20" s="12">
        <v>372</v>
      </c>
      <c r="AF20" s="12">
        <v>296</v>
      </c>
    </row>
    <row r="21" spans="1:32" x14ac:dyDescent="0.35">
      <c r="A21" s="31"/>
      <c r="B21" s="13" t="s">
        <v>684</v>
      </c>
      <c r="C21" s="14">
        <v>0.39</v>
      </c>
      <c r="D21" s="14">
        <v>0.4</v>
      </c>
      <c r="E21" s="14">
        <v>0.41</v>
      </c>
      <c r="F21" s="14">
        <v>0.56000000000000005</v>
      </c>
      <c r="G21" s="14">
        <v>0.32</v>
      </c>
      <c r="H21" s="14">
        <v>0.37</v>
      </c>
      <c r="I21" s="14">
        <v>0.38</v>
      </c>
      <c r="J21" s="14">
        <v>0.4</v>
      </c>
      <c r="K21" s="14">
        <v>0.5</v>
      </c>
      <c r="L21" s="14">
        <v>0.35</v>
      </c>
      <c r="M21" s="14">
        <v>0.64</v>
      </c>
      <c r="N21" s="14">
        <v>0.47</v>
      </c>
      <c r="O21" s="14">
        <v>0.42</v>
      </c>
      <c r="P21" s="14">
        <v>0.35</v>
      </c>
      <c r="Q21" s="14">
        <v>0.39</v>
      </c>
      <c r="R21" s="14">
        <v>0.38</v>
      </c>
      <c r="S21" s="14">
        <v>0.62</v>
      </c>
      <c r="T21" s="14">
        <v>0.57000000000000006</v>
      </c>
      <c r="U21" s="14">
        <v>0.48</v>
      </c>
      <c r="V21" s="14">
        <v>0.39</v>
      </c>
      <c r="W21" s="14">
        <v>0.3</v>
      </c>
      <c r="X21" s="14">
        <v>0.25</v>
      </c>
      <c r="Y21" s="14">
        <v>0.35</v>
      </c>
      <c r="Z21" s="14">
        <v>0.31</v>
      </c>
      <c r="AA21" s="14">
        <v>0.52</v>
      </c>
      <c r="AB21" s="14">
        <v>0.46</v>
      </c>
      <c r="AC21" s="14">
        <v>0.54</v>
      </c>
      <c r="AD21" s="14">
        <v>0.55000000000000004</v>
      </c>
      <c r="AE21" s="14">
        <v>0.44</v>
      </c>
      <c r="AF21" s="14">
        <v>0.33</v>
      </c>
    </row>
    <row r="22" spans="1:32" x14ac:dyDescent="0.35">
      <c r="A22" s="31"/>
      <c r="B22" s="11" t="s">
        <v>685</v>
      </c>
      <c r="C22" s="12">
        <v>2405</v>
      </c>
      <c r="D22" s="12">
        <v>128</v>
      </c>
      <c r="E22" s="12">
        <v>70</v>
      </c>
      <c r="F22" s="12">
        <v>104</v>
      </c>
      <c r="G22" s="12">
        <v>110</v>
      </c>
      <c r="H22" s="12">
        <v>133</v>
      </c>
      <c r="I22" s="12">
        <v>168</v>
      </c>
      <c r="J22" s="12">
        <v>35</v>
      </c>
      <c r="K22" s="12">
        <v>90</v>
      </c>
      <c r="L22" s="12">
        <v>60</v>
      </c>
      <c r="M22" s="12">
        <v>9</v>
      </c>
      <c r="N22" s="12">
        <v>104</v>
      </c>
      <c r="O22" s="12">
        <v>109</v>
      </c>
      <c r="P22" s="12">
        <v>82</v>
      </c>
      <c r="Q22" s="12">
        <v>68</v>
      </c>
      <c r="R22" s="12">
        <v>28</v>
      </c>
      <c r="S22" s="12">
        <v>77</v>
      </c>
      <c r="T22" s="12">
        <v>34</v>
      </c>
      <c r="U22" s="12">
        <v>31</v>
      </c>
      <c r="V22" s="12">
        <v>113</v>
      </c>
      <c r="W22" s="12">
        <v>38</v>
      </c>
      <c r="X22" s="12">
        <v>68</v>
      </c>
      <c r="Y22" s="12">
        <v>78</v>
      </c>
      <c r="Z22" s="12">
        <v>129</v>
      </c>
      <c r="AA22" s="12">
        <v>32</v>
      </c>
      <c r="AB22" s="12">
        <v>64</v>
      </c>
      <c r="AC22" s="12">
        <v>62</v>
      </c>
      <c r="AD22" s="12">
        <v>59</v>
      </c>
      <c r="AE22" s="12">
        <v>83</v>
      </c>
      <c r="AF22" s="12">
        <v>45</v>
      </c>
    </row>
    <row r="23" spans="1:32" x14ac:dyDescent="0.35">
      <c r="A23" s="31"/>
      <c r="B23" s="13" t="s">
        <v>686</v>
      </c>
      <c r="C23" s="14">
        <v>0.18</v>
      </c>
      <c r="D23" s="14">
        <v>0.17</v>
      </c>
      <c r="E23" s="14">
        <v>0.26</v>
      </c>
      <c r="F23" s="14">
        <v>0.19</v>
      </c>
      <c r="G23" s="14">
        <v>0.14000000000000001</v>
      </c>
      <c r="H23" s="14">
        <v>0.16</v>
      </c>
      <c r="I23" s="14">
        <v>0.17</v>
      </c>
      <c r="J23" s="14">
        <v>0.18</v>
      </c>
      <c r="K23" s="14">
        <v>0.16</v>
      </c>
      <c r="L23" s="14">
        <v>0.1</v>
      </c>
      <c r="M23" s="14">
        <v>0.06</v>
      </c>
      <c r="N23" s="14">
        <v>0.27</v>
      </c>
      <c r="O23" s="14">
        <v>0.19</v>
      </c>
      <c r="P23" s="14">
        <v>0.18</v>
      </c>
      <c r="Q23" s="14">
        <v>0.16</v>
      </c>
      <c r="R23" s="14">
        <v>0.16</v>
      </c>
      <c r="S23" s="14">
        <v>0.15</v>
      </c>
      <c r="T23" s="14">
        <v>0.12</v>
      </c>
      <c r="U23" s="14">
        <v>0.08</v>
      </c>
      <c r="V23" s="14">
        <v>0.35</v>
      </c>
      <c r="W23" s="14">
        <v>0.16</v>
      </c>
      <c r="X23" s="14">
        <v>0.08</v>
      </c>
      <c r="Y23" s="14">
        <v>0.13</v>
      </c>
      <c r="Z23" s="14">
        <v>0.36</v>
      </c>
      <c r="AA23" s="14">
        <v>0.13</v>
      </c>
      <c r="AB23" s="14">
        <v>0.3</v>
      </c>
      <c r="AC23" s="14">
        <v>0.13</v>
      </c>
      <c r="AD23" s="14">
        <v>0.12</v>
      </c>
      <c r="AE23" s="14">
        <v>0.1</v>
      </c>
      <c r="AF23" s="14">
        <v>0.05</v>
      </c>
    </row>
    <row r="24" spans="1:32" x14ac:dyDescent="0.35">
      <c r="A24" s="31"/>
      <c r="B24" s="11" t="s">
        <v>344</v>
      </c>
      <c r="C24" s="12">
        <v>26</v>
      </c>
      <c r="D24" s="12">
        <v>3</v>
      </c>
      <c r="E24" s="12">
        <v>2</v>
      </c>
      <c r="F24" s="12">
        <v>3</v>
      </c>
      <c r="G24" s="12">
        <v>2</v>
      </c>
      <c r="H24" s="12">
        <v>0</v>
      </c>
      <c r="I24" s="12">
        <v>1</v>
      </c>
      <c r="J24" s="12">
        <v>1</v>
      </c>
      <c r="K24" s="12">
        <v>4</v>
      </c>
      <c r="L24" s="12">
        <v>0</v>
      </c>
      <c r="M24" s="12">
        <v>0</v>
      </c>
      <c r="N24" s="12">
        <v>1</v>
      </c>
      <c r="O24" s="12">
        <v>1</v>
      </c>
      <c r="P24" s="12">
        <v>3</v>
      </c>
      <c r="Q24" s="12">
        <v>0</v>
      </c>
      <c r="R24" s="12">
        <v>0</v>
      </c>
      <c r="S24" s="12">
        <v>1</v>
      </c>
      <c r="T24" s="12">
        <v>2</v>
      </c>
      <c r="U24" s="12">
        <v>1</v>
      </c>
      <c r="V24" s="12">
        <v>0</v>
      </c>
      <c r="W24" s="12">
        <v>0</v>
      </c>
      <c r="X24" s="12">
        <v>2</v>
      </c>
      <c r="Y24" s="12">
        <v>4</v>
      </c>
      <c r="Z24" s="12">
        <v>1</v>
      </c>
      <c r="AA24" s="12">
        <v>4</v>
      </c>
      <c r="AB24" s="12">
        <v>0</v>
      </c>
      <c r="AC24" s="12">
        <v>0</v>
      </c>
      <c r="AD24" s="12">
        <v>0</v>
      </c>
      <c r="AE24" s="12">
        <v>0</v>
      </c>
      <c r="AF24" s="12">
        <v>2</v>
      </c>
    </row>
    <row r="25" spans="1:32" x14ac:dyDescent="0.35">
      <c r="A25" s="31"/>
      <c r="B25" s="13" t="s">
        <v>357</v>
      </c>
      <c r="C25" s="15" t="s">
        <v>333</v>
      </c>
      <c r="D25" s="14">
        <v>0.01</v>
      </c>
      <c r="E25" s="14">
        <v>0.01</v>
      </c>
      <c r="F25" s="15" t="s">
        <v>333</v>
      </c>
      <c r="G25" s="15" t="s">
        <v>333</v>
      </c>
      <c r="H25" s="15" t="s">
        <v>333</v>
      </c>
      <c r="I25" s="15" t="s">
        <v>333</v>
      </c>
      <c r="J25" s="14">
        <v>0.01</v>
      </c>
      <c r="K25" s="14">
        <v>0.01</v>
      </c>
      <c r="L25" s="15" t="s">
        <v>333</v>
      </c>
      <c r="M25" s="15" t="s">
        <v>333</v>
      </c>
      <c r="N25" s="15" t="s">
        <v>333</v>
      </c>
      <c r="O25" s="15" t="s">
        <v>333</v>
      </c>
      <c r="P25" s="14">
        <v>0.01</v>
      </c>
      <c r="Q25" s="15" t="s">
        <v>333</v>
      </c>
      <c r="R25" s="15" t="s">
        <v>333</v>
      </c>
      <c r="S25" s="15" t="s">
        <v>333</v>
      </c>
      <c r="T25" s="14">
        <v>0.01</v>
      </c>
      <c r="U25" s="15" t="s">
        <v>333</v>
      </c>
      <c r="V25" s="15" t="s">
        <v>333</v>
      </c>
      <c r="W25" s="15" t="s">
        <v>333</v>
      </c>
      <c r="X25" s="15" t="s">
        <v>333</v>
      </c>
      <c r="Y25" s="14">
        <v>0.01</v>
      </c>
      <c r="Z25" s="15" t="s">
        <v>333</v>
      </c>
      <c r="AA25" s="14">
        <v>0.02</v>
      </c>
      <c r="AB25" s="15" t="s">
        <v>333</v>
      </c>
      <c r="AC25" s="15" t="s">
        <v>333</v>
      </c>
      <c r="AD25" s="15" t="s">
        <v>333</v>
      </c>
      <c r="AE25" s="15" t="s">
        <v>333</v>
      </c>
      <c r="AF25" s="15" t="s">
        <v>333</v>
      </c>
    </row>
    <row r="26" spans="1:32" x14ac:dyDescent="0.35">
      <c r="A26" s="31"/>
      <c r="B26" s="11" t="s">
        <v>687</v>
      </c>
      <c r="C26" s="12">
        <v>1848</v>
      </c>
      <c r="D26" s="12">
        <v>120</v>
      </c>
      <c r="E26" s="12">
        <v>32</v>
      </c>
      <c r="F26" s="12">
        <v>36</v>
      </c>
      <c r="G26" s="12">
        <v>157</v>
      </c>
      <c r="H26" s="12">
        <v>117</v>
      </c>
      <c r="I26" s="12">
        <v>136</v>
      </c>
      <c r="J26" s="12">
        <v>20</v>
      </c>
      <c r="K26" s="12">
        <v>58</v>
      </c>
      <c r="L26" s="12">
        <v>150</v>
      </c>
      <c r="M26" s="12">
        <v>13</v>
      </c>
      <c r="N26" s="12">
        <v>33</v>
      </c>
      <c r="O26" s="12">
        <v>63</v>
      </c>
      <c r="P26" s="12">
        <v>47</v>
      </c>
      <c r="Q26" s="12">
        <v>54</v>
      </c>
      <c r="R26" s="12">
        <v>32</v>
      </c>
      <c r="S26" s="12">
        <v>33</v>
      </c>
      <c r="T26" s="12">
        <v>32</v>
      </c>
      <c r="U26" s="12">
        <v>61</v>
      </c>
      <c r="V26" s="12">
        <v>27</v>
      </c>
      <c r="W26" s="12">
        <v>65</v>
      </c>
      <c r="X26" s="12">
        <v>247</v>
      </c>
      <c r="Y26" s="12">
        <v>90</v>
      </c>
      <c r="Z26" s="12">
        <v>28</v>
      </c>
      <c r="AA26" s="12">
        <v>39</v>
      </c>
      <c r="AB26" s="12">
        <v>14</v>
      </c>
      <c r="AC26" s="12">
        <v>44</v>
      </c>
      <c r="AD26" s="12">
        <v>25</v>
      </c>
      <c r="AE26" s="12">
        <v>132</v>
      </c>
      <c r="AF26" s="12">
        <v>252</v>
      </c>
    </row>
    <row r="27" spans="1:32" x14ac:dyDescent="0.35">
      <c r="A27" s="31"/>
      <c r="B27" s="13" t="s">
        <v>688</v>
      </c>
      <c r="C27" s="14">
        <v>0.14000000000000001</v>
      </c>
      <c r="D27" s="14">
        <v>0.15</v>
      </c>
      <c r="E27" s="14">
        <v>0.11</v>
      </c>
      <c r="F27" s="14">
        <v>7.0000000000000007E-2</v>
      </c>
      <c r="G27" s="14">
        <v>0.19</v>
      </c>
      <c r="H27" s="14">
        <v>0.15</v>
      </c>
      <c r="I27" s="14">
        <v>0.13</v>
      </c>
      <c r="J27" s="14">
        <v>0.1</v>
      </c>
      <c r="K27" s="14">
        <v>0.1</v>
      </c>
      <c r="L27" s="14">
        <v>0.24</v>
      </c>
      <c r="M27" s="14">
        <v>7.0000000000000007E-2</v>
      </c>
      <c r="N27" s="14">
        <v>0.08</v>
      </c>
      <c r="O27" s="14">
        <v>0.11</v>
      </c>
      <c r="P27" s="14">
        <v>0.1</v>
      </c>
      <c r="Q27" s="14">
        <v>0.13</v>
      </c>
      <c r="R27" s="14">
        <v>0.19</v>
      </c>
      <c r="S27" s="14">
        <v>0.06</v>
      </c>
      <c r="T27" s="14">
        <v>0.11</v>
      </c>
      <c r="U27" s="14">
        <v>0.16</v>
      </c>
      <c r="V27" s="14">
        <v>0.09</v>
      </c>
      <c r="W27" s="14">
        <v>0.26</v>
      </c>
      <c r="X27" s="14">
        <v>0.28000000000000003</v>
      </c>
      <c r="Y27" s="14">
        <v>0.15</v>
      </c>
      <c r="Z27" s="14">
        <v>0.08</v>
      </c>
      <c r="AA27" s="14">
        <v>0.15</v>
      </c>
      <c r="AB27" s="14">
        <v>7.0000000000000007E-2</v>
      </c>
      <c r="AC27" s="14">
        <v>0.09</v>
      </c>
      <c r="AD27" s="14">
        <v>0.06</v>
      </c>
      <c r="AE27" s="14">
        <v>0.15</v>
      </c>
      <c r="AF27" s="14">
        <v>0.28000000000000003</v>
      </c>
    </row>
    <row r="28" spans="1:32" x14ac:dyDescent="0.35">
      <c r="A28" s="31"/>
      <c r="B28" s="11" t="s">
        <v>689</v>
      </c>
      <c r="C28" s="12">
        <v>3873</v>
      </c>
      <c r="D28" s="12">
        <v>205</v>
      </c>
      <c r="E28" s="12">
        <v>60</v>
      </c>
      <c r="F28" s="12">
        <v>94</v>
      </c>
      <c r="G28" s="12">
        <v>287</v>
      </c>
      <c r="H28" s="12">
        <v>262</v>
      </c>
      <c r="I28" s="12">
        <v>321</v>
      </c>
      <c r="J28" s="12">
        <v>59</v>
      </c>
      <c r="K28" s="12">
        <v>134</v>
      </c>
      <c r="L28" s="12">
        <v>193</v>
      </c>
      <c r="M28" s="12">
        <v>42</v>
      </c>
      <c r="N28" s="12">
        <v>66</v>
      </c>
      <c r="O28" s="12">
        <v>159</v>
      </c>
      <c r="P28" s="12">
        <v>165</v>
      </c>
      <c r="Q28" s="12">
        <v>131</v>
      </c>
      <c r="R28" s="12">
        <v>46</v>
      </c>
      <c r="S28" s="12">
        <v>91</v>
      </c>
      <c r="T28" s="12">
        <v>54</v>
      </c>
      <c r="U28" s="12">
        <v>111</v>
      </c>
      <c r="V28" s="12">
        <v>58</v>
      </c>
      <c r="W28" s="12">
        <v>70</v>
      </c>
      <c r="X28" s="12">
        <v>343</v>
      </c>
      <c r="Y28" s="12">
        <v>221</v>
      </c>
      <c r="Z28" s="12">
        <v>92</v>
      </c>
      <c r="AA28" s="12">
        <v>47</v>
      </c>
      <c r="AB28" s="12">
        <v>37</v>
      </c>
      <c r="AC28" s="12">
        <v>115</v>
      </c>
      <c r="AD28" s="12">
        <v>134</v>
      </c>
      <c r="AE28" s="12">
        <v>260</v>
      </c>
      <c r="AF28" s="12">
        <v>302</v>
      </c>
    </row>
    <row r="29" spans="1:32" x14ac:dyDescent="0.35">
      <c r="A29" s="31"/>
      <c r="B29" s="13" t="s">
        <v>690</v>
      </c>
      <c r="C29" s="14">
        <v>0.28999999999999998</v>
      </c>
      <c r="D29" s="14">
        <v>0.27</v>
      </c>
      <c r="E29" s="14">
        <v>0.21</v>
      </c>
      <c r="F29" s="14">
        <v>0.18</v>
      </c>
      <c r="G29" s="14">
        <v>0.35</v>
      </c>
      <c r="H29" s="14">
        <v>0.32</v>
      </c>
      <c r="I29" s="14">
        <v>0.32</v>
      </c>
      <c r="J29" s="14">
        <v>0.31</v>
      </c>
      <c r="K29" s="14">
        <v>0.23</v>
      </c>
      <c r="L29" s="14">
        <v>0.31</v>
      </c>
      <c r="M29" s="14">
        <v>0.23</v>
      </c>
      <c r="N29" s="14">
        <v>0.18</v>
      </c>
      <c r="O29" s="14">
        <v>0.28000000000000003</v>
      </c>
      <c r="P29" s="14">
        <v>0.36</v>
      </c>
      <c r="Q29" s="14">
        <v>0.32</v>
      </c>
      <c r="R29" s="14">
        <v>0.27</v>
      </c>
      <c r="S29" s="14">
        <v>0.17</v>
      </c>
      <c r="T29" s="14">
        <v>0.19</v>
      </c>
      <c r="U29" s="14">
        <v>0.28000000000000003</v>
      </c>
      <c r="V29" s="14">
        <v>0.17</v>
      </c>
      <c r="W29" s="14">
        <v>0.28000000000000003</v>
      </c>
      <c r="X29" s="14">
        <v>0.39</v>
      </c>
      <c r="Y29" s="14">
        <v>0.36</v>
      </c>
      <c r="Z29" s="14">
        <v>0.25</v>
      </c>
      <c r="AA29" s="14">
        <v>0.18</v>
      </c>
      <c r="AB29" s="14">
        <v>0.17</v>
      </c>
      <c r="AC29" s="14">
        <v>0.24</v>
      </c>
      <c r="AD29" s="14">
        <v>0.27</v>
      </c>
      <c r="AE29" s="14">
        <v>0.31</v>
      </c>
      <c r="AF29" s="14">
        <v>0.34</v>
      </c>
    </row>
    <row r="30" spans="1:32" x14ac:dyDescent="0.35">
      <c r="A30" s="31"/>
      <c r="B30" s="11" t="s">
        <v>691</v>
      </c>
      <c r="C30" s="12">
        <v>7717</v>
      </c>
      <c r="D30" s="12">
        <v>433</v>
      </c>
      <c r="E30" s="12">
        <v>184</v>
      </c>
      <c r="F30" s="12">
        <v>411</v>
      </c>
      <c r="G30" s="12">
        <v>375</v>
      </c>
      <c r="H30" s="12">
        <v>434</v>
      </c>
      <c r="I30" s="12">
        <v>547</v>
      </c>
      <c r="J30" s="12">
        <v>113</v>
      </c>
      <c r="K30" s="12">
        <v>374</v>
      </c>
      <c r="L30" s="12">
        <v>278</v>
      </c>
      <c r="M30" s="12">
        <v>123</v>
      </c>
      <c r="N30" s="12">
        <v>284</v>
      </c>
      <c r="O30" s="12">
        <v>350</v>
      </c>
      <c r="P30" s="12">
        <v>242</v>
      </c>
      <c r="Q30" s="12">
        <v>231</v>
      </c>
      <c r="R30" s="12">
        <v>94</v>
      </c>
      <c r="S30" s="12">
        <v>401</v>
      </c>
      <c r="T30" s="12">
        <v>191</v>
      </c>
      <c r="U30" s="12">
        <v>217</v>
      </c>
      <c r="V30" s="12">
        <v>240</v>
      </c>
      <c r="W30" s="12">
        <v>112</v>
      </c>
      <c r="X30" s="12">
        <v>293</v>
      </c>
      <c r="Y30" s="12">
        <v>288</v>
      </c>
      <c r="Z30" s="12">
        <v>243</v>
      </c>
      <c r="AA30" s="12">
        <v>160</v>
      </c>
      <c r="AB30" s="12">
        <v>162</v>
      </c>
      <c r="AC30" s="12">
        <v>318</v>
      </c>
      <c r="AD30" s="12">
        <v>327</v>
      </c>
      <c r="AE30" s="12">
        <v>455</v>
      </c>
      <c r="AF30" s="12">
        <v>341</v>
      </c>
    </row>
    <row r="31" spans="1:32" x14ac:dyDescent="0.35">
      <c r="A31" s="31"/>
      <c r="B31" s="13" t="s">
        <v>692</v>
      </c>
      <c r="C31" s="14">
        <v>0.57000000000000006</v>
      </c>
      <c r="D31" s="14">
        <v>0.57000000000000006</v>
      </c>
      <c r="E31" s="14">
        <v>0.67</v>
      </c>
      <c r="F31" s="14">
        <v>0.75</v>
      </c>
      <c r="G31" s="14">
        <v>0.46</v>
      </c>
      <c r="H31" s="14">
        <v>0.53</v>
      </c>
      <c r="I31" s="14">
        <v>0.55000000000000004</v>
      </c>
      <c r="J31" s="14">
        <v>0.57999999999999996</v>
      </c>
      <c r="K31" s="14">
        <v>0.66</v>
      </c>
      <c r="L31" s="14">
        <v>0.45</v>
      </c>
      <c r="M31" s="14">
        <v>0.70000000000000007</v>
      </c>
      <c r="N31" s="14">
        <v>0.74</v>
      </c>
      <c r="O31" s="14">
        <v>0.61</v>
      </c>
      <c r="P31" s="14">
        <v>0.53</v>
      </c>
      <c r="Q31" s="14">
        <v>0.55000000000000004</v>
      </c>
      <c r="R31" s="14">
        <v>0.54</v>
      </c>
      <c r="S31" s="14">
        <v>0.77</v>
      </c>
      <c r="T31" s="14">
        <v>0.69000000000000006</v>
      </c>
      <c r="U31" s="14">
        <v>0.56000000000000005</v>
      </c>
      <c r="V31" s="14">
        <v>0.74</v>
      </c>
      <c r="W31" s="14">
        <v>0.46</v>
      </c>
      <c r="X31" s="14">
        <v>0.33</v>
      </c>
      <c r="Y31" s="14">
        <v>0.48</v>
      </c>
      <c r="Z31" s="14">
        <v>0.67</v>
      </c>
      <c r="AA31" s="14">
        <v>0.65</v>
      </c>
      <c r="AB31" s="14">
        <v>0.76</v>
      </c>
      <c r="AC31" s="14">
        <v>0.67</v>
      </c>
      <c r="AD31" s="14">
        <v>0.67</v>
      </c>
      <c r="AE31" s="14">
        <v>0.54</v>
      </c>
      <c r="AF31" s="14">
        <v>0.38</v>
      </c>
    </row>
  </sheetData>
  <mergeCells count="10">
    <mergeCell ref="B4:F4"/>
    <mergeCell ref="H3:L3"/>
    <mergeCell ref="C8:AF8"/>
    <mergeCell ref="A26:A31"/>
    <mergeCell ref="B3:F3"/>
    <mergeCell ref="B5:F5"/>
    <mergeCell ref="A10:A25"/>
    <mergeCell ref="H5:L5"/>
    <mergeCell ref="B10:B11"/>
    <mergeCell ref="H4:L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3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89</v>
      </c>
      <c r="C3" s="30"/>
      <c r="D3" s="30"/>
      <c r="E3" s="30"/>
      <c r="F3" s="30"/>
      <c r="H3" s="30" t="s">
        <v>90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693</v>
      </c>
      <c r="C12" s="12">
        <v>1619</v>
      </c>
      <c r="D12" s="12">
        <v>107</v>
      </c>
      <c r="E12" s="12">
        <v>52</v>
      </c>
      <c r="F12" s="12">
        <v>80</v>
      </c>
      <c r="G12" s="12">
        <v>69</v>
      </c>
      <c r="H12" s="12">
        <v>79</v>
      </c>
      <c r="I12" s="12">
        <v>90</v>
      </c>
      <c r="J12" s="12">
        <v>11</v>
      </c>
      <c r="K12" s="12">
        <v>85</v>
      </c>
      <c r="L12" s="12">
        <v>82</v>
      </c>
      <c r="M12" s="12">
        <v>43</v>
      </c>
      <c r="N12" s="12">
        <v>41</v>
      </c>
      <c r="O12" s="12">
        <v>48</v>
      </c>
      <c r="P12" s="12">
        <v>130</v>
      </c>
      <c r="Q12" s="12">
        <v>65</v>
      </c>
      <c r="R12" s="12">
        <v>48</v>
      </c>
      <c r="S12" s="12">
        <v>53</v>
      </c>
      <c r="T12" s="12">
        <v>54</v>
      </c>
      <c r="U12" s="12">
        <v>42</v>
      </c>
      <c r="V12" s="12">
        <v>96</v>
      </c>
      <c r="W12" s="12">
        <v>42</v>
      </c>
      <c r="X12" s="12">
        <v>80</v>
      </c>
      <c r="Y12" s="12">
        <v>105</v>
      </c>
      <c r="Z12" s="12">
        <v>68</v>
      </c>
      <c r="AA12" s="12">
        <v>40</v>
      </c>
      <c r="AB12" s="12">
        <v>68</v>
      </c>
      <c r="AC12" s="12">
        <v>60</v>
      </c>
      <c r="AD12" s="12">
        <v>53</v>
      </c>
      <c r="AE12" s="12">
        <v>69</v>
      </c>
      <c r="AF12" s="12">
        <v>74</v>
      </c>
    </row>
    <row r="13" spans="1:32" ht="21.5" x14ac:dyDescent="0.35">
      <c r="A13" s="31"/>
      <c r="B13" s="13" t="s">
        <v>694</v>
      </c>
      <c r="C13" s="14">
        <v>0.06</v>
      </c>
      <c r="D13" s="14">
        <v>0.1</v>
      </c>
      <c r="E13" s="14">
        <v>0.05</v>
      </c>
      <c r="F13" s="14">
        <v>0.08</v>
      </c>
      <c r="G13" s="14">
        <v>7.0000000000000007E-2</v>
      </c>
      <c r="H13" s="14">
        <v>0.06</v>
      </c>
      <c r="I13" s="14">
        <v>0.06</v>
      </c>
      <c r="J13" s="14">
        <v>0.04</v>
      </c>
      <c r="K13" s="14">
        <v>0.08</v>
      </c>
      <c r="L13" s="14">
        <v>0.08</v>
      </c>
      <c r="M13" s="14">
        <v>0.04</v>
      </c>
      <c r="N13" s="14">
        <v>0.04</v>
      </c>
      <c r="O13" s="14">
        <v>0.05</v>
      </c>
      <c r="P13" s="14">
        <v>0.13</v>
      </c>
      <c r="Q13" s="14">
        <v>0.06</v>
      </c>
      <c r="R13" s="14">
        <v>0.1</v>
      </c>
      <c r="S13" s="14">
        <v>0.05</v>
      </c>
      <c r="T13" s="14">
        <v>0.05</v>
      </c>
      <c r="U13" s="14">
        <v>0.08</v>
      </c>
      <c r="V13" s="14">
        <v>0.09</v>
      </c>
      <c r="W13" s="14">
        <v>0.08</v>
      </c>
      <c r="X13" s="14">
        <v>0.08</v>
      </c>
      <c r="Y13" s="14">
        <v>0.1</v>
      </c>
      <c r="Z13" s="14">
        <v>7.0000000000000007E-2</v>
      </c>
      <c r="AA13" s="14">
        <v>0.04</v>
      </c>
      <c r="AB13" s="14">
        <v>0.06</v>
      </c>
      <c r="AC13" s="14">
        <v>0.06</v>
      </c>
      <c r="AD13" s="14">
        <v>0.05</v>
      </c>
      <c r="AE13" s="14">
        <v>7.0000000000000007E-2</v>
      </c>
      <c r="AF13" s="14">
        <v>7.0000000000000007E-2</v>
      </c>
    </row>
    <row r="14" spans="1:32" ht="41.5" x14ac:dyDescent="0.35">
      <c r="A14" s="31"/>
      <c r="B14" s="11" t="s">
        <v>695</v>
      </c>
      <c r="C14" s="12">
        <v>2264</v>
      </c>
      <c r="D14" s="12">
        <v>134</v>
      </c>
      <c r="E14" s="12">
        <v>91</v>
      </c>
      <c r="F14" s="12">
        <v>84</v>
      </c>
      <c r="G14" s="12">
        <v>62</v>
      </c>
      <c r="H14" s="12">
        <v>107</v>
      </c>
      <c r="I14" s="12">
        <v>130</v>
      </c>
      <c r="J14" s="12">
        <v>23</v>
      </c>
      <c r="K14" s="12">
        <v>151</v>
      </c>
      <c r="L14" s="12">
        <v>106</v>
      </c>
      <c r="M14" s="12">
        <v>67</v>
      </c>
      <c r="N14" s="12">
        <v>69</v>
      </c>
      <c r="O14" s="12">
        <v>102</v>
      </c>
      <c r="P14" s="12">
        <v>142</v>
      </c>
      <c r="Q14" s="12">
        <v>83</v>
      </c>
      <c r="R14" s="12">
        <v>49</v>
      </c>
      <c r="S14" s="12">
        <v>103</v>
      </c>
      <c r="T14" s="12">
        <v>86</v>
      </c>
      <c r="U14" s="12">
        <v>35</v>
      </c>
      <c r="V14" s="12">
        <v>133</v>
      </c>
      <c r="W14" s="12">
        <v>43</v>
      </c>
      <c r="X14" s="12">
        <v>79</v>
      </c>
      <c r="Y14" s="12">
        <v>151</v>
      </c>
      <c r="Z14" s="12">
        <v>75</v>
      </c>
      <c r="AA14" s="12">
        <v>66</v>
      </c>
      <c r="AB14" s="12">
        <v>85</v>
      </c>
      <c r="AC14" s="12">
        <v>43</v>
      </c>
      <c r="AD14" s="12">
        <v>61</v>
      </c>
      <c r="AE14" s="12">
        <v>91</v>
      </c>
      <c r="AF14" s="12">
        <v>48</v>
      </c>
    </row>
    <row r="15" spans="1:32" ht="31.5" x14ac:dyDescent="0.35">
      <c r="A15" s="31"/>
      <c r="B15" s="13" t="s">
        <v>696</v>
      </c>
      <c r="C15" s="14">
        <v>0.09</v>
      </c>
      <c r="D15" s="14">
        <v>0.13</v>
      </c>
      <c r="E15" s="14">
        <v>0.09</v>
      </c>
      <c r="F15" s="14">
        <v>0.08</v>
      </c>
      <c r="G15" s="14">
        <v>0.06</v>
      </c>
      <c r="H15" s="14">
        <v>0.09</v>
      </c>
      <c r="I15" s="14">
        <v>0.09</v>
      </c>
      <c r="J15" s="14">
        <v>0.08</v>
      </c>
      <c r="K15" s="14">
        <v>0.15</v>
      </c>
      <c r="L15" s="14">
        <v>0.11</v>
      </c>
      <c r="M15" s="14">
        <v>7.0000000000000007E-2</v>
      </c>
      <c r="N15" s="14">
        <v>7.0000000000000007E-2</v>
      </c>
      <c r="O15" s="14">
        <v>0.1</v>
      </c>
      <c r="P15" s="14">
        <v>0.14000000000000001</v>
      </c>
      <c r="Q15" s="14">
        <v>0.08</v>
      </c>
      <c r="R15" s="14">
        <v>0.1</v>
      </c>
      <c r="S15" s="14">
        <v>0.1</v>
      </c>
      <c r="T15" s="14">
        <v>0.09</v>
      </c>
      <c r="U15" s="14">
        <v>7.0000000000000007E-2</v>
      </c>
      <c r="V15" s="14">
        <v>0.13</v>
      </c>
      <c r="W15" s="14">
        <v>0.09</v>
      </c>
      <c r="X15" s="14">
        <v>0.08</v>
      </c>
      <c r="Y15" s="14">
        <v>0.15</v>
      </c>
      <c r="Z15" s="14">
        <v>7.0000000000000007E-2</v>
      </c>
      <c r="AA15" s="14">
        <v>0.06</v>
      </c>
      <c r="AB15" s="14">
        <v>0.08</v>
      </c>
      <c r="AC15" s="14">
        <v>0.04</v>
      </c>
      <c r="AD15" s="14">
        <v>0.06</v>
      </c>
      <c r="AE15" s="14">
        <v>0.09</v>
      </c>
      <c r="AF15" s="14">
        <v>0.05</v>
      </c>
    </row>
    <row r="16" spans="1:32" ht="81.5" x14ac:dyDescent="0.35">
      <c r="A16" s="31"/>
      <c r="B16" s="11" t="s">
        <v>697</v>
      </c>
      <c r="C16" s="12">
        <v>2225</v>
      </c>
      <c r="D16" s="12">
        <v>149</v>
      </c>
      <c r="E16" s="12">
        <v>68</v>
      </c>
      <c r="F16" s="12">
        <v>87</v>
      </c>
      <c r="G16" s="12">
        <v>67</v>
      </c>
      <c r="H16" s="12">
        <v>113</v>
      </c>
      <c r="I16" s="12">
        <v>143</v>
      </c>
      <c r="J16" s="12">
        <v>30</v>
      </c>
      <c r="K16" s="12">
        <v>65</v>
      </c>
      <c r="L16" s="12">
        <v>79</v>
      </c>
      <c r="M16" s="12">
        <v>41</v>
      </c>
      <c r="N16" s="12">
        <v>43</v>
      </c>
      <c r="O16" s="12">
        <v>66</v>
      </c>
      <c r="P16" s="12">
        <v>123</v>
      </c>
      <c r="Q16" s="12">
        <v>107</v>
      </c>
      <c r="R16" s="12">
        <v>31</v>
      </c>
      <c r="S16" s="12">
        <v>53</v>
      </c>
      <c r="T16" s="12">
        <v>80</v>
      </c>
      <c r="U16" s="12">
        <v>47</v>
      </c>
      <c r="V16" s="12">
        <v>104</v>
      </c>
      <c r="W16" s="12">
        <v>93</v>
      </c>
      <c r="X16" s="12">
        <v>143</v>
      </c>
      <c r="Y16" s="12">
        <v>164</v>
      </c>
      <c r="Z16" s="12">
        <v>79</v>
      </c>
      <c r="AA16" s="12">
        <v>58</v>
      </c>
      <c r="AB16" s="12">
        <v>82</v>
      </c>
      <c r="AC16" s="12">
        <v>33</v>
      </c>
      <c r="AD16" s="12">
        <v>123</v>
      </c>
      <c r="AE16" s="12">
        <v>66</v>
      </c>
      <c r="AF16" s="12">
        <v>88</v>
      </c>
    </row>
    <row r="17" spans="1:32" ht="51.5" x14ac:dyDescent="0.35">
      <c r="A17" s="31"/>
      <c r="B17" s="13" t="s">
        <v>698</v>
      </c>
      <c r="C17" s="14">
        <v>0.08</v>
      </c>
      <c r="D17" s="14">
        <v>0.15</v>
      </c>
      <c r="E17" s="14">
        <v>7.0000000000000007E-2</v>
      </c>
      <c r="F17" s="14">
        <v>0.09</v>
      </c>
      <c r="G17" s="14">
        <v>7.0000000000000007E-2</v>
      </c>
      <c r="H17" s="14">
        <v>0.09</v>
      </c>
      <c r="I17" s="14">
        <v>0.09</v>
      </c>
      <c r="J17" s="14">
        <v>0.1</v>
      </c>
      <c r="K17" s="14">
        <v>0.06</v>
      </c>
      <c r="L17" s="14">
        <v>0.08</v>
      </c>
      <c r="M17" s="14">
        <v>0.04</v>
      </c>
      <c r="N17" s="14">
        <v>0.04</v>
      </c>
      <c r="O17" s="14">
        <v>7.0000000000000007E-2</v>
      </c>
      <c r="P17" s="14">
        <v>0.12</v>
      </c>
      <c r="Q17" s="14">
        <v>0.1</v>
      </c>
      <c r="R17" s="14">
        <v>0.06</v>
      </c>
      <c r="S17" s="14">
        <v>0.05</v>
      </c>
      <c r="T17" s="14">
        <v>0.08</v>
      </c>
      <c r="U17" s="14">
        <v>0.09</v>
      </c>
      <c r="V17" s="14">
        <v>0.1</v>
      </c>
      <c r="W17" s="14">
        <v>0.19</v>
      </c>
      <c r="X17" s="14">
        <v>0.14000000000000001</v>
      </c>
      <c r="Y17" s="14">
        <v>0.16</v>
      </c>
      <c r="Z17" s="14">
        <v>0.08</v>
      </c>
      <c r="AA17" s="14">
        <v>0.06</v>
      </c>
      <c r="AB17" s="14">
        <v>0.08</v>
      </c>
      <c r="AC17" s="14">
        <v>0.03</v>
      </c>
      <c r="AD17" s="14">
        <v>0.12</v>
      </c>
      <c r="AE17" s="14">
        <v>7.0000000000000007E-2</v>
      </c>
      <c r="AF17" s="14">
        <v>0.09</v>
      </c>
    </row>
    <row r="18" spans="1:32" ht="61.5" x14ac:dyDescent="0.35">
      <c r="A18" s="31"/>
      <c r="B18" s="11" t="s">
        <v>699</v>
      </c>
      <c r="C18" s="12">
        <v>1508</v>
      </c>
      <c r="D18" s="12">
        <v>111</v>
      </c>
      <c r="E18" s="12">
        <v>40</v>
      </c>
      <c r="F18" s="12">
        <v>52</v>
      </c>
      <c r="G18" s="12">
        <v>20</v>
      </c>
      <c r="H18" s="12">
        <v>58</v>
      </c>
      <c r="I18" s="12">
        <v>70</v>
      </c>
      <c r="J18" s="12">
        <v>11</v>
      </c>
      <c r="K18" s="12">
        <v>41</v>
      </c>
      <c r="L18" s="12">
        <v>70</v>
      </c>
      <c r="M18" s="12">
        <v>46</v>
      </c>
      <c r="N18" s="12">
        <v>29</v>
      </c>
      <c r="O18" s="12">
        <v>53</v>
      </c>
      <c r="P18" s="12">
        <v>111</v>
      </c>
      <c r="Q18" s="12">
        <v>73</v>
      </c>
      <c r="R18" s="12">
        <v>12</v>
      </c>
      <c r="S18" s="12">
        <v>20</v>
      </c>
      <c r="T18" s="12">
        <v>35</v>
      </c>
      <c r="U18" s="12">
        <v>45</v>
      </c>
      <c r="V18" s="12">
        <v>97</v>
      </c>
      <c r="W18" s="12">
        <v>31</v>
      </c>
      <c r="X18" s="12">
        <v>63</v>
      </c>
      <c r="Y18" s="12">
        <v>98</v>
      </c>
      <c r="Z18" s="12">
        <v>96</v>
      </c>
      <c r="AA18" s="12">
        <v>53</v>
      </c>
      <c r="AB18" s="12">
        <v>81</v>
      </c>
      <c r="AC18" s="12">
        <v>24</v>
      </c>
      <c r="AD18" s="12">
        <v>57</v>
      </c>
      <c r="AE18" s="12">
        <v>14</v>
      </c>
      <c r="AF18" s="12">
        <v>5</v>
      </c>
    </row>
    <row r="19" spans="1:32" ht="41.5" x14ac:dyDescent="0.35">
      <c r="A19" s="31"/>
      <c r="B19" s="13" t="s">
        <v>700</v>
      </c>
      <c r="C19" s="14">
        <v>0.06</v>
      </c>
      <c r="D19" s="14">
        <v>0.11</v>
      </c>
      <c r="E19" s="14">
        <v>0.04</v>
      </c>
      <c r="F19" s="14">
        <v>0.05</v>
      </c>
      <c r="G19" s="14">
        <v>0.02</v>
      </c>
      <c r="H19" s="14">
        <v>0.05</v>
      </c>
      <c r="I19" s="14">
        <v>0.05</v>
      </c>
      <c r="J19" s="14">
        <v>0.04</v>
      </c>
      <c r="K19" s="14">
        <v>0.04</v>
      </c>
      <c r="L19" s="14">
        <v>7.0000000000000007E-2</v>
      </c>
      <c r="M19" s="14">
        <v>0.05</v>
      </c>
      <c r="N19" s="14">
        <v>0.03</v>
      </c>
      <c r="O19" s="14">
        <v>0.05</v>
      </c>
      <c r="P19" s="14">
        <v>0.11</v>
      </c>
      <c r="Q19" s="14">
        <v>7.0000000000000007E-2</v>
      </c>
      <c r="R19" s="14">
        <v>0.02</v>
      </c>
      <c r="S19" s="14">
        <v>0.02</v>
      </c>
      <c r="T19" s="14">
        <v>0.03</v>
      </c>
      <c r="U19" s="14">
        <v>0.09</v>
      </c>
      <c r="V19" s="14">
        <v>0.1</v>
      </c>
      <c r="W19" s="14">
        <v>0.06</v>
      </c>
      <c r="X19" s="14">
        <v>0.06</v>
      </c>
      <c r="Y19" s="14">
        <v>0.1</v>
      </c>
      <c r="Z19" s="14">
        <v>0.09</v>
      </c>
      <c r="AA19" s="14">
        <v>0.05</v>
      </c>
      <c r="AB19" s="14">
        <v>0.08</v>
      </c>
      <c r="AC19" s="14">
        <v>0.02</v>
      </c>
      <c r="AD19" s="14">
        <v>0.06</v>
      </c>
      <c r="AE19" s="14">
        <v>0.01</v>
      </c>
      <c r="AF19" s="14">
        <v>0.01</v>
      </c>
    </row>
    <row r="20" spans="1:32" ht="71.5" x14ac:dyDescent="0.35">
      <c r="A20" s="31"/>
      <c r="B20" s="11" t="s">
        <v>701</v>
      </c>
      <c r="C20" s="12">
        <v>2706</v>
      </c>
      <c r="D20" s="12">
        <v>165</v>
      </c>
      <c r="E20" s="12">
        <v>71</v>
      </c>
      <c r="F20" s="12">
        <v>95</v>
      </c>
      <c r="G20" s="12">
        <v>110</v>
      </c>
      <c r="H20" s="12">
        <v>140</v>
      </c>
      <c r="I20" s="12">
        <v>179</v>
      </c>
      <c r="J20" s="12">
        <v>39</v>
      </c>
      <c r="K20" s="12">
        <v>170</v>
      </c>
      <c r="L20" s="12">
        <v>150</v>
      </c>
      <c r="M20" s="12">
        <v>55</v>
      </c>
      <c r="N20" s="12">
        <v>74</v>
      </c>
      <c r="O20" s="12">
        <v>64</v>
      </c>
      <c r="P20" s="12">
        <v>135</v>
      </c>
      <c r="Q20" s="12">
        <v>113</v>
      </c>
      <c r="R20" s="12">
        <v>29</v>
      </c>
      <c r="S20" s="12">
        <v>142</v>
      </c>
      <c r="T20" s="12">
        <v>102</v>
      </c>
      <c r="U20" s="12">
        <v>40</v>
      </c>
      <c r="V20" s="12">
        <v>115</v>
      </c>
      <c r="W20" s="12">
        <v>64</v>
      </c>
      <c r="X20" s="12">
        <v>237</v>
      </c>
      <c r="Y20" s="12">
        <v>126</v>
      </c>
      <c r="Z20" s="12">
        <v>78</v>
      </c>
      <c r="AA20" s="12">
        <v>47</v>
      </c>
      <c r="AB20" s="12">
        <v>100</v>
      </c>
      <c r="AC20" s="12">
        <v>101</v>
      </c>
      <c r="AD20" s="12">
        <v>126</v>
      </c>
      <c r="AE20" s="12">
        <v>157</v>
      </c>
      <c r="AF20" s="12">
        <v>157</v>
      </c>
    </row>
    <row r="21" spans="1:32" ht="51.5" x14ac:dyDescent="0.35">
      <c r="A21" s="31"/>
      <c r="B21" s="13" t="s">
        <v>702</v>
      </c>
      <c r="C21" s="14">
        <v>0.1</v>
      </c>
      <c r="D21" s="14">
        <v>0.16</v>
      </c>
      <c r="E21" s="14">
        <v>7.0000000000000007E-2</v>
      </c>
      <c r="F21" s="14">
        <v>0.09</v>
      </c>
      <c r="G21" s="14">
        <v>0.11</v>
      </c>
      <c r="H21" s="14">
        <v>0.11</v>
      </c>
      <c r="I21" s="14">
        <v>0.12</v>
      </c>
      <c r="J21" s="14">
        <v>0.13</v>
      </c>
      <c r="K21" s="14">
        <v>0.17</v>
      </c>
      <c r="L21" s="14">
        <v>0.15</v>
      </c>
      <c r="M21" s="14">
        <v>0.05</v>
      </c>
      <c r="N21" s="14">
        <v>7.0000000000000007E-2</v>
      </c>
      <c r="O21" s="14">
        <v>0.06</v>
      </c>
      <c r="P21" s="14">
        <v>0.13</v>
      </c>
      <c r="Q21" s="14">
        <v>0.11</v>
      </c>
      <c r="R21" s="14">
        <v>0.06</v>
      </c>
      <c r="S21" s="14">
        <v>0.14000000000000001</v>
      </c>
      <c r="T21" s="14">
        <v>0.1</v>
      </c>
      <c r="U21" s="14">
        <v>0.08</v>
      </c>
      <c r="V21" s="14">
        <v>0.11</v>
      </c>
      <c r="W21" s="14">
        <v>0.13</v>
      </c>
      <c r="X21" s="14">
        <v>0.23</v>
      </c>
      <c r="Y21" s="14">
        <v>0.13</v>
      </c>
      <c r="Z21" s="14">
        <v>0.08</v>
      </c>
      <c r="AA21" s="14">
        <v>0.05</v>
      </c>
      <c r="AB21" s="14">
        <v>0.09</v>
      </c>
      <c r="AC21" s="14">
        <v>0.1</v>
      </c>
      <c r="AD21" s="14">
        <v>0.13</v>
      </c>
      <c r="AE21" s="14">
        <v>0.16</v>
      </c>
      <c r="AF21" s="14">
        <v>0.15</v>
      </c>
    </row>
    <row r="22" spans="1:32" ht="31.5" x14ac:dyDescent="0.35">
      <c r="A22" s="31"/>
      <c r="B22" s="11" t="s">
        <v>703</v>
      </c>
      <c r="C22" s="12">
        <v>2219</v>
      </c>
      <c r="D22" s="12">
        <v>171</v>
      </c>
      <c r="E22" s="12">
        <v>54</v>
      </c>
      <c r="F22" s="12">
        <v>57</v>
      </c>
      <c r="G22" s="12">
        <v>136</v>
      </c>
      <c r="H22" s="12">
        <v>127</v>
      </c>
      <c r="I22" s="12">
        <v>158</v>
      </c>
      <c r="J22" s="12">
        <v>31</v>
      </c>
      <c r="K22" s="12">
        <v>127</v>
      </c>
      <c r="L22" s="12">
        <v>183</v>
      </c>
      <c r="M22" s="12">
        <v>78</v>
      </c>
      <c r="N22" s="12">
        <v>33</v>
      </c>
      <c r="O22" s="12">
        <v>59</v>
      </c>
      <c r="P22" s="12">
        <v>116</v>
      </c>
      <c r="Q22" s="12">
        <v>82</v>
      </c>
      <c r="R22" s="12">
        <v>27</v>
      </c>
      <c r="S22" s="12">
        <v>57</v>
      </c>
      <c r="T22" s="12">
        <v>52</v>
      </c>
      <c r="U22" s="12">
        <v>49</v>
      </c>
      <c r="V22" s="12">
        <v>75</v>
      </c>
      <c r="W22" s="12">
        <v>44</v>
      </c>
      <c r="X22" s="12">
        <v>186</v>
      </c>
      <c r="Y22" s="12">
        <v>154</v>
      </c>
      <c r="Z22" s="12">
        <v>70</v>
      </c>
      <c r="AA22" s="12">
        <v>37</v>
      </c>
      <c r="AB22" s="12">
        <v>49</v>
      </c>
      <c r="AC22" s="12">
        <v>57</v>
      </c>
      <c r="AD22" s="12">
        <v>113</v>
      </c>
      <c r="AE22" s="12">
        <v>181</v>
      </c>
      <c r="AF22" s="12">
        <v>135</v>
      </c>
    </row>
    <row r="23" spans="1:32" ht="31.5" x14ac:dyDescent="0.35">
      <c r="A23" s="31"/>
      <c r="B23" s="13" t="s">
        <v>704</v>
      </c>
      <c r="C23" s="14">
        <v>0.08</v>
      </c>
      <c r="D23" s="14">
        <v>0.17</v>
      </c>
      <c r="E23" s="14">
        <v>0.05</v>
      </c>
      <c r="F23" s="14">
        <v>0.06</v>
      </c>
      <c r="G23" s="14">
        <v>0.13</v>
      </c>
      <c r="H23" s="14">
        <v>0.1</v>
      </c>
      <c r="I23" s="14">
        <v>0.1</v>
      </c>
      <c r="J23" s="14">
        <v>0.1</v>
      </c>
      <c r="K23" s="14">
        <v>0.13</v>
      </c>
      <c r="L23" s="14">
        <v>0.18</v>
      </c>
      <c r="M23" s="14">
        <v>0.08</v>
      </c>
      <c r="N23" s="14">
        <v>0.03</v>
      </c>
      <c r="O23" s="14">
        <v>0.06</v>
      </c>
      <c r="P23" s="14">
        <v>0.12</v>
      </c>
      <c r="Q23" s="14">
        <v>0.08</v>
      </c>
      <c r="R23" s="14">
        <v>0.05</v>
      </c>
      <c r="S23" s="14">
        <v>0.06</v>
      </c>
      <c r="T23" s="14">
        <v>0.05</v>
      </c>
      <c r="U23" s="14">
        <v>0.1</v>
      </c>
      <c r="V23" s="14">
        <v>7.0000000000000007E-2</v>
      </c>
      <c r="W23" s="14">
        <v>0.09</v>
      </c>
      <c r="X23" s="14">
        <v>0.18</v>
      </c>
      <c r="Y23" s="14">
        <v>0.15</v>
      </c>
      <c r="Z23" s="14">
        <v>7.0000000000000007E-2</v>
      </c>
      <c r="AA23" s="14">
        <v>0.04</v>
      </c>
      <c r="AB23" s="14">
        <v>0.05</v>
      </c>
      <c r="AC23" s="14">
        <v>0.06</v>
      </c>
      <c r="AD23" s="14">
        <v>0.11</v>
      </c>
      <c r="AE23" s="14">
        <v>0.18</v>
      </c>
      <c r="AF23" s="14">
        <v>0.13</v>
      </c>
    </row>
    <row r="24" spans="1:32" x14ac:dyDescent="0.35">
      <c r="A24" s="31"/>
      <c r="B24" s="11" t="s">
        <v>407</v>
      </c>
      <c r="C24" s="12">
        <v>167</v>
      </c>
      <c r="D24" s="12">
        <v>13</v>
      </c>
      <c r="E24" s="12">
        <v>4</v>
      </c>
      <c r="F24" s="12">
        <v>8</v>
      </c>
      <c r="G24" s="12">
        <v>9</v>
      </c>
      <c r="H24" s="12">
        <v>17</v>
      </c>
      <c r="I24" s="12">
        <v>19</v>
      </c>
      <c r="J24" s="12">
        <v>3</v>
      </c>
      <c r="K24" s="12">
        <v>13</v>
      </c>
      <c r="L24" s="12">
        <v>4</v>
      </c>
      <c r="M24" s="12">
        <v>0</v>
      </c>
      <c r="N24" s="12">
        <v>6</v>
      </c>
      <c r="O24" s="12">
        <v>4</v>
      </c>
      <c r="P24" s="12">
        <v>1</v>
      </c>
      <c r="Q24" s="12">
        <v>3</v>
      </c>
      <c r="R24" s="12">
        <v>6</v>
      </c>
      <c r="S24" s="12">
        <v>7</v>
      </c>
      <c r="T24" s="12">
        <v>13</v>
      </c>
      <c r="U24" s="12">
        <v>10</v>
      </c>
      <c r="V24" s="12">
        <v>0</v>
      </c>
      <c r="W24" s="12">
        <v>2</v>
      </c>
      <c r="X24" s="12">
        <v>14</v>
      </c>
      <c r="Y24" s="12">
        <v>13</v>
      </c>
      <c r="Z24" s="12">
        <v>0</v>
      </c>
      <c r="AA24" s="12">
        <v>2</v>
      </c>
      <c r="AB24" s="12">
        <v>5</v>
      </c>
      <c r="AC24" s="12">
        <v>4</v>
      </c>
      <c r="AD24" s="12">
        <v>2</v>
      </c>
      <c r="AE24" s="12">
        <v>5</v>
      </c>
      <c r="AF24" s="12">
        <v>12</v>
      </c>
    </row>
    <row r="25" spans="1:32" x14ac:dyDescent="0.35">
      <c r="A25" s="31"/>
      <c r="B25" s="13" t="s">
        <v>408</v>
      </c>
      <c r="C25" s="14">
        <v>0.01</v>
      </c>
      <c r="D25" s="14">
        <v>0.01</v>
      </c>
      <c r="E25" s="15" t="s">
        <v>333</v>
      </c>
      <c r="F25" s="14">
        <v>0.01</v>
      </c>
      <c r="G25" s="14">
        <v>0.01</v>
      </c>
      <c r="H25" s="14">
        <v>0.01</v>
      </c>
      <c r="I25" s="14">
        <v>0.01</v>
      </c>
      <c r="J25" s="14">
        <v>0.01</v>
      </c>
      <c r="K25" s="14">
        <v>0.01</v>
      </c>
      <c r="L25" s="15" t="s">
        <v>333</v>
      </c>
      <c r="M25" s="15" t="s">
        <v>333</v>
      </c>
      <c r="N25" s="14">
        <v>0.01</v>
      </c>
      <c r="O25" s="15" t="s">
        <v>333</v>
      </c>
      <c r="P25" s="15" t="s">
        <v>333</v>
      </c>
      <c r="Q25" s="15" t="s">
        <v>333</v>
      </c>
      <c r="R25" s="14">
        <v>0.01</v>
      </c>
      <c r="S25" s="14">
        <v>0.01</v>
      </c>
      <c r="T25" s="14">
        <v>0.01</v>
      </c>
      <c r="U25" s="14">
        <v>0.02</v>
      </c>
      <c r="V25" s="15" t="s">
        <v>333</v>
      </c>
      <c r="W25" s="15" t="s">
        <v>333</v>
      </c>
      <c r="X25" s="14">
        <v>0.01</v>
      </c>
      <c r="Y25" s="14">
        <v>0.01</v>
      </c>
      <c r="Z25" s="15" t="s">
        <v>333</v>
      </c>
      <c r="AA25" s="15" t="s">
        <v>333</v>
      </c>
      <c r="AB25" s="14">
        <v>0.01</v>
      </c>
      <c r="AC25" s="15" t="s">
        <v>333</v>
      </c>
      <c r="AD25" s="15" t="s">
        <v>333</v>
      </c>
      <c r="AE25" s="14">
        <v>0.01</v>
      </c>
      <c r="AF25" s="14">
        <v>0.01</v>
      </c>
    </row>
    <row r="26" spans="1:32" ht="61.5" x14ac:dyDescent="0.35">
      <c r="A26" s="31"/>
      <c r="B26" s="11" t="s">
        <v>705</v>
      </c>
      <c r="C26" s="12">
        <v>17083</v>
      </c>
      <c r="D26" s="12">
        <v>439</v>
      </c>
      <c r="E26" s="12">
        <v>732</v>
      </c>
      <c r="F26" s="12">
        <v>625</v>
      </c>
      <c r="G26" s="12">
        <v>674</v>
      </c>
      <c r="H26" s="12">
        <v>728</v>
      </c>
      <c r="I26" s="12">
        <v>911</v>
      </c>
      <c r="J26" s="12">
        <v>183</v>
      </c>
      <c r="K26" s="12">
        <v>547</v>
      </c>
      <c r="L26" s="12">
        <v>516</v>
      </c>
      <c r="M26" s="12">
        <v>825</v>
      </c>
      <c r="N26" s="12">
        <v>761</v>
      </c>
      <c r="O26" s="12">
        <v>699</v>
      </c>
      <c r="P26" s="12">
        <v>528</v>
      </c>
      <c r="Q26" s="12">
        <v>694</v>
      </c>
      <c r="R26" s="12">
        <v>341</v>
      </c>
      <c r="S26" s="12">
        <v>679</v>
      </c>
      <c r="T26" s="12">
        <v>716</v>
      </c>
      <c r="U26" s="12">
        <v>308</v>
      </c>
      <c r="V26" s="12">
        <v>676</v>
      </c>
      <c r="W26" s="12">
        <v>270</v>
      </c>
      <c r="X26" s="12">
        <v>445</v>
      </c>
      <c r="Y26" s="12">
        <v>514</v>
      </c>
      <c r="Z26" s="12">
        <v>628</v>
      </c>
      <c r="AA26" s="12">
        <v>806</v>
      </c>
      <c r="AB26" s="12">
        <v>706</v>
      </c>
      <c r="AC26" s="12">
        <v>752</v>
      </c>
      <c r="AD26" s="12">
        <v>634</v>
      </c>
      <c r="AE26" s="12">
        <v>562</v>
      </c>
      <c r="AF26" s="12">
        <v>637</v>
      </c>
    </row>
    <row r="27" spans="1:32" ht="41.5" x14ac:dyDescent="0.35">
      <c r="A27" s="31"/>
      <c r="B27" s="13" t="s">
        <v>706</v>
      </c>
      <c r="C27" s="14">
        <v>0.65</v>
      </c>
      <c r="D27" s="14">
        <v>0.43</v>
      </c>
      <c r="E27" s="14">
        <v>0.70000000000000007</v>
      </c>
      <c r="F27" s="14">
        <v>0.61</v>
      </c>
      <c r="G27" s="14">
        <v>0.66</v>
      </c>
      <c r="H27" s="14">
        <v>0.59</v>
      </c>
      <c r="I27" s="14">
        <v>0.6</v>
      </c>
      <c r="J27" s="14">
        <v>0.62</v>
      </c>
      <c r="K27" s="14">
        <v>0.54</v>
      </c>
      <c r="L27" s="14">
        <v>0.51</v>
      </c>
      <c r="M27" s="14">
        <v>0.82000000000000006</v>
      </c>
      <c r="N27" s="14">
        <v>0.76</v>
      </c>
      <c r="O27" s="14">
        <v>0.70000000000000007</v>
      </c>
      <c r="P27" s="14">
        <v>0.53</v>
      </c>
      <c r="Q27" s="14">
        <v>0.67</v>
      </c>
      <c r="R27" s="14">
        <v>0.68</v>
      </c>
      <c r="S27" s="14">
        <v>0.67</v>
      </c>
      <c r="T27" s="14">
        <v>0.70000000000000007</v>
      </c>
      <c r="U27" s="14">
        <v>0.61</v>
      </c>
      <c r="V27" s="14">
        <v>0.67</v>
      </c>
      <c r="W27" s="14">
        <v>0.54</v>
      </c>
      <c r="X27" s="14">
        <v>0.44</v>
      </c>
      <c r="Y27" s="14">
        <v>0.51</v>
      </c>
      <c r="Z27" s="14">
        <v>0.62</v>
      </c>
      <c r="AA27" s="14">
        <v>0.78</v>
      </c>
      <c r="AB27" s="14">
        <v>0.67</v>
      </c>
      <c r="AC27" s="14">
        <v>0.74</v>
      </c>
      <c r="AD27" s="14">
        <v>0.63</v>
      </c>
      <c r="AE27" s="14">
        <v>0.56000000000000005</v>
      </c>
      <c r="AF27" s="14">
        <v>0.62</v>
      </c>
    </row>
    <row r="28" spans="1:32" x14ac:dyDescent="0.35">
      <c r="A28" s="31"/>
      <c r="B28" s="11" t="s">
        <v>344</v>
      </c>
      <c r="C28" s="12">
        <v>474</v>
      </c>
      <c r="D28" s="12">
        <v>27</v>
      </c>
      <c r="E28" s="12">
        <v>14</v>
      </c>
      <c r="F28" s="12">
        <v>26</v>
      </c>
      <c r="G28" s="12">
        <v>22</v>
      </c>
      <c r="H28" s="12">
        <v>23</v>
      </c>
      <c r="I28" s="12">
        <v>28</v>
      </c>
      <c r="J28" s="12">
        <v>5</v>
      </c>
      <c r="K28" s="12">
        <v>31</v>
      </c>
      <c r="L28" s="12">
        <v>36</v>
      </c>
      <c r="M28" s="12">
        <v>5</v>
      </c>
      <c r="N28" s="12">
        <v>22</v>
      </c>
      <c r="O28" s="12">
        <v>13</v>
      </c>
      <c r="P28" s="12">
        <v>34</v>
      </c>
      <c r="Q28" s="12">
        <v>6</v>
      </c>
      <c r="R28" s="12">
        <v>19</v>
      </c>
      <c r="S28" s="12">
        <v>20</v>
      </c>
      <c r="T28" s="12">
        <v>24</v>
      </c>
      <c r="U28" s="12">
        <v>9</v>
      </c>
      <c r="V28" s="12">
        <v>5</v>
      </c>
      <c r="W28" s="12">
        <v>11</v>
      </c>
      <c r="X28" s="12">
        <v>21</v>
      </c>
      <c r="Y28" s="12">
        <v>23</v>
      </c>
      <c r="Z28" s="12">
        <v>28</v>
      </c>
      <c r="AA28" s="12">
        <v>25</v>
      </c>
      <c r="AB28" s="12">
        <v>28</v>
      </c>
      <c r="AC28" s="12">
        <v>15</v>
      </c>
      <c r="AD28" s="12">
        <v>9</v>
      </c>
      <c r="AE28" s="12">
        <v>27</v>
      </c>
      <c r="AF28" s="12">
        <v>20</v>
      </c>
    </row>
    <row r="29" spans="1:32" x14ac:dyDescent="0.35">
      <c r="A29" s="31"/>
      <c r="B29" s="13" t="s">
        <v>357</v>
      </c>
      <c r="C29" s="14">
        <v>0.02</v>
      </c>
      <c r="D29" s="14">
        <v>0.03</v>
      </c>
      <c r="E29" s="14">
        <v>0.01</v>
      </c>
      <c r="F29" s="14">
        <v>0.03</v>
      </c>
      <c r="G29" s="14">
        <v>0.02</v>
      </c>
      <c r="H29" s="14">
        <v>0.02</v>
      </c>
      <c r="I29" s="14">
        <v>0.02</v>
      </c>
      <c r="J29" s="14">
        <v>0.02</v>
      </c>
      <c r="K29" s="14">
        <v>0.03</v>
      </c>
      <c r="L29" s="14">
        <v>0.04</v>
      </c>
      <c r="M29" s="14">
        <v>0.01</v>
      </c>
      <c r="N29" s="14">
        <v>0.02</v>
      </c>
      <c r="O29" s="14">
        <v>0.01</v>
      </c>
      <c r="P29" s="14">
        <v>0.03</v>
      </c>
      <c r="Q29" s="14">
        <v>0.01</v>
      </c>
      <c r="R29" s="14">
        <v>0.04</v>
      </c>
      <c r="S29" s="14">
        <v>0.02</v>
      </c>
      <c r="T29" s="14">
        <v>0.03</v>
      </c>
      <c r="U29" s="14">
        <v>0.02</v>
      </c>
      <c r="V29" s="15" t="s">
        <v>333</v>
      </c>
      <c r="W29" s="14">
        <v>0.02</v>
      </c>
      <c r="X29" s="14">
        <v>0.02</v>
      </c>
      <c r="Y29" s="14">
        <v>0.02</v>
      </c>
      <c r="Z29" s="14">
        <v>0.03</v>
      </c>
      <c r="AA29" s="14">
        <v>0.03</v>
      </c>
      <c r="AB29" s="14">
        <v>0.03</v>
      </c>
      <c r="AC29" s="14">
        <v>0.02</v>
      </c>
      <c r="AD29" s="14">
        <v>0.01</v>
      </c>
      <c r="AE29" s="14">
        <v>0.03</v>
      </c>
      <c r="AF29" s="14">
        <v>0.02</v>
      </c>
    </row>
    <row r="30" spans="1:32" x14ac:dyDescent="0.35">
      <c r="A30" s="31"/>
      <c r="B30" s="11" t="s">
        <v>366</v>
      </c>
      <c r="C30" s="12">
        <v>8853</v>
      </c>
      <c r="D30" s="12">
        <v>559</v>
      </c>
      <c r="E30" s="12">
        <v>293</v>
      </c>
      <c r="F30" s="12">
        <v>367</v>
      </c>
      <c r="G30" s="12">
        <v>322</v>
      </c>
      <c r="H30" s="12">
        <v>481</v>
      </c>
      <c r="I30" s="12">
        <v>591</v>
      </c>
      <c r="J30" s="12">
        <v>110</v>
      </c>
      <c r="K30" s="12">
        <v>432</v>
      </c>
      <c r="L30" s="12">
        <v>453</v>
      </c>
      <c r="M30" s="12">
        <v>173</v>
      </c>
      <c r="N30" s="12">
        <v>216</v>
      </c>
      <c r="O30" s="12">
        <v>288</v>
      </c>
      <c r="P30" s="12">
        <v>442</v>
      </c>
      <c r="Q30" s="12">
        <v>334</v>
      </c>
      <c r="R30" s="12">
        <v>142</v>
      </c>
      <c r="S30" s="12">
        <v>322</v>
      </c>
      <c r="T30" s="12">
        <v>277</v>
      </c>
      <c r="U30" s="12">
        <v>192</v>
      </c>
      <c r="V30" s="12">
        <v>333</v>
      </c>
      <c r="W30" s="12">
        <v>220</v>
      </c>
      <c r="X30" s="12">
        <v>544</v>
      </c>
      <c r="Y30" s="12">
        <v>467</v>
      </c>
      <c r="Z30" s="12">
        <v>363</v>
      </c>
      <c r="AA30" s="12">
        <v>199</v>
      </c>
      <c r="AB30" s="12">
        <v>321</v>
      </c>
      <c r="AC30" s="12">
        <v>246</v>
      </c>
      <c r="AD30" s="12">
        <v>361</v>
      </c>
      <c r="AE30" s="12">
        <v>418</v>
      </c>
      <c r="AF30" s="12">
        <v>363</v>
      </c>
    </row>
    <row r="31" spans="1:32" x14ac:dyDescent="0.35">
      <c r="A31" s="31"/>
      <c r="B31" s="13" t="s">
        <v>367</v>
      </c>
      <c r="C31" s="14">
        <v>0.33</v>
      </c>
      <c r="D31" s="14">
        <v>0.54</v>
      </c>
      <c r="E31" s="14">
        <v>0.28000000000000003</v>
      </c>
      <c r="F31" s="14">
        <v>0.36</v>
      </c>
      <c r="G31" s="14">
        <v>0.32</v>
      </c>
      <c r="H31" s="14">
        <v>0.39</v>
      </c>
      <c r="I31" s="14">
        <v>0.39</v>
      </c>
      <c r="J31" s="14">
        <v>0.37</v>
      </c>
      <c r="K31" s="14">
        <v>0.43</v>
      </c>
      <c r="L31" s="14">
        <v>0.45</v>
      </c>
      <c r="M31" s="14">
        <v>0.17</v>
      </c>
      <c r="N31" s="14">
        <v>0.22</v>
      </c>
      <c r="O31" s="14">
        <v>0.28999999999999998</v>
      </c>
      <c r="P31" s="14">
        <v>0.44</v>
      </c>
      <c r="Q31" s="14">
        <v>0.32</v>
      </c>
      <c r="R31" s="14">
        <v>0.28000000000000003</v>
      </c>
      <c r="S31" s="14">
        <v>0.31</v>
      </c>
      <c r="T31" s="14">
        <v>0.27</v>
      </c>
      <c r="U31" s="14">
        <v>0.38</v>
      </c>
      <c r="V31" s="14">
        <v>0.33</v>
      </c>
      <c r="W31" s="14">
        <v>0.44</v>
      </c>
      <c r="X31" s="14">
        <v>0.54</v>
      </c>
      <c r="Y31" s="14">
        <v>0.47</v>
      </c>
      <c r="Z31" s="14">
        <v>0.36</v>
      </c>
      <c r="AA31" s="14">
        <v>0.19</v>
      </c>
      <c r="AB31" s="14">
        <v>0.3</v>
      </c>
      <c r="AC31" s="14">
        <v>0.24</v>
      </c>
      <c r="AD31" s="14">
        <v>0.36</v>
      </c>
      <c r="AE31" s="14">
        <v>0.41</v>
      </c>
      <c r="AF31" s="14">
        <v>0.36</v>
      </c>
    </row>
    <row r="32" spans="1:32" x14ac:dyDescent="0.35">
      <c r="A32" s="31"/>
      <c r="B32" s="11" t="s">
        <v>368</v>
      </c>
      <c r="C32" s="12">
        <v>17083</v>
      </c>
      <c r="D32" s="12">
        <v>439</v>
      </c>
      <c r="E32" s="12">
        <v>732</v>
      </c>
      <c r="F32" s="12">
        <v>625</v>
      </c>
      <c r="G32" s="12">
        <v>674</v>
      </c>
      <c r="H32" s="12">
        <v>728</v>
      </c>
      <c r="I32" s="12">
        <v>911</v>
      </c>
      <c r="J32" s="12">
        <v>183</v>
      </c>
      <c r="K32" s="12">
        <v>547</v>
      </c>
      <c r="L32" s="12">
        <v>516</v>
      </c>
      <c r="M32" s="12">
        <v>825</v>
      </c>
      <c r="N32" s="12">
        <v>761</v>
      </c>
      <c r="O32" s="12">
        <v>699</v>
      </c>
      <c r="P32" s="12">
        <v>528</v>
      </c>
      <c r="Q32" s="12">
        <v>694</v>
      </c>
      <c r="R32" s="12">
        <v>341</v>
      </c>
      <c r="S32" s="12">
        <v>679</v>
      </c>
      <c r="T32" s="12">
        <v>716</v>
      </c>
      <c r="U32" s="12">
        <v>308</v>
      </c>
      <c r="V32" s="12">
        <v>676</v>
      </c>
      <c r="W32" s="12">
        <v>270</v>
      </c>
      <c r="X32" s="12">
        <v>445</v>
      </c>
      <c r="Y32" s="12">
        <v>514</v>
      </c>
      <c r="Z32" s="12">
        <v>628</v>
      </c>
      <c r="AA32" s="12">
        <v>806</v>
      </c>
      <c r="AB32" s="12">
        <v>706</v>
      </c>
      <c r="AC32" s="12">
        <v>752</v>
      </c>
      <c r="AD32" s="12">
        <v>634</v>
      </c>
      <c r="AE32" s="12">
        <v>562</v>
      </c>
      <c r="AF32" s="12">
        <v>637</v>
      </c>
    </row>
    <row r="33" spans="1:32" x14ac:dyDescent="0.35">
      <c r="A33" s="31"/>
      <c r="B33" s="13" t="s">
        <v>369</v>
      </c>
      <c r="C33" s="14">
        <v>0.65</v>
      </c>
      <c r="D33" s="14">
        <v>0.43</v>
      </c>
      <c r="E33" s="14">
        <v>0.71</v>
      </c>
      <c r="F33" s="14">
        <v>0.61</v>
      </c>
      <c r="G33" s="14">
        <v>0.66</v>
      </c>
      <c r="H33" s="14">
        <v>0.59</v>
      </c>
      <c r="I33" s="14">
        <v>0.59</v>
      </c>
      <c r="J33" s="14">
        <v>0.61</v>
      </c>
      <c r="K33" s="14">
        <v>0.54</v>
      </c>
      <c r="L33" s="14">
        <v>0.51</v>
      </c>
      <c r="M33" s="14">
        <v>0.82000000000000006</v>
      </c>
      <c r="N33" s="14">
        <v>0.76</v>
      </c>
      <c r="O33" s="14">
        <v>0.70000000000000007</v>
      </c>
      <c r="P33" s="14">
        <v>0.53</v>
      </c>
      <c r="Q33" s="14">
        <v>0.67</v>
      </c>
      <c r="R33" s="14">
        <v>0.68</v>
      </c>
      <c r="S33" s="14">
        <v>0.67</v>
      </c>
      <c r="T33" s="14">
        <v>0.70000000000000007</v>
      </c>
      <c r="U33" s="14">
        <v>0.6</v>
      </c>
      <c r="V33" s="14">
        <v>0.67</v>
      </c>
      <c r="W33" s="14">
        <v>0.54</v>
      </c>
      <c r="X33" s="14">
        <v>0.44</v>
      </c>
      <c r="Y33" s="14">
        <v>0.51</v>
      </c>
      <c r="Z33" s="14">
        <v>0.61</v>
      </c>
      <c r="AA33" s="14">
        <v>0.78</v>
      </c>
      <c r="AB33" s="14">
        <v>0.67</v>
      </c>
      <c r="AC33" s="14">
        <v>0.74</v>
      </c>
      <c r="AD33" s="14">
        <v>0.63</v>
      </c>
      <c r="AE33" s="14">
        <v>0.56000000000000005</v>
      </c>
      <c r="AF33" s="14">
        <v>0.62</v>
      </c>
    </row>
    <row r="34" spans="1:32" x14ac:dyDescent="0.35">
      <c r="A34" s="32"/>
    </row>
    <row r="35" spans="1:32" x14ac:dyDescent="0.35">
      <c r="A35" s="32"/>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4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707</v>
      </c>
      <c r="C3" s="30"/>
      <c r="D3" s="30"/>
      <c r="E3" s="30"/>
      <c r="F3" s="30"/>
      <c r="H3" s="30" t="s">
        <v>708</v>
      </c>
      <c r="I3" s="30"/>
      <c r="J3" s="30"/>
      <c r="K3" s="30"/>
      <c r="L3" s="30"/>
    </row>
    <row r="4" spans="1:32" ht="27" customHeight="1" x14ac:dyDescent="0.35">
      <c r="B4" s="30" t="s">
        <v>709</v>
      </c>
      <c r="C4" s="30"/>
      <c r="D4" s="30"/>
      <c r="E4" s="30"/>
      <c r="F4" s="30"/>
      <c r="H4" s="30" t="s">
        <v>710</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711</v>
      </c>
      <c r="C12" s="12">
        <v>1344</v>
      </c>
      <c r="D12" s="12">
        <v>42</v>
      </c>
      <c r="E12" s="12">
        <v>97</v>
      </c>
      <c r="F12" s="12">
        <v>119</v>
      </c>
      <c r="G12" s="12">
        <v>82</v>
      </c>
      <c r="H12" s="12">
        <v>66</v>
      </c>
      <c r="I12" s="12">
        <v>95</v>
      </c>
      <c r="J12" s="12">
        <v>29</v>
      </c>
      <c r="K12" s="12">
        <v>110</v>
      </c>
      <c r="L12" s="12">
        <v>51</v>
      </c>
      <c r="M12" s="12">
        <v>75</v>
      </c>
      <c r="N12" s="12">
        <v>39</v>
      </c>
      <c r="O12" s="12">
        <v>58</v>
      </c>
      <c r="P12" s="12">
        <v>25</v>
      </c>
      <c r="Q12" s="12">
        <v>46</v>
      </c>
      <c r="R12" s="12">
        <v>12</v>
      </c>
      <c r="S12" s="12">
        <v>69</v>
      </c>
      <c r="T12" s="12">
        <v>94</v>
      </c>
      <c r="U12" s="12">
        <v>21</v>
      </c>
      <c r="V12" s="12">
        <v>36</v>
      </c>
      <c r="W12" s="12">
        <v>11</v>
      </c>
      <c r="X12" s="12">
        <v>16</v>
      </c>
      <c r="Y12" s="12">
        <v>52</v>
      </c>
      <c r="Z12" s="12">
        <v>22</v>
      </c>
      <c r="AA12" s="12">
        <v>21</v>
      </c>
      <c r="AB12" s="12">
        <v>28</v>
      </c>
      <c r="AC12" s="12">
        <v>127</v>
      </c>
      <c r="AD12" s="12">
        <v>58</v>
      </c>
      <c r="AE12" s="12">
        <v>64</v>
      </c>
      <c r="AF12" s="12">
        <v>106</v>
      </c>
    </row>
    <row r="13" spans="1:32" x14ac:dyDescent="0.35">
      <c r="A13" s="31"/>
      <c r="B13" s="13" t="s">
        <v>712</v>
      </c>
      <c r="C13" s="14">
        <v>0.05</v>
      </c>
      <c r="D13" s="14">
        <v>0.04</v>
      </c>
      <c r="E13" s="14">
        <v>0.09</v>
      </c>
      <c r="F13" s="14">
        <v>0.11</v>
      </c>
      <c r="G13" s="14">
        <v>0.08</v>
      </c>
      <c r="H13" s="14">
        <v>0.05</v>
      </c>
      <c r="I13" s="14">
        <v>0.06</v>
      </c>
      <c r="J13" s="14">
        <v>0.1</v>
      </c>
      <c r="K13" s="14">
        <v>0.11</v>
      </c>
      <c r="L13" s="14">
        <v>0.05</v>
      </c>
      <c r="M13" s="14">
        <v>7.0000000000000007E-2</v>
      </c>
      <c r="N13" s="14">
        <v>0.04</v>
      </c>
      <c r="O13" s="14">
        <v>0.06</v>
      </c>
      <c r="P13" s="14">
        <v>0.02</v>
      </c>
      <c r="Q13" s="14">
        <v>0.05</v>
      </c>
      <c r="R13" s="14">
        <v>0.03</v>
      </c>
      <c r="S13" s="14">
        <v>7.0000000000000007E-2</v>
      </c>
      <c r="T13" s="14">
        <v>0.09</v>
      </c>
      <c r="U13" s="14">
        <v>0.04</v>
      </c>
      <c r="V13" s="14">
        <v>0.04</v>
      </c>
      <c r="W13" s="14">
        <v>0.02</v>
      </c>
      <c r="X13" s="14">
        <v>0.02</v>
      </c>
      <c r="Y13" s="14">
        <v>0.05</v>
      </c>
      <c r="Z13" s="14">
        <v>0.02</v>
      </c>
      <c r="AA13" s="14">
        <v>0.02</v>
      </c>
      <c r="AB13" s="14">
        <v>0.03</v>
      </c>
      <c r="AC13" s="14">
        <v>0.12</v>
      </c>
      <c r="AD13" s="14">
        <v>0.06</v>
      </c>
      <c r="AE13" s="14">
        <v>0.06</v>
      </c>
      <c r="AF13" s="14">
        <v>0.1</v>
      </c>
    </row>
    <row r="14" spans="1:32" x14ac:dyDescent="0.35">
      <c r="A14" s="31"/>
      <c r="B14" s="11" t="s">
        <v>713</v>
      </c>
      <c r="C14" s="12">
        <v>624</v>
      </c>
      <c r="D14" s="12">
        <v>15</v>
      </c>
      <c r="E14" s="12">
        <v>12</v>
      </c>
      <c r="F14" s="12">
        <v>28</v>
      </c>
      <c r="G14" s="12">
        <v>47</v>
      </c>
      <c r="H14" s="12">
        <v>44</v>
      </c>
      <c r="I14" s="12">
        <v>52</v>
      </c>
      <c r="J14" s="12">
        <v>8</v>
      </c>
      <c r="K14" s="12">
        <v>55</v>
      </c>
      <c r="L14" s="12">
        <v>19</v>
      </c>
      <c r="M14" s="12">
        <v>24</v>
      </c>
      <c r="N14" s="12">
        <v>18</v>
      </c>
      <c r="O14" s="12">
        <v>26</v>
      </c>
      <c r="P14" s="12">
        <v>11</v>
      </c>
      <c r="Q14" s="12">
        <v>19</v>
      </c>
      <c r="R14" s="12">
        <v>2</v>
      </c>
      <c r="S14" s="12">
        <v>36</v>
      </c>
      <c r="T14" s="12">
        <v>18</v>
      </c>
      <c r="U14" s="12">
        <v>7</v>
      </c>
      <c r="V14" s="12">
        <v>12</v>
      </c>
      <c r="W14" s="12">
        <v>9</v>
      </c>
      <c r="X14" s="12">
        <v>11</v>
      </c>
      <c r="Y14" s="12">
        <v>21</v>
      </c>
      <c r="Z14" s="12">
        <v>17</v>
      </c>
      <c r="AA14" s="12">
        <v>20</v>
      </c>
      <c r="AB14" s="12">
        <v>19</v>
      </c>
      <c r="AC14" s="12">
        <v>22</v>
      </c>
      <c r="AD14" s="12">
        <v>18</v>
      </c>
      <c r="AE14" s="12">
        <v>36</v>
      </c>
      <c r="AF14" s="12">
        <v>57</v>
      </c>
    </row>
    <row r="15" spans="1:32" x14ac:dyDescent="0.35">
      <c r="A15" s="31"/>
      <c r="B15" s="13" t="s">
        <v>713</v>
      </c>
      <c r="C15" s="14">
        <v>0.02</v>
      </c>
      <c r="D15" s="14">
        <v>0.02</v>
      </c>
      <c r="E15" s="14">
        <v>0.01</v>
      </c>
      <c r="F15" s="14">
        <v>0.03</v>
      </c>
      <c r="G15" s="14">
        <v>0.05</v>
      </c>
      <c r="H15" s="14">
        <v>0.04</v>
      </c>
      <c r="I15" s="14">
        <v>0.03</v>
      </c>
      <c r="J15" s="14">
        <v>0.03</v>
      </c>
      <c r="K15" s="14">
        <v>0.05</v>
      </c>
      <c r="L15" s="14">
        <v>0.02</v>
      </c>
      <c r="M15" s="14">
        <v>0.02</v>
      </c>
      <c r="N15" s="14">
        <v>0.02</v>
      </c>
      <c r="O15" s="14">
        <v>0.02</v>
      </c>
      <c r="P15" s="14">
        <v>0.01</v>
      </c>
      <c r="Q15" s="14">
        <v>0.02</v>
      </c>
      <c r="R15" s="15" t="s">
        <v>333</v>
      </c>
      <c r="S15" s="14">
        <v>0.03</v>
      </c>
      <c r="T15" s="14">
        <v>0.02</v>
      </c>
      <c r="U15" s="14">
        <v>0.01</v>
      </c>
      <c r="V15" s="14">
        <v>0.01</v>
      </c>
      <c r="W15" s="14">
        <v>0.02</v>
      </c>
      <c r="X15" s="14">
        <v>0.01</v>
      </c>
      <c r="Y15" s="14">
        <v>0.02</v>
      </c>
      <c r="Z15" s="14">
        <v>0.02</v>
      </c>
      <c r="AA15" s="14">
        <v>0.02</v>
      </c>
      <c r="AB15" s="14">
        <v>0.02</v>
      </c>
      <c r="AC15" s="14">
        <v>0.02</v>
      </c>
      <c r="AD15" s="14">
        <v>0.02</v>
      </c>
      <c r="AE15" s="14">
        <v>0.04</v>
      </c>
      <c r="AF15" s="14">
        <v>0.06</v>
      </c>
    </row>
    <row r="16" spans="1:32" x14ac:dyDescent="0.35">
      <c r="A16" s="31"/>
      <c r="B16" s="11" t="s">
        <v>714</v>
      </c>
      <c r="C16" s="12">
        <v>1127</v>
      </c>
      <c r="D16" s="12">
        <v>17</v>
      </c>
      <c r="E16" s="12">
        <v>52</v>
      </c>
      <c r="F16" s="12">
        <v>70</v>
      </c>
      <c r="G16" s="12">
        <v>60</v>
      </c>
      <c r="H16" s="12">
        <v>65</v>
      </c>
      <c r="I16" s="12">
        <v>90</v>
      </c>
      <c r="J16" s="12">
        <v>25</v>
      </c>
      <c r="K16" s="12">
        <v>51</v>
      </c>
      <c r="L16" s="12">
        <v>27</v>
      </c>
      <c r="M16" s="12">
        <v>42</v>
      </c>
      <c r="N16" s="12">
        <v>35</v>
      </c>
      <c r="O16" s="12">
        <v>49</v>
      </c>
      <c r="P16" s="12">
        <v>39</v>
      </c>
      <c r="Q16" s="12">
        <v>32</v>
      </c>
      <c r="R16" s="12">
        <v>6</v>
      </c>
      <c r="S16" s="12">
        <v>31</v>
      </c>
      <c r="T16" s="12">
        <v>55</v>
      </c>
      <c r="U16" s="12">
        <v>12</v>
      </c>
      <c r="V16" s="12">
        <v>17</v>
      </c>
      <c r="W16" s="12">
        <v>8</v>
      </c>
      <c r="X16" s="12">
        <v>45</v>
      </c>
      <c r="Y16" s="12">
        <v>40</v>
      </c>
      <c r="Z16" s="12">
        <v>25</v>
      </c>
      <c r="AA16" s="12">
        <v>45</v>
      </c>
      <c r="AB16" s="12">
        <v>26</v>
      </c>
      <c r="AC16" s="12">
        <v>68</v>
      </c>
      <c r="AD16" s="12">
        <v>39</v>
      </c>
      <c r="AE16" s="12">
        <v>70</v>
      </c>
      <c r="AF16" s="12">
        <v>77</v>
      </c>
    </row>
    <row r="17" spans="1:32" x14ac:dyDescent="0.35">
      <c r="A17" s="31"/>
      <c r="B17" s="13" t="s">
        <v>714</v>
      </c>
      <c r="C17" s="14">
        <v>0.04</v>
      </c>
      <c r="D17" s="14">
        <v>0.02</v>
      </c>
      <c r="E17" s="14">
        <v>0.05</v>
      </c>
      <c r="F17" s="14">
        <v>7.0000000000000007E-2</v>
      </c>
      <c r="G17" s="14">
        <v>0.06</v>
      </c>
      <c r="H17" s="14">
        <v>0.05</v>
      </c>
      <c r="I17" s="14">
        <v>0.06</v>
      </c>
      <c r="J17" s="14">
        <v>0.08</v>
      </c>
      <c r="K17" s="14">
        <v>0.05</v>
      </c>
      <c r="L17" s="14">
        <v>0.03</v>
      </c>
      <c r="M17" s="14">
        <v>0.04</v>
      </c>
      <c r="N17" s="14">
        <v>0.03</v>
      </c>
      <c r="O17" s="14">
        <v>0.05</v>
      </c>
      <c r="P17" s="14">
        <v>0.04</v>
      </c>
      <c r="Q17" s="14">
        <v>0.03</v>
      </c>
      <c r="R17" s="14">
        <v>0.01</v>
      </c>
      <c r="S17" s="14">
        <v>0.03</v>
      </c>
      <c r="T17" s="14">
        <v>0.06</v>
      </c>
      <c r="U17" s="14">
        <v>0.02</v>
      </c>
      <c r="V17" s="14">
        <v>0.02</v>
      </c>
      <c r="W17" s="14">
        <v>0.02</v>
      </c>
      <c r="X17" s="14">
        <v>0.05</v>
      </c>
      <c r="Y17" s="14">
        <v>0.04</v>
      </c>
      <c r="Z17" s="14">
        <v>0.03</v>
      </c>
      <c r="AA17" s="14">
        <v>0.04</v>
      </c>
      <c r="AB17" s="14">
        <v>0.02</v>
      </c>
      <c r="AC17" s="14">
        <v>7.0000000000000007E-2</v>
      </c>
      <c r="AD17" s="14">
        <v>0.04</v>
      </c>
      <c r="AE17" s="14">
        <v>7.0000000000000007E-2</v>
      </c>
      <c r="AF17" s="14">
        <v>7.0000000000000007E-2</v>
      </c>
    </row>
    <row r="18" spans="1:32" x14ac:dyDescent="0.35">
      <c r="A18" s="31"/>
      <c r="B18" s="11" t="s">
        <v>715</v>
      </c>
      <c r="C18" s="12">
        <v>1060</v>
      </c>
      <c r="D18" s="12">
        <v>41</v>
      </c>
      <c r="E18" s="12">
        <v>60</v>
      </c>
      <c r="F18" s="12">
        <v>50</v>
      </c>
      <c r="G18" s="12">
        <v>49</v>
      </c>
      <c r="H18" s="12">
        <v>46</v>
      </c>
      <c r="I18" s="12">
        <v>66</v>
      </c>
      <c r="J18" s="12">
        <v>20</v>
      </c>
      <c r="K18" s="12">
        <v>59</v>
      </c>
      <c r="L18" s="12">
        <v>24</v>
      </c>
      <c r="M18" s="12">
        <v>52</v>
      </c>
      <c r="N18" s="12">
        <v>22</v>
      </c>
      <c r="O18" s="12">
        <v>46</v>
      </c>
      <c r="P18" s="12">
        <v>38</v>
      </c>
      <c r="Q18" s="12">
        <v>33</v>
      </c>
      <c r="R18" s="12">
        <v>19</v>
      </c>
      <c r="S18" s="12">
        <v>37</v>
      </c>
      <c r="T18" s="12">
        <v>43</v>
      </c>
      <c r="U18" s="12">
        <v>10</v>
      </c>
      <c r="V18" s="12">
        <v>34</v>
      </c>
      <c r="W18" s="12">
        <v>12</v>
      </c>
      <c r="X18" s="12">
        <v>43</v>
      </c>
      <c r="Y18" s="12">
        <v>55</v>
      </c>
      <c r="Z18" s="12">
        <v>46</v>
      </c>
      <c r="AA18" s="12">
        <v>26</v>
      </c>
      <c r="AB18" s="12">
        <v>48</v>
      </c>
      <c r="AC18" s="12">
        <v>32</v>
      </c>
      <c r="AD18" s="12">
        <v>43</v>
      </c>
      <c r="AE18" s="12">
        <v>55</v>
      </c>
      <c r="AF18" s="12">
        <v>57</v>
      </c>
    </row>
    <row r="19" spans="1:32" x14ac:dyDescent="0.35">
      <c r="A19" s="31"/>
      <c r="B19" s="13" t="s">
        <v>715</v>
      </c>
      <c r="C19" s="14">
        <v>0.04</v>
      </c>
      <c r="D19" s="14">
        <v>0.04</v>
      </c>
      <c r="E19" s="14">
        <v>0.06</v>
      </c>
      <c r="F19" s="14">
        <v>0.05</v>
      </c>
      <c r="G19" s="14">
        <v>0.05</v>
      </c>
      <c r="H19" s="14">
        <v>0.04</v>
      </c>
      <c r="I19" s="14">
        <v>0.04</v>
      </c>
      <c r="J19" s="14">
        <v>7.0000000000000007E-2</v>
      </c>
      <c r="K19" s="14">
        <v>0.06</v>
      </c>
      <c r="L19" s="14">
        <v>0.02</v>
      </c>
      <c r="M19" s="14">
        <v>0.05</v>
      </c>
      <c r="N19" s="14">
        <v>0.02</v>
      </c>
      <c r="O19" s="14">
        <v>0.04</v>
      </c>
      <c r="P19" s="14">
        <v>0.04</v>
      </c>
      <c r="Q19" s="14">
        <v>0.03</v>
      </c>
      <c r="R19" s="14">
        <v>0.04</v>
      </c>
      <c r="S19" s="14">
        <v>0.04</v>
      </c>
      <c r="T19" s="14">
        <v>0.04</v>
      </c>
      <c r="U19" s="14">
        <v>0.02</v>
      </c>
      <c r="V19" s="14">
        <v>0.03</v>
      </c>
      <c r="W19" s="14">
        <v>0.02</v>
      </c>
      <c r="X19" s="14">
        <v>0.04</v>
      </c>
      <c r="Y19" s="14">
        <v>0.05</v>
      </c>
      <c r="Z19" s="14">
        <v>0.05</v>
      </c>
      <c r="AA19" s="14">
        <v>0.02</v>
      </c>
      <c r="AB19" s="14">
        <v>0.05</v>
      </c>
      <c r="AC19" s="14">
        <v>0.03</v>
      </c>
      <c r="AD19" s="14">
        <v>0.04</v>
      </c>
      <c r="AE19" s="14">
        <v>0.05</v>
      </c>
      <c r="AF19" s="14">
        <v>0.06</v>
      </c>
    </row>
    <row r="20" spans="1:32" x14ac:dyDescent="0.35">
      <c r="A20" s="31"/>
      <c r="B20" s="11" t="s">
        <v>716</v>
      </c>
      <c r="C20" s="12">
        <v>2848</v>
      </c>
      <c r="D20" s="12">
        <v>137</v>
      </c>
      <c r="E20" s="12">
        <v>95</v>
      </c>
      <c r="F20" s="12">
        <v>151</v>
      </c>
      <c r="G20" s="12">
        <v>100</v>
      </c>
      <c r="H20" s="12">
        <v>124</v>
      </c>
      <c r="I20" s="12">
        <v>166</v>
      </c>
      <c r="J20" s="12">
        <v>42</v>
      </c>
      <c r="K20" s="12">
        <v>149</v>
      </c>
      <c r="L20" s="12">
        <v>88</v>
      </c>
      <c r="M20" s="12">
        <v>121</v>
      </c>
      <c r="N20" s="12">
        <v>106</v>
      </c>
      <c r="O20" s="12">
        <v>147</v>
      </c>
      <c r="P20" s="12">
        <v>93</v>
      </c>
      <c r="Q20" s="12">
        <v>57</v>
      </c>
      <c r="R20" s="12">
        <v>46</v>
      </c>
      <c r="S20" s="12">
        <v>150</v>
      </c>
      <c r="T20" s="12">
        <v>144</v>
      </c>
      <c r="U20" s="12">
        <v>39</v>
      </c>
      <c r="V20" s="12">
        <v>82</v>
      </c>
      <c r="W20" s="12">
        <v>22</v>
      </c>
      <c r="X20" s="12">
        <v>94</v>
      </c>
      <c r="Y20" s="12">
        <v>107</v>
      </c>
      <c r="Z20" s="12">
        <v>94</v>
      </c>
      <c r="AA20" s="12">
        <v>134</v>
      </c>
      <c r="AB20" s="12">
        <v>133</v>
      </c>
      <c r="AC20" s="12">
        <v>167</v>
      </c>
      <c r="AD20" s="12">
        <v>101</v>
      </c>
      <c r="AE20" s="12">
        <v>102</v>
      </c>
      <c r="AF20" s="12">
        <v>151</v>
      </c>
    </row>
    <row r="21" spans="1:32" x14ac:dyDescent="0.35">
      <c r="A21" s="31"/>
      <c r="B21" s="13" t="s">
        <v>716</v>
      </c>
      <c r="C21" s="14">
        <v>0.11</v>
      </c>
      <c r="D21" s="14">
        <v>0.13</v>
      </c>
      <c r="E21" s="14">
        <v>0.09</v>
      </c>
      <c r="F21" s="14">
        <v>0.15</v>
      </c>
      <c r="G21" s="14">
        <v>0.1</v>
      </c>
      <c r="H21" s="14">
        <v>0.1</v>
      </c>
      <c r="I21" s="14">
        <v>0.11</v>
      </c>
      <c r="J21" s="14">
        <v>0.14000000000000001</v>
      </c>
      <c r="K21" s="14">
        <v>0.15</v>
      </c>
      <c r="L21" s="14">
        <v>0.09</v>
      </c>
      <c r="M21" s="14">
        <v>0.12</v>
      </c>
      <c r="N21" s="14">
        <v>0.11</v>
      </c>
      <c r="O21" s="14">
        <v>0.15</v>
      </c>
      <c r="P21" s="14">
        <v>0.09</v>
      </c>
      <c r="Q21" s="14">
        <v>0.06</v>
      </c>
      <c r="R21" s="14">
        <v>0.09</v>
      </c>
      <c r="S21" s="14">
        <v>0.15</v>
      </c>
      <c r="T21" s="14">
        <v>0.14000000000000001</v>
      </c>
      <c r="U21" s="14">
        <v>0.08</v>
      </c>
      <c r="V21" s="14">
        <v>0.08</v>
      </c>
      <c r="W21" s="14">
        <v>0.04</v>
      </c>
      <c r="X21" s="14">
        <v>0.09</v>
      </c>
      <c r="Y21" s="14">
        <v>0.11</v>
      </c>
      <c r="Z21" s="14">
        <v>0.09</v>
      </c>
      <c r="AA21" s="14">
        <v>0.13</v>
      </c>
      <c r="AB21" s="14">
        <v>0.13</v>
      </c>
      <c r="AC21" s="14">
        <v>0.17</v>
      </c>
      <c r="AD21" s="14">
        <v>0.1</v>
      </c>
      <c r="AE21" s="14">
        <v>0.1</v>
      </c>
      <c r="AF21" s="14">
        <v>0.15</v>
      </c>
    </row>
    <row r="22" spans="1:32" x14ac:dyDescent="0.35">
      <c r="A22" s="31"/>
      <c r="B22" s="11" t="s">
        <v>717</v>
      </c>
      <c r="C22" s="12">
        <v>2500</v>
      </c>
      <c r="D22" s="12">
        <v>116</v>
      </c>
      <c r="E22" s="12">
        <v>108</v>
      </c>
      <c r="F22" s="12">
        <v>79</v>
      </c>
      <c r="G22" s="12">
        <v>83</v>
      </c>
      <c r="H22" s="12">
        <v>101</v>
      </c>
      <c r="I22" s="12">
        <v>132</v>
      </c>
      <c r="J22" s="12">
        <v>31</v>
      </c>
      <c r="K22" s="12">
        <v>96</v>
      </c>
      <c r="L22" s="12">
        <v>64</v>
      </c>
      <c r="M22" s="12">
        <v>79</v>
      </c>
      <c r="N22" s="12">
        <v>93</v>
      </c>
      <c r="O22" s="12">
        <v>80</v>
      </c>
      <c r="P22" s="12">
        <v>99</v>
      </c>
      <c r="Q22" s="12">
        <v>125</v>
      </c>
      <c r="R22" s="12">
        <v>49</v>
      </c>
      <c r="S22" s="12">
        <v>84</v>
      </c>
      <c r="T22" s="12">
        <v>71</v>
      </c>
      <c r="U22" s="12">
        <v>35</v>
      </c>
      <c r="V22" s="12">
        <v>91</v>
      </c>
      <c r="W22" s="12">
        <v>20</v>
      </c>
      <c r="X22" s="12">
        <v>107</v>
      </c>
      <c r="Y22" s="12">
        <v>95</v>
      </c>
      <c r="Z22" s="12">
        <v>125</v>
      </c>
      <c r="AA22" s="12">
        <v>69</v>
      </c>
      <c r="AB22" s="12">
        <v>100</v>
      </c>
      <c r="AC22" s="12">
        <v>91</v>
      </c>
      <c r="AD22" s="12">
        <v>75</v>
      </c>
      <c r="AE22" s="12">
        <v>99</v>
      </c>
      <c r="AF22" s="12">
        <v>81</v>
      </c>
    </row>
    <row r="23" spans="1:32" x14ac:dyDescent="0.35">
      <c r="A23" s="31"/>
      <c r="B23" s="13" t="s">
        <v>717</v>
      </c>
      <c r="C23" s="14">
        <v>0.1</v>
      </c>
      <c r="D23" s="14">
        <v>0.11</v>
      </c>
      <c r="E23" s="14">
        <v>0.11</v>
      </c>
      <c r="F23" s="14">
        <v>0.08</v>
      </c>
      <c r="G23" s="14">
        <v>0.08</v>
      </c>
      <c r="H23" s="14">
        <v>0.08</v>
      </c>
      <c r="I23" s="14">
        <v>0.09</v>
      </c>
      <c r="J23" s="14">
        <v>0.1</v>
      </c>
      <c r="K23" s="14">
        <v>0.09</v>
      </c>
      <c r="L23" s="14">
        <v>0.06</v>
      </c>
      <c r="M23" s="14">
        <v>0.08</v>
      </c>
      <c r="N23" s="14">
        <v>0.09</v>
      </c>
      <c r="O23" s="14">
        <v>0.08</v>
      </c>
      <c r="P23" s="14">
        <v>0.1</v>
      </c>
      <c r="Q23" s="14">
        <v>0.12</v>
      </c>
      <c r="R23" s="14">
        <v>0.1</v>
      </c>
      <c r="S23" s="14">
        <v>0.08</v>
      </c>
      <c r="T23" s="14">
        <v>7.0000000000000007E-2</v>
      </c>
      <c r="U23" s="14">
        <v>7.0000000000000007E-2</v>
      </c>
      <c r="V23" s="14">
        <v>0.09</v>
      </c>
      <c r="W23" s="14">
        <v>0.04</v>
      </c>
      <c r="X23" s="14">
        <v>0.11</v>
      </c>
      <c r="Y23" s="14">
        <v>0.1</v>
      </c>
      <c r="Z23" s="14">
        <v>0.12</v>
      </c>
      <c r="AA23" s="14">
        <v>7.0000000000000007E-2</v>
      </c>
      <c r="AB23" s="14">
        <v>0.09</v>
      </c>
      <c r="AC23" s="14">
        <v>0.09</v>
      </c>
      <c r="AD23" s="14">
        <v>7.0000000000000007E-2</v>
      </c>
      <c r="AE23" s="14">
        <v>0.1</v>
      </c>
      <c r="AF23" s="14">
        <v>0.08</v>
      </c>
    </row>
    <row r="24" spans="1:32" x14ac:dyDescent="0.35">
      <c r="A24" s="31"/>
      <c r="B24" s="11" t="s">
        <v>718</v>
      </c>
      <c r="C24" s="12">
        <v>3887</v>
      </c>
      <c r="D24" s="12">
        <v>209</v>
      </c>
      <c r="E24" s="12">
        <v>125</v>
      </c>
      <c r="F24" s="12">
        <v>92</v>
      </c>
      <c r="G24" s="12">
        <v>158</v>
      </c>
      <c r="H24" s="12">
        <v>129</v>
      </c>
      <c r="I24" s="12">
        <v>160</v>
      </c>
      <c r="J24" s="12">
        <v>32</v>
      </c>
      <c r="K24" s="12">
        <v>114</v>
      </c>
      <c r="L24" s="12">
        <v>142</v>
      </c>
      <c r="M24" s="12">
        <v>136</v>
      </c>
      <c r="N24" s="12">
        <v>129</v>
      </c>
      <c r="O24" s="12">
        <v>179</v>
      </c>
      <c r="P24" s="12">
        <v>124</v>
      </c>
      <c r="Q24" s="12">
        <v>167</v>
      </c>
      <c r="R24" s="12">
        <v>41</v>
      </c>
      <c r="S24" s="12">
        <v>124</v>
      </c>
      <c r="T24" s="12">
        <v>118</v>
      </c>
      <c r="U24" s="12">
        <v>83</v>
      </c>
      <c r="V24" s="12">
        <v>165</v>
      </c>
      <c r="W24" s="12">
        <v>36</v>
      </c>
      <c r="X24" s="12">
        <v>222</v>
      </c>
      <c r="Y24" s="12">
        <v>140</v>
      </c>
      <c r="Z24" s="12">
        <v>186</v>
      </c>
      <c r="AA24" s="12">
        <v>88</v>
      </c>
      <c r="AB24" s="12">
        <v>158</v>
      </c>
      <c r="AC24" s="12">
        <v>129</v>
      </c>
      <c r="AD24" s="12">
        <v>138</v>
      </c>
      <c r="AE24" s="12">
        <v>168</v>
      </c>
      <c r="AF24" s="12">
        <v>149</v>
      </c>
    </row>
    <row r="25" spans="1:32" x14ac:dyDescent="0.35">
      <c r="A25" s="31"/>
      <c r="B25" s="13" t="s">
        <v>718</v>
      </c>
      <c r="C25" s="14">
        <v>0.15</v>
      </c>
      <c r="D25" s="14">
        <v>0.2</v>
      </c>
      <c r="E25" s="14">
        <v>0.12</v>
      </c>
      <c r="F25" s="14">
        <v>0.09</v>
      </c>
      <c r="G25" s="14">
        <v>0.16</v>
      </c>
      <c r="H25" s="14">
        <v>0.1</v>
      </c>
      <c r="I25" s="14">
        <v>0.1</v>
      </c>
      <c r="J25" s="14">
        <v>0.11</v>
      </c>
      <c r="K25" s="14">
        <v>0.11</v>
      </c>
      <c r="L25" s="14">
        <v>0.14000000000000001</v>
      </c>
      <c r="M25" s="14">
        <v>0.14000000000000001</v>
      </c>
      <c r="N25" s="14">
        <v>0.13</v>
      </c>
      <c r="O25" s="14">
        <v>0.18</v>
      </c>
      <c r="P25" s="14">
        <v>0.12</v>
      </c>
      <c r="Q25" s="14">
        <v>0.16</v>
      </c>
      <c r="R25" s="14">
        <v>0.08</v>
      </c>
      <c r="S25" s="14">
        <v>0.12</v>
      </c>
      <c r="T25" s="14">
        <v>0.12</v>
      </c>
      <c r="U25" s="14">
        <v>0.16</v>
      </c>
      <c r="V25" s="14">
        <v>0.16</v>
      </c>
      <c r="W25" s="14">
        <v>7.0000000000000007E-2</v>
      </c>
      <c r="X25" s="14">
        <v>0.22</v>
      </c>
      <c r="Y25" s="14">
        <v>0.14000000000000001</v>
      </c>
      <c r="Z25" s="14">
        <v>0.18</v>
      </c>
      <c r="AA25" s="14">
        <v>0.09</v>
      </c>
      <c r="AB25" s="14">
        <v>0.15</v>
      </c>
      <c r="AC25" s="14">
        <v>0.13</v>
      </c>
      <c r="AD25" s="14">
        <v>0.14000000000000001</v>
      </c>
      <c r="AE25" s="14">
        <v>0.17</v>
      </c>
      <c r="AF25" s="14">
        <v>0.15</v>
      </c>
    </row>
    <row r="26" spans="1:32" x14ac:dyDescent="0.35">
      <c r="A26" s="31"/>
      <c r="B26" s="11" t="s">
        <v>719</v>
      </c>
      <c r="C26" s="12">
        <v>4851</v>
      </c>
      <c r="D26" s="12">
        <v>202</v>
      </c>
      <c r="E26" s="12">
        <v>146</v>
      </c>
      <c r="F26" s="12">
        <v>85</v>
      </c>
      <c r="G26" s="12">
        <v>203</v>
      </c>
      <c r="H26" s="12">
        <v>169</v>
      </c>
      <c r="I26" s="12">
        <v>201</v>
      </c>
      <c r="J26" s="12">
        <v>32</v>
      </c>
      <c r="K26" s="12">
        <v>99</v>
      </c>
      <c r="L26" s="12">
        <v>235</v>
      </c>
      <c r="M26" s="12">
        <v>191</v>
      </c>
      <c r="N26" s="12">
        <v>212</v>
      </c>
      <c r="O26" s="12">
        <v>177</v>
      </c>
      <c r="P26" s="12">
        <v>135</v>
      </c>
      <c r="Q26" s="12">
        <v>242</v>
      </c>
      <c r="R26" s="12">
        <v>107</v>
      </c>
      <c r="S26" s="12">
        <v>142</v>
      </c>
      <c r="T26" s="12">
        <v>173</v>
      </c>
      <c r="U26" s="12">
        <v>125</v>
      </c>
      <c r="V26" s="12">
        <v>222</v>
      </c>
      <c r="W26" s="12">
        <v>70</v>
      </c>
      <c r="X26" s="12">
        <v>256</v>
      </c>
      <c r="Y26" s="12">
        <v>140</v>
      </c>
      <c r="Z26" s="12">
        <v>219</v>
      </c>
      <c r="AA26" s="12">
        <v>160</v>
      </c>
      <c r="AB26" s="12">
        <v>200</v>
      </c>
      <c r="AC26" s="12">
        <v>118</v>
      </c>
      <c r="AD26" s="12">
        <v>170</v>
      </c>
      <c r="AE26" s="12">
        <v>210</v>
      </c>
      <c r="AF26" s="12">
        <v>143</v>
      </c>
    </row>
    <row r="27" spans="1:32" x14ac:dyDescent="0.35">
      <c r="A27" s="31"/>
      <c r="B27" s="13" t="s">
        <v>719</v>
      </c>
      <c r="C27" s="14">
        <v>0.18</v>
      </c>
      <c r="D27" s="14">
        <v>0.2</v>
      </c>
      <c r="E27" s="14">
        <v>0.14000000000000001</v>
      </c>
      <c r="F27" s="14">
        <v>0.08</v>
      </c>
      <c r="G27" s="14">
        <v>0.2</v>
      </c>
      <c r="H27" s="14">
        <v>0.14000000000000001</v>
      </c>
      <c r="I27" s="14">
        <v>0.13</v>
      </c>
      <c r="J27" s="14">
        <v>0.11</v>
      </c>
      <c r="K27" s="14">
        <v>0.1</v>
      </c>
      <c r="L27" s="14">
        <v>0.23</v>
      </c>
      <c r="M27" s="14">
        <v>0.19</v>
      </c>
      <c r="N27" s="14">
        <v>0.21</v>
      </c>
      <c r="O27" s="14">
        <v>0.18</v>
      </c>
      <c r="P27" s="14">
        <v>0.13</v>
      </c>
      <c r="Q27" s="14">
        <v>0.23</v>
      </c>
      <c r="R27" s="14">
        <v>0.21</v>
      </c>
      <c r="S27" s="14">
        <v>0.14000000000000001</v>
      </c>
      <c r="T27" s="14">
        <v>0.17</v>
      </c>
      <c r="U27" s="14">
        <v>0.25</v>
      </c>
      <c r="V27" s="14">
        <v>0.22</v>
      </c>
      <c r="W27" s="14">
        <v>0.14000000000000001</v>
      </c>
      <c r="X27" s="14">
        <v>0.25</v>
      </c>
      <c r="Y27" s="14">
        <v>0.14000000000000001</v>
      </c>
      <c r="Z27" s="14">
        <v>0.22</v>
      </c>
      <c r="AA27" s="14">
        <v>0.16</v>
      </c>
      <c r="AB27" s="14">
        <v>0.19</v>
      </c>
      <c r="AC27" s="14">
        <v>0.12</v>
      </c>
      <c r="AD27" s="14">
        <v>0.17</v>
      </c>
      <c r="AE27" s="14">
        <v>0.21</v>
      </c>
      <c r="AF27" s="14">
        <v>0.14000000000000001</v>
      </c>
    </row>
    <row r="28" spans="1:32" x14ac:dyDescent="0.35">
      <c r="A28" s="31"/>
      <c r="B28" s="11" t="s">
        <v>720</v>
      </c>
      <c r="C28" s="12">
        <v>2928</v>
      </c>
      <c r="D28" s="12">
        <v>109</v>
      </c>
      <c r="E28" s="12">
        <v>96</v>
      </c>
      <c r="F28" s="12">
        <v>80</v>
      </c>
      <c r="G28" s="12">
        <v>84</v>
      </c>
      <c r="H28" s="12">
        <v>149</v>
      </c>
      <c r="I28" s="12">
        <v>183</v>
      </c>
      <c r="J28" s="12">
        <v>34</v>
      </c>
      <c r="K28" s="12">
        <v>67</v>
      </c>
      <c r="L28" s="12">
        <v>90</v>
      </c>
      <c r="M28" s="12">
        <v>169</v>
      </c>
      <c r="N28" s="12">
        <v>125</v>
      </c>
      <c r="O28" s="12">
        <v>63</v>
      </c>
      <c r="P28" s="12">
        <v>118</v>
      </c>
      <c r="Q28" s="12">
        <v>160</v>
      </c>
      <c r="R28" s="12">
        <v>63</v>
      </c>
      <c r="S28" s="12">
        <v>108</v>
      </c>
      <c r="T28" s="12">
        <v>86</v>
      </c>
      <c r="U28" s="12">
        <v>64</v>
      </c>
      <c r="V28" s="12">
        <v>119</v>
      </c>
      <c r="W28" s="12">
        <v>43</v>
      </c>
      <c r="X28" s="12">
        <v>88</v>
      </c>
      <c r="Y28" s="12">
        <v>70</v>
      </c>
      <c r="Z28" s="12">
        <v>124</v>
      </c>
      <c r="AA28" s="12">
        <v>155</v>
      </c>
      <c r="AB28" s="12">
        <v>119</v>
      </c>
      <c r="AC28" s="12">
        <v>49</v>
      </c>
      <c r="AD28" s="12">
        <v>124</v>
      </c>
      <c r="AE28" s="12">
        <v>84</v>
      </c>
      <c r="AF28" s="12">
        <v>64</v>
      </c>
    </row>
    <row r="29" spans="1:32" x14ac:dyDescent="0.35">
      <c r="A29" s="31"/>
      <c r="B29" s="13" t="s">
        <v>720</v>
      </c>
      <c r="C29" s="14">
        <v>0.11</v>
      </c>
      <c r="D29" s="14">
        <v>0.11</v>
      </c>
      <c r="E29" s="14">
        <v>0.09</v>
      </c>
      <c r="F29" s="14">
        <v>0.08</v>
      </c>
      <c r="G29" s="14">
        <v>0.08</v>
      </c>
      <c r="H29" s="14">
        <v>0.12</v>
      </c>
      <c r="I29" s="14">
        <v>0.12</v>
      </c>
      <c r="J29" s="14">
        <v>0.11</v>
      </c>
      <c r="K29" s="14">
        <v>7.0000000000000007E-2</v>
      </c>
      <c r="L29" s="14">
        <v>0.09</v>
      </c>
      <c r="M29" s="14">
        <v>0.17</v>
      </c>
      <c r="N29" s="14">
        <v>0.12</v>
      </c>
      <c r="O29" s="14">
        <v>0.06</v>
      </c>
      <c r="P29" s="14">
        <v>0.12</v>
      </c>
      <c r="Q29" s="14">
        <v>0.15</v>
      </c>
      <c r="R29" s="14">
        <v>0.13</v>
      </c>
      <c r="S29" s="14">
        <v>0.1</v>
      </c>
      <c r="T29" s="14">
        <v>0.08</v>
      </c>
      <c r="U29" s="14">
        <v>0.13</v>
      </c>
      <c r="V29" s="14">
        <v>0.12</v>
      </c>
      <c r="W29" s="14">
        <v>0.09</v>
      </c>
      <c r="X29" s="14">
        <v>0.09</v>
      </c>
      <c r="Y29" s="14">
        <v>7.0000000000000007E-2</v>
      </c>
      <c r="Z29" s="14">
        <v>0.12</v>
      </c>
      <c r="AA29" s="14">
        <v>0.15</v>
      </c>
      <c r="AB29" s="14">
        <v>0.11</v>
      </c>
      <c r="AC29" s="14">
        <v>0.05</v>
      </c>
      <c r="AD29" s="14">
        <v>0.12</v>
      </c>
      <c r="AE29" s="14">
        <v>0.08</v>
      </c>
      <c r="AF29" s="14">
        <v>0.06</v>
      </c>
    </row>
    <row r="30" spans="1:32" x14ac:dyDescent="0.35">
      <c r="A30" s="31"/>
      <c r="B30" s="11" t="s">
        <v>721</v>
      </c>
      <c r="C30" s="12">
        <v>4479</v>
      </c>
      <c r="D30" s="12">
        <v>132</v>
      </c>
      <c r="E30" s="12">
        <v>172</v>
      </c>
      <c r="F30" s="12">
        <v>242</v>
      </c>
      <c r="G30" s="12">
        <v>125</v>
      </c>
      <c r="H30" s="12">
        <v>266</v>
      </c>
      <c r="I30" s="12">
        <v>305</v>
      </c>
      <c r="J30" s="12">
        <v>39</v>
      </c>
      <c r="K30" s="12">
        <v>153</v>
      </c>
      <c r="L30" s="12">
        <v>249</v>
      </c>
      <c r="M30" s="12">
        <v>91</v>
      </c>
      <c r="N30" s="12">
        <v>188</v>
      </c>
      <c r="O30" s="12">
        <v>149</v>
      </c>
      <c r="P30" s="12">
        <v>310</v>
      </c>
      <c r="Q30" s="12">
        <v>143</v>
      </c>
      <c r="R30" s="12">
        <v>147</v>
      </c>
      <c r="S30" s="12">
        <v>182</v>
      </c>
      <c r="T30" s="12">
        <v>154</v>
      </c>
      <c r="U30" s="12">
        <v>110</v>
      </c>
      <c r="V30" s="12">
        <v>224</v>
      </c>
      <c r="W30" s="12">
        <v>271</v>
      </c>
      <c r="X30" s="12">
        <v>125</v>
      </c>
      <c r="Y30" s="12">
        <v>244</v>
      </c>
      <c r="Z30" s="12">
        <v>144</v>
      </c>
      <c r="AA30" s="12">
        <v>246</v>
      </c>
      <c r="AB30" s="12">
        <v>176</v>
      </c>
      <c r="AC30" s="12">
        <v>205</v>
      </c>
      <c r="AD30" s="12">
        <v>232</v>
      </c>
      <c r="AE30" s="12">
        <v>100</v>
      </c>
      <c r="AF30" s="12">
        <v>125</v>
      </c>
    </row>
    <row r="31" spans="1:32" x14ac:dyDescent="0.35">
      <c r="A31" s="31"/>
      <c r="B31" s="13" t="s">
        <v>722</v>
      </c>
      <c r="C31" s="14">
        <v>0.17</v>
      </c>
      <c r="D31" s="14">
        <v>0.13</v>
      </c>
      <c r="E31" s="14">
        <v>0.17</v>
      </c>
      <c r="F31" s="14">
        <v>0.24</v>
      </c>
      <c r="G31" s="14">
        <v>0.12</v>
      </c>
      <c r="H31" s="14">
        <v>0.22</v>
      </c>
      <c r="I31" s="14">
        <v>0.2</v>
      </c>
      <c r="J31" s="14">
        <v>0.13</v>
      </c>
      <c r="K31" s="14">
        <v>0.15</v>
      </c>
      <c r="L31" s="14">
        <v>0.25</v>
      </c>
      <c r="M31" s="14">
        <v>0.09</v>
      </c>
      <c r="N31" s="14">
        <v>0.19</v>
      </c>
      <c r="O31" s="14">
        <v>0.15</v>
      </c>
      <c r="P31" s="14">
        <v>0.31</v>
      </c>
      <c r="Q31" s="14">
        <v>0.14000000000000001</v>
      </c>
      <c r="R31" s="14">
        <v>0.28999999999999998</v>
      </c>
      <c r="S31" s="14">
        <v>0.18</v>
      </c>
      <c r="T31" s="14">
        <v>0.15</v>
      </c>
      <c r="U31" s="14">
        <v>0.22</v>
      </c>
      <c r="V31" s="14">
        <v>0.22</v>
      </c>
      <c r="W31" s="14">
        <v>0.54</v>
      </c>
      <c r="X31" s="14">
        <v>0.12</v>
      </c>
      <c r="Y31" s="14">
        <v>0.24</v>
      </c>
      <c r="Z31" s="14">
        <v>0.14000000000000001</v>
      </c>
      <c r="AA31" s="14">
        <v>0.24</v>
      </c>
      <c r="AB31" s="14">
        <v>0.17</v>
      </c>
      <c r="AC31" s="14">
        <v>0.2</v>
      </c>
      <c r="AD31" s="14">
        <v>0.23</v>
      </c>
      <c r="AE31" s="14">
        <v>0.1</v>
      </c>
      <c r="AF31" s="14">
        <v>0.12</v>
      </c>
    </row>
    <row r="32" spans="1:32" x14ac:dyDescent="0.35">
      <c r="A32" s="31"/>
      <c r="B32" s="11" t="s">
        <v>723</v>
      </c>
      <c r="C32" s="12">
        <v>154</v>
      </c>
      <c r="D32" s="12">
        <v>0</v>
      </c>
      <c r="E32" s="12">
        <v>32</v>
      </c>
      <c r="F32" s="12">
        <v>3</v>
      </c>
      <c r="G32" s="12">
        <v>1</v>
      </c>
      <c r="H32" s="12">
        <v>8</v>
      </c>
      <c r="I32" s="12">
        <v>10</v>
      </c>
      <c r="J32" s="12">
        <v>1</v>
      </c>
      <c r="K32" s="12">
        <v>17</v>
      </c>
      <c r="L32" s="12">
        <v>7</v>
      </c>
      <c r="M32" s="12">
        <v>20</v>
      </c>
      <c r="N32" s="12">
        <v>0</v>
      </c>
      <c r="O32" s="12">
        <v>7</v>
      </c>
      <c r="P32" s="12">
        <v>7</v>
      </c>
      <c r="Q32" s="12">
        <v>5</v>
      </c>
      <c r="R32" s="12">
        <v>0</v>
      </c>
      <c r="S32" s="12">
        <v>20</v>
      </c>
      <c r="T32" s="12">
        <v>12</v>
      </c>
      <c r="U32" s="12">
        <v>1</v>
      </c>
      <c r="V32" s="12">
        <v>1</v>
      </c>
      <c r="W32" s="12">
        <v>0</v>
      </c>
      <c r="X32" s="12">
        <v>2</v>
      </c>
      <c r="Y32" s="12">
        <v>10</v>
      </c>
      <c r="Z32" s="12">
        <v>2</v>
      </c>
      <c r="AA32" s="12">
        <v>21</v>
      </c>
      <c r="AB32" s="12">
        <v>14</v>
      </c>
      <c r="AC32" s="12">
        <v>1</v>
      </c>
      <c r="AD32" s="12">
        <v>0</v>
      </c>
      <c r="AE32" s="12">
        <v>6</v>
      </c>
      <c r="AF32" s="12">
        <v>2</v>
      </c>
    </row>
    <row r="33" spans="1:32" ht="21.5" x14ac:dyDescent="0.35">
      <c r="A33" s="31"/>
      <c r="B33" s="13" t="s">
        <v>724</v>
      </c>
      <c r="C33" s="14">
        <v>0.01</v>
      </c>
      <c r="D33" s="15" t="s">
        <v>333</v>
      </c>
      <c r="E33" s="14">
        <v>0.03</v>
      </c>
      <c r="F33" s="15" t="s">
        <v>333</v>
      </c>
      <c r="G33" s="15" t="s">
        <v>333</v>
      </c>
      <c r="H33" s="14">
        <v>0.01</v>
      </c>
      <c r="I33" s="14">
        <v>0.01</v>
      </c>
      <c r="J33" s="15" t="s">
        <v>333</v>
      </c>
      <c r="K33" s="14">
        <v>0.02</v>
      </c>
      <c r="L33" s="14">
        <v>0.01</v>
      </c>
      <c r="M33" s="14">
        <v>0.02</v>
      </c>
      <c r="N33" s="15" t="s">
        <v>333</v>
      </c>
      <c r="O33" s="14">
        <v>0.01</v>
      </c>
      <c r="P33" s="14">
        <v>0.01</v>
      </c>
      <c r="Q33" s="14">
        <v>0.01</v>
      </c>
      <c r="R33" s="15" t="s">
        <v>333</v>
      </c>
      <c r="S33" s="14">
        <v>0.02</v>
      </c>
      <c r="T33" s="14">
        <v>0.01</v>
      </c>
      <c r="U33" s="15" t="s">
        <v>333</v>
      </c>
      <c r="V33" s="15" t="s">
        <v>333</v>
      </c>
      <c r="W33" s="15" t="s">
        <v>333</v>
      </c>
      <c r="X33" s="15" t="s">
        <v>333</v>
      </c>
      <c r="Y33" s="14">
        <v>0.01</v>
      </c>
      <c r="Z33" s="15" t="s">
        <v>333</v>
      </c>
      <c r="AA33" s="14">
        <v>0.02</v>
      </c>
      <c r="AB33" s="14">
        <v>0.01</v>
      </c>
      <c r="AC33" s="15" t="s">
        <v>333</v>
      </c>
      <c r="AD33" s="15" t="s">
        <v>333</v>
      </c>
      <c r="AE33" s="14">
        <v>0.01</v>
      </c>
      <c r="AF33" s="15" t="s">
        <v>333</v>
      </c>
    </row>
    <row r="34" spans="1:32" x14ac:dyDescent="0.35">
      <c r="A34" s="31"/>
      <c r="B34" s="11" t="s">
        <v>344</v>
      </c>
      <c r="C34" s="12">
        <v>609</v>
      </c>
      <c r="D34" s="12">
        <v>4</v>
      </c>
      <c r="E34" s="12">
        <v>45</v>
      </c>
      <c r="F34" s="12">
        <v>20</v>
      </c>
      <c r="G34" s="12">
        <v>23</v>
      </c>
      <c r="H34" s="12">
        <v>66</v>
      </c>
      <c r="I34" s="12">
        <v>71</v>
      </c>
      <c r="J34" s="12">
        <v>5</v>
      </c>
      <c r="K34" s="12">
        <v>39</v>
      </c>
      <c r="L34" s="12">
        <v>6</v>
      </c>
      <c r="M34" s="12">
        <v>5</v>
      </c>
      <c r="N34" s="12">
        <v>35</v>
      </c>
      <c r="O34" s="12">
        <v>19</v>
      </c>
      <c r="P34" s="12">
        <v>5</v>
      </c>
      <c r="Q34" s="12">
        <v>4</v>
      </c>
      <c r="R34" s="12">
        <v>10</v>
      </c>
      <c r="S34" s="12">
        <v>39</v>
      </c>
      <c r="T34" s="12">
        <v>48</v>
      </c>
      <c r="U34" s="12">
        <v>2</v>
      </c>
      <c r="V34" s="12">
        <v>10</v>
      </c>
      <c r="W34" s="12">
        <v>1</v>
      </c>
      <c r="X34" s="12">
        <v>0</v>
      </c>
      <c r="Y34" s="12">
        <v>28</v>
      </c>
      <c r="Z34" s="12">
        <v>15</v>
      </c>
      <c r="AA34" s="12">
        <v>45</v>
      </c>
      <c r="AB34" s="12">
        <v>36</v>
      </c>
      <c r="AC34" s="12">
        <v>5</v>
      </c>
      <c r="AD34" s="12">
        <v>5</v>
      </c>
      <c r="AE34" s="12">
        <v>12</v>
      </c>
      <c r="AF34" s="12">
        <v>7</v>
      </c>
    </row>
    <row r="35" spans="1:32" x14ac:dyDescent="0.35">
      <c r="A35" s="31"/>
      <c r="B35" s="13" t="s">
        <v>357</v>
      </c>
      <c r="C35" s="14">
        <v>0.02</v>
      </c>
      <c r="D35" s="15" t="s">
        <v>333</v>
      </c>
      <c r="E35" s="14">
        <v>0.04</v>
      </c>
      <c r="F35" s="14">
        <v>0.02</v>
      </c>
      <c r="G35" s="14">
        <v>0.02</v>
      </c>
      <c r="H35" s="14">
        <v>0.05</v>
      </c>
      <c r="I35" s="14">
        <v>0.05</v>
      </c>
      <c r="J35" s="14">
        <v>0.02</v>
      </c>
      <c r="K35" s="14">
        <v>0.04</v>
      </c>
      <c r="L35" s="14">
        <v>0.01</v>
      </c>
      <c r="M35" s="14">
        <v>0.01</v>
      </c>
      <c r="N35" s="14">
        <v>0.04</v>
      </c>
      <c r="O35" s="14">
        <v>0.02</v>
      </c>
      <c r="P35" s="14">
        <v>0.01</v>
      </c>
      <c r="Q35" s="15" t="s">
        <v>333</v>
      </c>
      <c r="R35" s="14">
        <v>0.02</v>
      </c>
      <c r="S35" s="14">
        <v>0.04</v>
      </c>
      <c r="T35" s="14">
        <v>0.05</v>
      </c>
      <c r="U35" s="15" t="s">
        <v>333</v>
      </c>
      <c r="V35" s="14">
        <v>0.01</v>
      </c>
      <c r="W35" s="15" t="s">
        <v>333</v>
      </c>
      <c r="X35" s="15" t="s">
        <v>333</v>
      </c>
      <c r="Y35" s="14">
        <v>0.03</v>
      </c>
      <c r="Z35" s="14">
        <v>0.01</v>
      </c>
      <c r="AA35" s="14">
        <v>0.04</v>
      </c>
      <c r="AB35" s="14">
        <v>0.03</v>
      </c>
      <c r="AC35" s="15" t="s">
        <v>333</v>
      </c>
      <c r="AD35" s="14">
        <v>0.01</v>
      </c>
      <c r="AE35" s="14">
        <v>0.01</v>
      </c>
      <c r="AF35" s="14">
        <v>0.01</v>
      </c>
    </row>
    <row r="36" spans="1:32" x14ac:dyDescent="0.35">
      <c r="A36" s="31"/>
      <c r="B36" s="11" t="s">
        <v>597</v>
      </c>
      <c r="C36" s="12">
        <v>4155</v>
      </c>
      <c r="D36" s="12">
        <v>115</v>
      </c>
      <c r="E36" s="12">
        <v>221</v>
      </c>
      <c r="F36" s="12">
        <v>267</v>
      </c>
      <c r="G36" s="12">
        <v>238</v>
      </c>
      <c r="H36" s="12">
        <v>221</v>
      </c>
      <c r="I36" s="12">
        <v>303</v>
      </c>
      <c r="J36" s="12">
        <v>82</v>
      </c>
      <c r="K36" s="12">
        <v>275</v>
      </c>
      <c r="L36" s="12">
        <v>121</v>
      </c>
      <c r="M36" s="12">
        <v>193</v>
      </c>
      <c r="N36" s="12">
        <v>114</v>
      </c>
      <c r="O36" s="12">
        <v>179</v>
      </c>
      <c r="P36" s="12">
        <v>113</v>
      </c>
      <c r="Q36" s="12">
        <v>130</v>
      </c>
      <c r="R36" s="12">
        <v>39</v>
      </c>
      <c r="S36" s="12">
        <v>173</v>
      </c>
      <c r="T36" s="12">
        <v>210</v>
      </c>
      <c r="U36" s="12">
        <v>50</v>
      </c>
      <c r="V36" s="12">
        <v>99</v>
      </c>
      <c r="W36" s="12">
        <v>40</v>
      </c>
      <c r="X36" s="12">
        <v>115</v>
      </c>
      <c r="Y36" s="12">
        <v>168</v>
      </c>
      <c r="Z36" s="12">
        <v>110</v>
      </c>
      <c r="AA36" s="12">
        <v>112</v>
      </c>
      <c r="AB36" s="12">
        <v>121</v>
      </c>
      <c r="AC36" s="12">
        <v>249</v>
      </c>
      <c r="AD36" s="12">
        <v>158</v>
      </c>
      <c r="AE36" s="12">
        <v>225</v>
      </c>
      <c r="AF36" s="12">
        <v>297</v>
      </c>
    </row>
    <row r="37" spans="1:32" x14ac:dyDescent="0.35">
      <c r="A37" s="31"/>
      <c r="B37" s="13" t="s">
        <v>598</v>
      </c>
      <c r="C37" s="14">
        <v>0.15</v>
      </c>
      <c r="D37" s="14">
        <v>0.12</v>
      </c>
      <c r="E37" s="14">
        <v>0.21</v>
      </c>
      <c r="F37" s="14">
        <v>0.26</v>
      </c>
      <c r="G37" s="14">
        <v>0.24</v>
      </c>
      <c r="H37" s="14">
        <v>0.18</v>
      </c>
      <c r="I37" s="14">
        <v>0.19</v>
      </c>
      <c r="J37" s="14">
        <v>0.28000000000000003</v>
      </c>
      <c r="K37" s="14">
        <v>0.27</v>
      </c>
      <c r="L37" s="14">
        <v>0.12</v>
      </c>
      <c r="M37" s="14">
        <v>0.18</v>
      </c>
      <c r="N37" s="14">
        <v>0.11</v>
      </c>
      <c r="O37" s="14">
        <v>0.17</v>
      </c>
      <c r="P37" s="14">
        <v>0.11</v>
      </c>
      <c r="Q37" s="14">
        <v>0.13</v>
      </c>
      <c r="R37" s="14">
        <v>0.08</v>
      </c>
      <c r="S37" s="14">
        <v>0.17</v>
      </c>
      <c r="T37" s="14">
        <v>0.21</v>
      </c>
      <c r="U37" s="14">
        <v>0.09</v>
      </c>
      <c r="V37" s="14">
        <v>0.1</v>
      </c>
      <c r="W37" s="14">
        <v>0.08</v>
      </c>
      <c r="X37" s="14">
        <v>0.12</v>
      </c>
      <c r="Y37" s="14">
        <v>0.16</v>
      </c>
      <c r="Z37" s="14">
        <v>0.12</v>
      </c>
      <c r="AA37" s="14">
        <v>0.1</v>
      </c>
      <c r="AB37" s="14">
        <v>0.12</v>
      </c>
      <c r="AC37" s="14">
        <v>0.24</v>
      </c>
      <c r="AD37" s="14">
        <v>0.16</v>
      </c>
      <c r="AE37" s="14">
        <v>0.22</v>
      </c>
      <c r="AF37" s="14">
        <v>0.28999999999999998</v>
      </c>
    </row>
    <row r="38" spans="1:32" x14ac:dyDescent="0.35">
      <c r="A38" s="31"/>
      <c r="B38" s="11" t="s">
        <v>725</v>
      </c>
      <c r="C38" s="12">
        <v>5348</v>
      </c>
      <c r="D38" s="12">
        <v>253</v>
      </c>
      <c r="E38" s="12">
        <v>203</v>
      </c>
      <c r="F38" s="12">
        <v>230</v>
      </c>
      <c r="G38" s="12">
        <v>183</v>
      </c>
      <c r="H38" s="12">
        <v>225</v>
      </c>
      <c r="I38" s="12">
        <v>298</v>
      </c>
      <c r="J38" s="12">
        <v>73</v>
      </c>
      <c r="K38" s="12">
        <v>245</v>
      </c>
      <c r="L38" s="12">
        <v>152</v>
      </c>
      <c r="M38" s="12">
        <v>200</v>
      </c>
      <c r="N38" s="12">
        <v>199</v>
      </c>
      <c r="O38" s="12">
        <v>227</v>
      </c>
      <c r="P38" s="12">
        <v>192</v>
      </c>
      <c r="Q38" s="12">
        <v>182</v>
      </c>
      <c r="R38" s="12">
        <v>95</v>
      </c>
      <c r="S38" s="12">
        <v>234</v>
      </c>
      <c r="T38" s="12">
        <v>215</v>
      </c>
      <c r="U38" s="12">
        <v>74</v>
      </c>
      <c r="V38" s="12">
        <v>173</v>
      </c>
      <c r="W38" s="12">
        <v>42</v>
      </c>
      <c r="X38" s="12">
        <v>201</v>
      </c>
      <c r="Y38" s="12">
        <v>202</v>
      </c>
      <c r="Z38" s="12">
        <v>219</v>
      </c>
      <c r="AA38" s="12">
        <v>203</v>
      </c>
      <c r="AB38" s="12">
        <v>233</v>
      </c>
      <c r="AC38" s="12">
        <v>258</v>
      </c>
      <c r="AD38" s="12">
        <v>176</v>
      </c>
      <c r="AE38" s="12">
        <v>201</v>
      </c>
      <c r="AF38" s="12">
        <v>232</v>
      </c>
    </row>
    <row r="39" spans="1:32" x14ac:dyDescent="0.35">
      <c r="A39" s="31"/>
      <c r="B39" s="13" t="s">
        <v>726</v>
      </c>
      <c r="C39" s="14">
        <v>0.21</v>
      </c>
      <c r="D39" s="14">
        <v>0.24</v>
      </c>
      <c r="E39" s="14">
        <v>0.2</v>
      </c>
      <c r="F39" s="14">
        <v>0.23</v>
      </c>
      <c r="G39" s="14">
        <v>0.18</v>
      </c>
      <c r="H39" s="14">
        <v>0.18</v>
      </c>
      <c r="I39" s="14">
        <v>0.2</v>
      </c>
      <c r="J39" s="14">
        <v>0.24</v>
      </c>
      <c r="K39" s="14">
        <v>0.24</v>
      </c>
      <c r="L39" s="14">
        <v>0.15</v>
      </c>
      <c r="M39" s="14">
        <v>0.2</v>
      </c>
      <c r="N39" s="14">
        <v>0.2</v>
      </c>
      <c r="O39" s="14">
        <v>0.23</v>
      </c>
      <c r="P39" s="14">
        <v>0.19</v>
      </c>
      <c r="Q39" s="14">
        <v>0.18</v>
      </c>
      <c r="R39" s="14">
        <v>0.19</v>
      </c>
      <c r="S39" s="14">
        <v>0.23</v>
      </c>
      <c r="T39" s="14">
        <v>0.21</v>
      </c>
      <c r="U39" s="14">
        <v>0.15</v>
      </c>
      <c r="V39" s="14">
        <v>0.17</v>
      </c>
      <c r="W39" s="14">
        <v>0.08</v>
      </c>
      <c r="X39" s="14">
        <v>0.2</v>
      </c>
      <c r="Y39" s="14">
        <v>0.21</v>
      </c>
      <c r="Z39" s="14">
        <v>0.21</v>
      </c>
      <c r="AA39" s="14">
        <v>0.2</v>
      </c>
      <c r="AB39" s="14">
        <v>0.22</v>
      </c>
      <c r="AC39" s="14">
        <v>0.26</v>
      </c>
      <c r="AD39" s="14">
        <v>0.17</v>
      </c>
      <c r="AE39" s="14">
        <v>0.2</v>
      </c>
      <c r="AF39" s="14">
        <v>0.23</v>
      </c>
    </row>
    <row r="40" spans="1:32" x14ac:dyDescent="0.35">
      <c r="A40" s="31"/>
      <c r="B40" s="11" t="s">
        <v>596</v>
      </c>
      <c r="C40" s="12">
        <v>16145</v>
      </c>
      <c r="D40" s="12">
        <v>652</v>
      </c>
      <c r="E40" s="12">
        <v>539</v>
      </c>
      <c r="F40" s="12">
        <v>499</v>
      </c>
      <c r="G40" s="12">
        <v>570</v>
      </c>
      <c r="H40" s="12">
        <v>713</v>
      </c>
      <c r="I40" s="12">
        <v>849</v>
      </c>
      <c r="J40" s="12">
        <v>137</v>
      </c>
      <c r="K40" s="12">
        <v>433</v>
      </c>
      <c r="L40" s="12">
        <v>716</v>
      </c>
      <c r="M40" s="12">
        <v>587</v>
      </c>
      <c r="N40" s="12">
        <v>654</v>
      </c>
      <c r="O40" s="12">
        <v>568</v>
      </c>
      <c r="P40" s="12">
        <v>687</v>
      </c>
      <c r="Q40" s="12">
        <v>712</v>
      </c>
      <c r="R40" s="12">
        <v>358</v>
      </c>
      <c r="S40" s="12">
        <v>556</v>
      </c>
      <c r="T40" s="12">
        <v>531</v>
      </c>
      <c r="U40" s="12">
        <v>382</v>
      </c>
      <c r="V40" s="12">
        <v>730</v>
      </c>
      <c r="W40" s="12">
        <v>420</v>
      </c>
      <c r="X40" s="12">
        <v>691</v>
      </c>
      <c r="Y40" s="12">
        <v>594</v>
      </c>
      <c r="Z40" s="12">
        <v>673</v>
      </c>
      <c r="AA40" s="12">
        <v>649</v>
      </c>
      <c r="AB40" s="12">
        <v>653</v>
      </c>
      <c r="AC40" s="12">
        <v>501</v>
      </c>
      <c r="AD40" s="12">
        <v>664</v>
      </c>
      <c r="AE40" s="12">
        <v>562</v>
      </c>
      <c r="AF40" s="12">
        <v>481</v>
      </c>
    </row>
    <row r="41" spans="1:32" x14ac:dyDescent="0.35">
      <c r="A41" s="31"/>
      <c r="B41" s="13" t="s">
        <v>596</v>
      </c>
      <c r="C41" s="14">
        <v>0.61</v>
      </c>
      <c r="D41" s="14">
        <v>0.64</v>
      </c>
      <c r="E41" s="14">
        <v>0.52</v>
      </c>
      <c r="F41" s="14">
        <v>0.49</v>
      </c>
      <c r="G41" s="14">
        <v>0.56000000000000005</v>
      </c>
      <c r="H41" s="14">
        <v>0.57999999999999996</v>
      </c>
      <c r="I41" s="14">
        <v>0.55000000000000004</v>
      </c>
      <c r="J41" s="14">
        <v>0.46</v>
      </c>
      <c r="K41" s="14">
        <v>0.43</v>
      </c>
      <c r="L41" s="14">
        <v>0.71</v>
      </c>
      <c r="M41" s="14">
        <v>0.59</v>
      </c>
      <c r="N41" s="14">
        <v>0.65</v>
      </c>
      <c r="O41" s="14">
        <v>0.57000000000000006</v>
      </c>
      <c r="P41" s="14">
        <v>0.68</v>
      </c>
      <c r="Q41" s="14">
        <v>0.68</v>
      </c>
      <c r="R41" s="14">
        <v>0.71</v>
      </c>
      <c r="S41" s="14">
        <v>0.54</v>
      </c>
      <c r="T41" s="14">
        <v>0.52</v>
      </c>
      <c r="U41" s="14">
        <v>0.76</v>
      </c>
      <c r="V41" s="14">
        <v>0.72</v>
      </c>
      <c r="W41" s="14">
        <v>0.84</v>
      </c>
      <c r="X41" s="14">
        <v>0.68</v>
      </c>
      <c r="Y41" s="14">
        <v>0.59</v>
      </c>
      <c r="Z41" s="14">
        <v>0.66</v>
      </c>
      <c r="AA41" s="14">
        <v>0.64</v>
      </c>
      <c r="AB41" s="14">
        <v>0.62</v>
      </c>
      <c r="AC41" s="14">
        <v>0.5</v>
      </c>
      <c r="AD41" s="14">
        <v>0.66</v>
      </c>
      <c r="AE41" s="14">
        <v>0.56000000000000005</v>
      </c>
      <c r="AF41" s="14">
        <v>0.47</v>
      </c>
    </row>
    <row r="42" spans="1:32" x14ac:dyDescent="0.35">
      <c r="A42" s="32"/>
      <c r="B42" s="11" t="s">
        <v>727</v>
      </c>
      <c r="C42" s="12">
        <v>6.89</v>
      </c>
      <c r="D42" s="12">
        <v>6.9</v>
      </c>
      <c r="E42" s="12">
        <v>6.51</v>
      </c>
      <c r="F42" s="12">
        <v>6.3</v>
      </c>
      <c r="G42" s="12">
        <v>6.34</v>
      </c>
      <c r="H42" s="12">
        <v>6.92</v>
      </c>
      <c r="I42" s="12">
        <v>6.75</v>
      </c>
      <c r="J42" s="12">
        <v>6.06</v>
      </c>
      <c r="K42" s="12">
        <v>5.93</v>
      </c>
      <c r="L42" s="12">
        <v>7.34</v>
      </c>
      <c r="M42" s="12">
        <v>6.58</v>
      </c>
      <c r="N42" s="12">
        <v>7.2</v>
      </c>
      <c r="O42" s="12">
        <v>6.55</v>
      </c>
      <c r="P42" s="12">
        <v>7.54</v>
      </c>
      <c r="Q42" s="12">
        <v>7.14</v>
      </c>
      <c r="R42" s="12">
        <v>7.75</v>
      </c>
      <c r="S42" s="12">
        <v>6.68</v>
      </c>
      <c r="T42" s="12">
        <v>6.41</v>
      </c>
      <c r="U42" s="12">
        <v>7.46</v>
      </c>
      <c r="V42" s="12">
        <v>7.43</v>
      </c>
      <c r="W42" s="12">
        <v>8.4600000000000009</v>
      </c>
      <c r="X42" s="12">
        <v>7.05</v>
      </c>
      <c r="Y42" s="12">
        <v>6.96</v>
      </c>
      <c r="Z42" s="12">
        <v>7.13</v>
      </c>
      <c r="AA42" s="12">
        <v>7.4</v>
      </c>
      <c r="AB42" s="12">
        <v>7.09</v>
      </c>
      <c r="AC42" s="12">
        <v>6.18</v>
      </c>
      <c r="AD42" s="12">
        <v>7.11</v>
      </c>
      <c r="AE42" s="12">
        <v>6.35</v>
      </c>
      <c r="AF42" s="12">
        <v>5.87</v>
      </c>
    </row>
    <row r="43" spans="1:32" x14ac:dyDescent="0.35">
      <c r="A43" s="32"/>
      <c r="B43" s="13" t="s">
        <v>728</v>
      </c>
      <c r="C43" s="15" t="s">
        <v>333</v>
      </c>
      <c r="D43" s="15" t="s">
        <v>333</v>
      </c>
      <c r="E43" s="15" t="s">
        <v>333</v>
      </c>
      <c r="F43" s="15" t="s">
        <v>333</v>
      </c>
      <c r="G43" s="15" t="s">
        <v>333</v>
      </c>
      <c r="H43" s="15" t="s">
        <v>333</v>
      </c>
      <c r="I43" s="15" t="s">
        <v>333</v>
      </c>
      <c r="J43" s="15" t="s">
        <v>333</v>
      </c>
      <c r="K43" s="15" t="s">
        <v>333</v>
      </c>
      <c r="L43" s="15" t="s">
        <v>333</v>
      </c>
      <c r="M43" s="15" t="s">
        <v>333</v>
      </c>
      <c r="N43" s="15" t="s">
        <v>333</v>
      </c>
      <c r="O43" s="15" t="s">
        <v>333</v>
      </c>
      <c r="P43" s="15" t="s">
        <v>333</v>
      </c>
      <c r="Q43" s="15" t="s">
        <v>333</v>
      </c>
      <c r="R43" s="15" t="s">
        <v>333</v>
      </c>
      <c r="S43" s="15" t="s">
        <v>333</v>
      </c>
      <c r="T43" s="15" t="s">
        <v>333</v>
      </c>
      <c r="U43" s="15" t="s">
        <v>333</v>
      </c>
      <c r="V43" s="15" t="s">
        <v>333</v>
      </c>
      <c r="W43" s="15" t="s">
        <v>333</v>
      </c>
      <c r="X43" s="15" t="s">
        <v>333</v>
      </c>
      <c r="Y43" s="15" t="s">
        <v>333</v>
      </c>
      <c r="Z43" s="15" t="s">
        <v>333</v>
      </c>
      <c r="AA43" s="15" t="s">
        <v>333</v>
      </c>
      <c r="AB43" s="15" t="s">
        <v>333</v>
      </c>
      <c r="AC43" s="15" t="s">
        <v>333</v>
      </c>
      <c r="AD43" s="15" t="s">
        <v>333</v>
      </c>
      <c r="AE43" s="15" t="s">
        <v>333</v>
      </c>
      <c r="AF43" s="15" t="s">
        <v>333</v>
      </c>
    </row>
  </sheetData>
  <mergeCells count="10">
    <mergeCell ref="H3:L3"/>
    <mergeCell ref="C8:AF8"/>
    <mergeCell ref="B3:F3"/>
    <mergeCell ref="B5:F5"/>
    <mergeCell ref="A38:A43"/>
    <mergeCell ref="A10:A37"/>
    <mergeCell ref="H5:L5"/>
    <mergeCell ref="B10:B11"/>
    <mergeCell ref="H4:L4"/>
    <mergeCell ref="B4:F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4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729</v>
      </c>
      <c r="C3" s="30"/>
      <c r="D3" s="30"/>
      <c r="E3" s="30"/>
      <c r="F3" s="30"/>
      <c r="H3" s="30" t="s">
        <v>730</v>
      </c>
      <c r="I3" s="30"/>
      <c r="J3" s="30"/>
      <c r="K3" s="30"/>
      <c r="L3" s="30"/>
    </row>
    <row r="4" spans="1:32" ht="27" customHeight="1" x14ac:dyDescent="0.35">
      <c r="B4" s="30" t="s">
        <v>731</v>
      </c>
      <c r="C4" s="30"/>
      <c r="D4" s="30"/>
      <c r="E4" s="30"/>
      <c r="F4" s="30"/>
      <c r="H4" s="30" t="s">
        <v>732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711</v>
      </c>
      <c r="C12" s="12">
        <v>392</v>
      </c>
      <c r="D12" s="12">
        <v>19</v>
      </c>
      <c r="E12" s="12">
        <v>30</v>
      </c>
      <c r="F12" s="12">
        <v>56</v>
      </c>
      <c r="G12" s="12">
        <v>10</v>
      </c>
      <c r="H12" s="12">
        <v>17</v>
      </c>
      <c r="I12" s="12">
        <v>23</v>
      </c>
      <c r="J12" s="12">
        <v>7</v>
      </c>
      <c r="K12" s="12">
        <v>6</v>
      </c>
      <c r="L12" s="12">
        <v>6</v>
      </c>
      <c r="M12" s="12">
        <v>18</v>
      </c>
      <c r="N12" s="12">
        <v>19</v>
      </c>
      <c r="O12" s="12">
        <v>24</v>
      </c>
      <c r="P12" s="12">
        <v>4</v>
      </c>
      <c r="Q12" s="12">
        <v>9</v>
      </c>
      <c r="R12" s="12">
        <v>5</v>
      </c>
      <c r="S12" s="12">
        <v>11</v>
      </c>
      <c r="T12" s="12">
        <v>8</v>
      </c>
      <c r="U12" s="12">
        <v>4</v>
      </c>
      <c r="V12" s="12">
        <v>6</v>
      </c>
      <c r="W12" s="12">
        <v>2</v>
      </c>
      <c r="X12" s="12">
        <v>4</v>
      </c>
      <c r="Y12" s="12">
        <v>13</v>
      </c>
      <c r="Z12" s="12">
        <v>4</v>
      </c>
      <c r="AA12" s="12">
        <v>4</v>
      </c>
      <c r="AB12" s="12">
        <v>5</v>
      </c>
      <c r="AC12" s="12">
        <v>33</v>
      </c>
      <c r="AD12" s="12">
        <v>33</v>
      </c>
      <c r="AE12" s="12">
        <v>14</v>
      </c>
      <c r="AF12" s="12">
        <v>12</v>
      </c>
    </row>
    <row r="13" spans="1:32" x14ac:dyDescent="0.35">
      <c r="A13" s="31"/>
      <c r="B13" s="13" t="s">
        <v>712</v>
      </c>
      <c r="C13" s="14">
        <v>0.02</v>
      </c>
      <c r="D13" s="14">
        <v>0.02</v>
      </c>
      <c r="E13" s="14">
        <v>0.03</v>
      </c>
      <c r="F13" s="14">
        <v>0.05</v>
      </c>
      <c r="G13" s="14">
        <v>0.01</v>
      </c>
      <c r="H13" s="14">
        <v>0.01</v>
      </c>
      <c r="I13" s="14">
        <v>0.02</v>
      </c>
      <c r="J13" s="14">
        <v>0.02</v>
      </c>
      <c r="K13" s="14">
        <v>0.01</v>
      </c>
      <c r="L13" s="14">
        <v>0.01</v>
      </c>
      <c r="M13" s="14">
        <v>0.02</v>
      </c>
      <c r="N13" s="14">
        <v>0.02</v>
      </c>
      <c r="O13" s="14">
        <v>0.02</v>
      </c>
      <c r="P13" s="15" t="s">
        <v>333</v>
      </c>
      <c r="Q13" s="14">
        <v>0.01</v>
      </c>
      <c r="R13" s="14">
        <v>0.01</v>
      </c>
      <c r="S13" s="14">
        <v>0.01</v>
      </c>
      <c r="T13" s="14">
        <v>0.01</v>
      </c>
      <c r="U13" s="14">
        <v>0.01</v>
      </c>
      <c r="V13" s="14">
        <v>0.01</v>
      </c>
      <c r="W13" s="15" t="s">
        <v>333</v>
      </c>
      <c r="X13" s="15" t="s">
        <v>333</v>
      </c>
      <c r="Y13" s="14">
        <v>0.01</v>
      </c>
      <c r="Z13" s="14">
        <v>0.01</v>
      </c>
      <c r="AA13" s="15" t="s">
        <v>333</v>
      </c>
      <c r="AB13" s="14">
        <v>0.01</v>
      </c>
      <c r="AC13" s="14">
        <v>0.03</v>
      </c>
      <c r="AD13" s="14">
        <v>0.03</v>
      </c>
      <c r="AE13" s="14">
        <v>0.01</v>
      </c>
      <c r="AF13" s="14">
        <v>0.01</v>
      </c>
    </row>
    <row r="14" spans="1:32" x14ac:dyDescent="0.35">
      <c r="A14" s="31"/>
      <c r="B14" s="11" t="s">
        <v>713</v>
      </c>
      <c r="C14" s="12">
        <v>295</v>
      </c>
      <c r="D14" s="12">
        <v>7</v>
      </c>
      <c r="E14" s="12">
        <v>4</v>
      </c>
      <c r="F14" s="12">
        <v>33</v>
      </c>
      <c r="G14" s="12">
        <v>12</v>
      </c>
      <c r="H14" s="12">
        <v>14</v>
      </c>
      <c r="I14" s="12">
        <v>18</v>
      </c>
      <c r="J14" s="12">
        <v>5</v>
      </c>
      <c r="K14" s="12">
        <v>20</v>
      </c>
      <c r="L14" s="12">
        <v>10</v>
      </c>
      <c r="M14" s="12">
        <v>13</v>
      </c>
      <c r="N14" s="12">
        <v>11</v>
      </c>
      <c r="O14" s="12">
        <v>15</v>
      </c>
      <c r="P14" s="12">
        <v>5</v>
      </c>
      <c r="Q14" s="12">
        <v>19</v>
      </c>
      <c r="R14" s="12">
        <v>1</v>
      </c>
      <c r="S14" s="12">
        <v>15</v>
      </c>
      <c r="T14" s="12">
        <v>0</v>
      </c>
      <c r="U14" s="12">
        <v>2</v>
      </c>
      <c r="V14" s="12">
        <v>2</v>
      </c>
      <c r="W14" s="12">
        <v>2</v>
      </c>
      <c r="X14" s="12">
        <v>4</v>
      </c>
      <c r="Y14" s="12">
        <v>7</v>
      </c>
      <c r="Z14" s="12">
        <v>3</v>
      </c>
      <c r="AA14" s="12">
        <v>0</v>
      </c>
      <c r="AB14" s="12">
        <v>9</v>
      </c>
      <c r="AC14" s="12">
        <v>9</v>
      </c>
      <c r="AD14" s="12">
        <v>7</v>
      </c>
      <c r="AE14" s="12">
        <v>17</v>
      </c>
      <c r="AF14" s="12">
        <v>4</v>
      </c>
    </row>
    <row r="15" spans="1:32" x14ac:dyDescent="0.35">
      <c r="A15" s="31"/>
      <c r="B15" s="13" t="s">
        <v>713</v>
      </c>
      <c r="C15" s="14">
        <v>0.01</v>
      </c>
      <c r="D15" s="14">
        <v>0.01</v>
      </c>
      <c r="E15" s="15" t="s">
        <v>333</v>
      </c>
      <c r="F15" s="14">
        <v>0.03</v>
      </c>
      <c r="G15" s="14">
        <v>0.01</v>
      </c>
      <c r="H15" s="14">
        <v>0.01</v>
      </c>
      <c r="I15" s="14">
        <v>0.01</v>
      </c>
      <c r="J15" s="14">
        <v>0.02</v>
      </c>
      <c r="K15" s="14">
        <v>0.02</v>
      </c>
      <c r="L15" s="14">
        <v>0.01</v>
      </c>
      <c r="M15" s="14">
        <v>0.01</v>
      </c>
      <c r="N15" s="14">
        <v>0.01</v>
      </c>
      <c r="O15" s="14">
        <v>0.02</v>
      </c>
      <c r="P15" s="14">
        <v>0.01</v>
      </c>
      <c r="Q15" s="14">
        <v>0.02</v>
      </c>
      <c r="R15" s="15" t="s">
        <v>333</v>
      </c>
      <c r="S15" s="14">
        <v>0.02</v>
      </c>
      <c r="T15" s="15" t="s">
        <v>333</v>
      </c>
      <c r="U15" s="14">
        <v>0.01</v>
      </c>
      <c r="V15" s="15" t="s">
        <v>333</v>
      </c>
      <c r="W15" s="14">
        <v>0.01</v>
      </c>
      <c r="X15" s="15" t="s">
        <v>333</v>
      </c>
      <c r="Y15" s="14">
        <v>0.01</v>
      </c>
      <c r="Z15" s="15" t="s">
        <v>333</v>
      </c>
      <c r="AA15" s="15" t="s">
        <v>333</v>
      </c>
      <c r="AB15" s="14">
        <v>0.01</v>
      </c>
      <c r="AC15" s="14">
        <v>0.01</v>
      </c>
      <c r="AD15" s="14">
        <v>0.01</v>
      </c>
      <c r="AE15" s="14">
        <v>0.02</v>
      </c>
      <c r="AF15" s="15" t="s">
        <v>333</v>
      </c>
    </row>
    <row r="16" spans="1:32" x14ac:dyDescent="0.35">
      <c r="A16" s="31"/>
      <c r="B16" s="11" t="s">
        <v>714</v>
      </c>
      <c r="C16" s="12">
        <v>502</v>
      </c>
      <c r="D16" s="12">
        <v>10</v>
      </c>
      <c r="E16" s="12">
        <v>21</v>
      </c>
      <c r="F16" s="12">
        <v>68</v>
      </c>
      <c r="G16" s="12">
        <v>14</v>
      </c>
      <c r="H16" s="12">
        <v>29</v>
      </c>
      <c r="I16" s="12">
        <v>38</v>
      </c>
      <c r="J16" s="12">
        <v>9</v>
      </c>
      <c r="K16" s="12">
        <v>31</v>
      </c>
      <c r="L16" s="12">
        <v>6</v>
      </c>
      <c r="M16" s="12">
        <v>8</v>
      </c>
      <c r="N16" s="12">
        <v>20</v>
      </c>
      <c r="O16" s="12">
        <v>20</v>
      </c>
      <c r="P16" s="12">
        <v>14</v>
      </c>
      <c r="Q16" s="12">
        <v>15</v>
      </c>
      <c r="R16" s="12">
        <v>3</v>
      </c>
      <c r="S16" s="12">
        <v>15</v>
      </c>
      <c r="T16" s="12">
        <v>14</v>
      </c>
      <c r="U16" s="12">
        <v>3</v>
      </c>
      <c r="V16" s="12">
        <v>11</v>
      </c>
      <c r="W16" s="12">
        <v>5</v>
      </c>
      <c r="X16" s="12">
        <v>14</v>
      </c>
      <c r="Y16" s="12">
        <v>29</v>
      </c>
      <c r="Z16" s="12">
        <v>13</v>
      </c>
      <c r="AA16" s="12">
        <v>6</v>
      </c>
      <c r="AB16" s="12">
        <v>11</v>
      </c>
      <c r="AC16" s="12">
        <v>24</v>
      </c>
      <c r="AD16" s="12">
        <v>31</v>
      </c>
      <c r="AE16" s="12">
        <v>23</v>
      </c>
      <c r="AF16" s="12">
        <v>30</v>
      </c>
    </row>
    <row r="17" spans="1:32" x14ac:dyDescent="0.35">
      <c r="A17" s="31"/>
      <c r="B17" s="13" t="s">
        <v>714</v>
      </c>
      <c r="C17" s="14">
        <v>0.02</v>
      </c>
      <c r="D17" s="14">
        <v>0.01</v>
      </c>
      <c r="E17" s="14">
        <v>0.02</v>
      </c>
      <c r="F17" s="14">
        <v>7.0000000000000007E-2</v>
      </c>
      <c r="G17" s="14">
        <v>0.01</v>
      </c>
      <c r="H17" s="14">
        <v>0.02</v>
      </c>
      <c r="I17" s="14">
        <v>0.02</v>
      </c>
      <c r="J17" s="14">
        <v>0.03</v>
      </c>
      <c r="K17" s="14">
        <v>0.03</v>
      </c>
      <c r="L17" s="14">
        <v>0.01</v>
      </c>
      <c r="M17" s="14">
        <v>0.01</v>
      </c>
      <c r="N17" s="14">
        <v>0.02</v>
      </c>
      <c r="O17" s="14">
        <v>0.02</v>
      </c>
      <c r="P17" s="14">
        <v>0.01</v>
      </c>
      <c r="Q17" s="14">
        <v>0.01</v>
      </c>
      <c r="R17" s="14">
        <v>0.01</v>
      </c>
      <c r="S17" s="14">
        <v>0.01</v>
      </c>
      <c r="T17" s="14">
        <v>0.01</v>
      </c>
      <c r="U17" s="14">
        <v>0.01</v>
      </c>
      <c r="V17" s="14">
        <v>0.01</v>
      </c>
      <c r="W17" s="14">
        <v>0.01</v>
      </c>
      <c r="X17" s="14">
        <v>0.01</v>
      </c>
      <c r="Y17" s="14">
        <v>0.03</v>
      </c>
      <c r="Z17" s="14">
        <v>0.01</v>
      </c>
      <c r="AA17" s="15" t="s">
        <v>333</v>
      </c>
      <c r="AB17" s="14">
        <v>0.01</v>
      </c>
      <c r="AC17" s="14">
        <v>0.02</v>
      </c>
      <c r="AD17" s="14">
        <v>0.03</v>
      </c>
      <c r="AE17" s="14">
        <v>0.02</v>
      </c>
      <c r="AF17" s="14">
        <v>0.03</v>
      </c>
    </row>
    <row r="18" spans="1:32" x14ac:dyDescent="0.35">
      <c r="A18" s="31"/>
      <c r="B18" s="11" t="s">
        <v>715</v>
      </c>
      <c r="C18" s="12">
        <v>653</v>
      </c>
      <c r="D18" s="12">
        <v>21</v>
      </c>
      <c r="E18" s="12">
        <v>35</v>
      </c>
      <c r="F18" s="12">
        <v>61</v>
      </c>
      <c r="G18" s="12">
        <v>38</v>
      </c>
      <c r="H18" s="12">
        <v>35</v>
      </c>
      <c r="I18" s="12">
        <v>50</v>
      </c>
      <c r="J18" s="12">
        <v>15</v>
      </c>
      <c r="K18" s="12">
        <v>47</v>
      </c>
      <c r="L18" s="12">
        <v>15</v>
      </c>
      <c r="M18" s="12">
        <v>18</v>
      </c>
      <c r="N18" s="12">
        <v>10</v>
      </c>
      <c r="O18" s="12">
        <v>32</v>
      </c>
      <c r="P18" s="12">
        <v>22</v>
      </c>
      <c r="Q18" s="12">
        <v>15</v>
      </c>
      <c r="R18" s="12">
        <v>17</v>
      </c>
      <c r="S18" s="12">
        <v>23</v>
      </c>
      <c r="T18" s="12">
        <v>17</v>
      </c>
      <c r="U18" s="12">
        <v>7</v>
      </c>
      <c r="V18" s="12">
        <v>31</v>
      </c>
      <c r="W18" s="12">
        <v>11</v>
      </c>
      <c r="X18" s="12">
        <v>22</v>
      </c>
      <c r="Y18" s="12">
        <v>38</v>
      </c>
      <c r="Z18" s="12">
        <v>23</v>
      </c>
      <c r="AA18" s="12">
        <v>7</v>
      </c>
      <c r="AB18" s="12">
        <v>23</v>
      </c>
      <c r="AC18" s="12">
        <v>22</v>
      </c>
      <c r="AD18" s="12">
        <v>32</v>
      </c>
      <c r="AE18" s="12">
        <v>22</v>
      </c>
      <c r="AF18" s="12">
        <v>30</v>
      </c>
    </row>
    <row r="19" spans="1:32" x14ac:dyDescent="0.35">
      <c r="A19" s="31"/>
      <c r="B19" s="13" t="s">
        <v>715</v>
      </c>
      <c r="C19" s="14">
        <v>0.02</v>
      </c>
      <c r="D19" s="14">
        <v>0.02</v>
      </c>
      <c r="E19" s="14">
        <v>0.03</v>
      </c>
      <c r="F19" s="14">
        <v>0.06</v>
      </c>
      <c r="G19" s="14">
        <v>0.04</v>
      </c>
      <c r="H19" s="14">
        <v>0.03</v>
      </c>
      <c r="I19" s="14">
        <v>0.03</v>
      </c>
      <c r="J19" s="14">
        <v>0.05</v>
      </c>
      <c r="K19" s="14">
        <v>0.05</v>
      </c>
      <c r="L19" s="14">
        <v>0.02</v>
      </c>
      <c r="M19" s="14">
        <v>0.02</v>
      </c>
      <c r="N19" s="14">
        <v>0.01</v>
      </c>
      <c r="O19" s="14">
        <v>0.03</v>
      </c>
      <c r="P19" s="14">
        <v>0.02</v>
      </c>
      <c r="Q19" s="14">
        <v>0.02</v>
      </c>
      <c r="R19" s="14">
        <v>0.03</v>
      </c>
      <c r="S19" s="14">
        <v>0.02</v>
      </c>
      <c r="T19" s="14">
        <v>0.02</v>
      </c>
      <c r="U19" s="14">
        <v>0.01</v>
      </c>
      <c r="V19" s="14">
        <v>0.03</v>
      </c>
      <c r="W19" s="14">
        <v>0.02</v>
      </c>
      <c r="X19" s="14">
        <v>0.02</v>
      </c>
      <c r="Y19" s="14">
        <v>0.04</v>
      </c>
      <c r="Z19" s="14">
        <v>0.02</v>
      </c>
      <c r="AA19" s="14">
        <v>0.01</v>
      </c>
      <c r="AB19" s="14">
        <v>0.02</v>
      </c>
      <c r="AC19" s="14">
        <v>0.02</v>
      </c>
      <c r="AD19" s="14">
        <v>0.03</v>
      </c>
      <c r="AE19" s="14">
        <v>0.02</v>
      </c>
      <c r="AF19" s="14">
        <v>0.03</v>
      </c>
    </row>
    <row r="20" spans="1:32" x14ac:dyDescent="0.35">
      <c r="A20" s="31"/>
      <c r="B20" s="11" t="s">
        <v>716</v>
      </c>
      <c r="C20" s="12">
        <v>2433</v>
      </c>
      <c r="D20" s="12">
        <v>91</v>
      </c>
      <c r="E20" s="12">
        <v>108</v>
      </c>
      <c r="F20" s="12">
        <v>151</v>
      </c>
      <c r="G20" s="12">
        <v>89</v>
      </c>
      <c r="H20" s="12">
        <v>119</v>
      </c>
      <c r="I20" s="12">
        <v>168</v>
      </c>
      <c r="J20" s="12">
        <v>49</v>
      </c>
      <c r="K20" s="12">
        <v>160</v>
      </c>
      <c r="L20" s="12">
        <v>55</v>
      </c>
      <c r="M20" s="12">
        <v>79</v>
      </c>
      <c r="N20" s="12">
        <v>84</v>
      </c>
      <c r="O20" s="12">
        <v>127</v>
      </c>
      <c r="P20" s="12">
        <v>66</v>
      </c>
      <c r="Q20" s="12">
        <v>44</v>
      </c>
      <c r="R20" s="12">
        <v>32</v>
      </c>
      <c r="S20" s="12">
        <v>128</v>
      </c>
      <c r="T20" s="12">
        <v>116</v>
      </c>
      <c r="U20" s="12">
        <v>30</v>
      </c>
      <c r="V20" s="12">
        <v>76</v>
      </c>
      <c r="W20" s="12">
        <v>22</v>
      </c>
      <c r="X20" s="12">
        <v>44</v>
      </c>
      <c r="Y20" s="12">
        <v>79</v>
      </c>
      <c r="Z20" s="12">
        <v>100</v>
      </c>
      <c r="AA20" s="12">
        <v>78</v>
      </c>
      <c r="AB20" s="12">
        <v>105</v>
      </c>
      <c r="AC20" s="12">
        <v>150</v>
      </c>
      <c r="AD20" s="12">
        <v>103</v>
      </c>
      <c r="AE20" s="12">
        <v>90</v>
      </c>
      <c r="AF20" s="12">
        <v>107</v>
      </c>
    </row>
    <row r="21" spans="1:32" x14ac:dyDescent="0.35">
      <c r="A21" s="31"/>
      <c r="B21" s="13" t="s">
        <v>716</v>
      </c>
      <c r="C21" s="14">
        <v>0.09</v>
      </c>
      <c r="D21" s="14">
        <v>0.09</v>
      </c>
      <c r="E21" s="14">
        <v>0.1</v>
      </c>
      <c r="F21" s="14">
        <v>0.15</v>
      </c>
      <c r="G21" s="14">
        <v>0.09</v>
      </c>
      <c r="H21" s="14">
        <v>0.1</v>
      </c>
      <c r="I21" s="14">
        <v>0.11</v>
      </c>
      <c r="J21" s="14">
        <v>0.16</v>
      </c>
      <c r="K21" s="14">
        <v>0.16</v>
      </c>
      <c r="L21" s="14">
        <v>0.05</v>
      </c>
      <c r="M21" s="14">
        <v>0.08</v>
      </c>
      <c r="N21" s="14">
        <v>0.08</v>
      </c>
      <c r="O21" s="14">
        <v>0.13</v>
      </c>
      <c r="P21" s="14">
        <v>7.0000000000000007E-2</v>
      </c>
      <c r="Q21" s="14">
        <v>0.04</v>
      </c>
      <c r="R21" s="14">
        <v>0.06</v>
      </c>
      <c r="S21" s="14">
        <v>0.12</v>
      </c>
      <c r="T21" s="14">
        <v>0.11</v>
      </c>
      <c r="U21" s="14">
        <v>0.06</v>
      </c>
      <c r="V21" s="14">
        <v>7.0000000000000007E-2</v>
      </c>
      <c r="W21" s="14">
        <v>0.05</v>
      </c>
      <c r="X21" s="14">
        <v>0.05</v>
      </c>
      <c r="Y21" s="14">
        <v>0.08</v>
      </c>
      <c r="Z21" s="14">
        <v>0.1</v>
      </c>
      <c r="AA21" s="14">
        <v>0.08</v>
      </c>
      <c r="AB21" s="14">
        <v>0.1</v>
      </c>
      <c r="AC21" s="14">
        <v>0.15</v>
      </c>
      <c r="AD21" s="14">
        <v>0.1</v>
      </c>
      <c r="AE21" s="14">
        <v>0.09</v>
      </c>
      <c r="AF21" s="14">
        <v>0.11</v>
      </c>
    </row>
    <row r="22" spans="1:32" x14ac:dyDescent="0.35">
      <c r="A22" s="31"/>
      <c r="B22" s="11" t="s">
        <v>717</v>
      </c>
      <c r="C22" s="12">
        <v>2303</v>
      </c>
      <c r="D22" s="12">
        <v>107</v>
      </c>
      <c r="E22" s="12">
        <v>126</v>
      </c>
      <c r="F22" s="12">
        <v>100</v>
      </c>
      <c r="G22" s="12">
        <v>91</v>
      </c>
      <c r="H22" s="12">
        <v>85</v>
      </c>
      <c r="I22" s="12">
        <v>122</v>
      </c>
      <c r="J22" s="12">
        <v>36</v>
      </c>
      <c r="K22" s="12">
        <v>111</v>
      </c>
      <c r="L22" s="12">
        <v>63</v>
      </c>
      <c r="M22" s="12">
        <v>75</v>
      </c>
      <c r="N22" s="12">
        <v>103</v>
      </c>
      <c r="O22" s="12">
        <v>92</v>
      </c>
      <c r="P22" s="12">
        <v>79</v>
      </c>
      <c r="Q22" s="12">
        <v>84</v>
      </c>
      <c r="R22" s="12">
        <v>43</v>
      </c>
      <c r="S22" s="12">
        <v>80</v>
      </c>
      <c r="T22" s="12">
        <v>88</v>
      </c>
      <c r="U22" s="12">
        <v>40</v>
      </c>
      <c r="V22" s="12">
        <v>87</v>
      </c>
      <c r="W22" s="12">
        <v>22</v>
      </c>
      <c r="X22" s="12">
        <v>93</v>
      </c>
      <c r="Y22" s="12">
        <v>55</v>
      </c>
      <c r="Z22" s="12">
        <v>93</v>
      </c>
      <c r="AA22" s="12">
        <v>52</v>
      </c>
      <c r="AB22" s="12">
        <v>97</v>
      </c>
      <c r="AC22" s="12">
        <v>95</v>
      </c>
      <c r="AD22" s="12">
        <v>95</v>
      </c>
      <c r="AE22" s="12">
        <v>75</v>
      </c>
      <c r="AF22" s="12">
        <v>96</v>
      </c>
    </row>
    <row r="23" spans="1:32" x14ac:dyDescent="0.35">
      <c r="A23" s="31"/>
      <c r="B23" s="13" t="s">
        <v>717</v>
      </c>
      <c r="C23" s="14">
        <v>0.09</v>
      </c>
      <c r="D23" s="14">
        <v>0.1</v>
      </c>
      <c r="E23" s="14">
        <v>0.12</v>
      </c>
      <c r="F23" s="14">
        <v>0.1</v>
      </c>
      <c r="G23" s="14">
        <v>0.09</v>
      </c>
      <c r="H23" s="14">
        <v>7.0000000000000007E-2</v>
      </c>
      <c r="I23" s="14">
        <v>0.08</v>
      </c>
      <c r="J23" s="14">
        <v>0.12</v>
      </c>
      <c r="K23" s="14">
        <v>0.11</v>
      </c>
      <c r="L23" s="14">
        <v>0.06</v>
      </c>
      <c r="M23" s="14">
        <v>7.0000000000000007E-2</v>
      </c>
      <c r="N23" s="14">
        <v>0.1</v>
      </c>
      <c r="O23" s="14">
        <v>0.09</v>
      </c>
      <c r="P23" s="14">
        <v>0.08</v>
      </c>
      <c r="Q23" s="14">
        <v>0.08</v>
      </c>
      <c r="R23" s="14">
        <v>0.09</v>
      </c>
      <c r="S23" s="14">
        <v>0.08</v>
      </c>
      <c r="T23" s="14">
        <v>0.09</v>
      </c>
      <c r="U23" s="14">
        <v>0.08</v>
      </c>
      <c r="V23" s="14">
        <v>0.09</v>
      </c>
      <c r="W23" s="14">
        <v>0.04</v>
      </c>
      <c r="X23" s="14">
        <v>0.09</v>
      </c>
      <c r="Y23" s="14">
        <v>0.05</v>
      </c>
      <c r="Z23" s="14">
        <v>0.09</v>
      </c>
      <c r="AA23" s="14">
        <v>0.05</v>
      </c>
      <c r="AB23" s="14">
        <v>0.09</v>
      </c>
      <c r="AC23" s="14">
        <v>0.09</v>
      </c>
      <c r="AD23" s="14">
        <v>0.1</v>
      </c>
      <c r="AE23" s="14">
        <v>0.08</v>
      </c>
      <c r="AF23" s="14">
        <v>0.09</v>
      </c>
    </row>
    <row r="24" spans="1:32" x14ac:dyDescent="0.35">
      <c r="A24" s="31"/>
      <c r="B24" s="11" t="s">
        <v>718</v>
      </c>
      <c r="C24" s="12">
        <v>4377</v>
      </c>
      <c r="D24" s="12">
        <v>256</v>
      </c>
      <c r="E24" s="12">
        <v>167</v>
      </c>
      <c r="F24" s="12">
        <v>142</v>
      </c>
      <c r="G24" s="12">
        <v>191</v>
      </c>
      <c r="H24" s="12">
        <v>159</v>
      </c>
      <c r="I24" s="12">
        <v>209</v>
      </c>
      <c r="J24" s="12">
        <v>49</v>
      </c>
      <c r="K24" s="12">
        <v>158</v>
      </c>
      <c r="L24" s="12">
        <v>119</v>
      </c>
      <c r="M24" s="12">
        <v>186</v>
      </c>
      <c r="N24" s="12">
        <v>121</v>
      </c>
      <c r="O24" s="12">
        <v>204</v>
      </c>
      <c r="P24" s="12">
        <v>121</v>
      </c>
      <c r="Q24" s="12">
        <v>165</v>
      </c>
      <c r="R24" s="12">
        <v>46</v>
      </c>
      <c r="S24" s="12">
        <v>159</v>
      </c>
      <c r="T24" s="12">
        <v>127</v>
      </c>
      <c r="U24" s="12">
        <v>102</v>
      </c>
      <c r="V24" s="12">
        <v>172</v>
      </c>
      <c r="W24" s="12">
        <v>41</v>
      </c>
      <c r="X24" s="12">
        <v>278</v>
      </c>
      <c r="Y24" s="12">
        <v>147</v>
      </c>
      <c r="Z24" s="12">
        <v>202</v>
      </c>
      <c r="AA24" s="12">
        <v>99</v>
      </c>
      <c r="AB24" s="12">
        <v>179</v>
      </c>
      <c r="AC24" s="12">
        <v>142</v>
      </c>
      <c r="AD24" s="12">
        <v>145</v>
      </c>
      <c r="AE24" s="12">
        <v>160</v>
      </c>
      <c r="AF24" s="12">
        <v>179</v>
      </c>
    </row>
    <row r="25" spans="1:32" x14ac:dyDescent="0.35">
      <c r="A25" s="31"/>
      <c r="B25" s="13" t="s">
        <v>718</v>
      </c>
      <c r="C25" s="14">
        <v>0.17</v>
      </c>
      <c r="D25" s="14">
        <v>0.25</v>
      </c>
      <c r="E25" s="14">
        <v>0.16</v>
      </c>
      <c r="F25" s="14">
        <v>0.14000000000000001</v>
      </c>
      <c r="G25" s="14">
        <v>0.19</v>
      </c>
      <c r="H25" s="14">
        <v>0.13</v>
      </c>
      <c r="I25" s="14">
        <v>0.14000000000000001</v>
      </c>
      <c r="J25" s="14">
        <v>0.17</v>
      </c>
      <c r="K25" s="14">
        <v>0.16</v>
      </c>
      <c r="L25" s="14">
        <v>0.12</v>
      </c>
      <c r="M25" s="14">
        <v>0.19</v>
      </c>
      <c r="N25" s="14">
        <v>0.12</v>
      </c>
      <c r="O25" s="14">
        <v>0.2</v>
      </c>
      <c r="P25" s="14">
        <v>0.12</v>
      </c>
      <c r="Q25" s="14">
        <v>0.16</v>
      </c>
      <c r="R25" s="14">
        <v>0.09</v>
      </c>
      <c r="S25" s="14">
        <v>0.16</v>
      </c>
      <c r="T25" s="14">
        <v>0.12</v>
      </c>
      <c r="U25" s="14">
        <v>0.2</v>
      </c>
      <c r="V25" s="14">
        <v>0.17</v>
      </c>
      <c r="W25" s="14">
        <v>0.08</v>
      </c>
      <c r="X25" s="14">
        <v>0.28000000000000003</v>
      </c>
      <c r="Y25" s="14">
        <v>0.15</v>
      </c>
      <c r="Z25" s="14">
        <v>0.2</v>
      </c>
      <c r="AA25" s="14">
        <v>0.1</v>
      </c>
      <c r="AB25" s="14">
        <v>0.17</v>
      </c>
      <c r="AC25" s="14">
        <v>0.14000000000000001</v>
      </c>
      <c r="AD25" s="14">
        <v>0.14000000000000001</v>
      </c>
      <c r="AE25" s="14">
        <v>0.16</v>
      </c>
      <c r="AF25" s="14">
        <v>0.18</v>
      </c>
    </row>
    <row r="26" spans="1:32" x14ac:dyDescent="0.35">
      <c r="A26" s="31"/>
      <c r="B26" s="11" t="s">
        <v>719</v>
      </c>
      <c r="C26" s="12">
        <v>5778</v>
      </c>
      <c r="D26" s="12">
        <v>259</v>
      </c>
      <c r="E26" s="12">
        <v>203</v>
      </c>
      <c r="F26" s="12">
        <v>108</v>
      </c>
      <c r="G26" s="12">
        <v>234</v>
      </c>
      <c r="H26" s="12">
        <v>238</v>
      </c>
      <c r="I26" s="12">
        <v>283</v>
      </c>
      <c r="J26" s="12">
        <v>45</v>
      </c>
      <c r="K26" s="12">
        <v>144</v>
      </c>
      <c r="L26" s="12">
        <v>251</v>
      </c>
      <c r="M26" s="12">
        <v>234</v>
      </c>
      <c r="N26" s="12">
        <v>216</v>
      </c>
      <c r="O26" s="12">
        <v>202</v>
      </c>
      <c r="P26" s="12">
        <v>192</v>
      </c>
      <c r="Q26" s="12">
        <v>281</v>
      </c>
      <c r="R26" s="12">
        <v>128</v>
      </c>
      <c r="S26" s="12">
        <v>194</v>
      </c>
      <c r="T26" s="12">
        <v>214</v>
      </c>
      <c r="U26" s="12">
        <v>129</v>
      </c>
      <c r="V26" s="12">
        <v>251</v>
      </c>
      <c r="W26" s="12">
        <v>77</v>
      </c>
      <c r="X26" s="12">
        <v>330</v>
      </c>
      <c r="Y26" s="12">
        <v>182</v>
      </c>
      <c r="Z26" s="12">
        <v>224</v>
      </c>
      <c r="AA26" s="12">
        <v>205</v>
      </c>
      <c r="AB26" s="12">
        <v>213</v>
      </c>
      <c r="AC26" s="12">
        <v>180</v>
      </c>
      <c r="AD26" s="12">
        <v>191</v>
      </c>
      <c r="AE26" s="12">
        <v>300</v>
      </c>
      <c r="AF26" s="12">
        <v>237</v>
      </c>
    </row>
    <row r="27" spans="1:32" x14ac:dyDescent="0.35">
      <c r="A27" s="31"/>
      <c r="B27" s="13" t="s">
        <v>719</v>
      </c>
      <c r="C27" s="14">
        <v>0.22</v>
      </c>
      <c r="D27" s="14">
        <v>0.25</v>
      </c>
      <c r="E27" s="14">
        <v>0.2</v>
      </c>
      <c r="F27" s="14">
        <v>0.11</v>
      </c>
      <c r="G27" s="14">
        <v>0.23</v>
      </c>
      <c r="H27" s="14">
        <v>0.19</v>
      </c>
      <c r="I27" s="14">
        <v>0.19</v>
      </c>
      <c r="J27" s="14">
        <v>0.15</v>
      </c>
      <c r="K27" s="14">
        <v>0.14000000000000001</v>
      </c>
      <c r="L27" s="14">
        <v>0.25</v>
      </c>
      <c r="M27" s="14">
        <v>0.23</v>
      </c>
      <c r="N27" s="14">
        <v>0.22</v>
      </c>
      <c r="O27" s="14">
        <v>0.2</v>
      </c>
      <c r="P27" s="14">
        <v>0.19</v>
      </c>
      <c r="Q27" s="14">
        <v>0.27</v>
      </c>
      <c r="R27" s="14">
        <v>0.26</v>
      </c>
      <c r="S27" s="14">
        <v>0.19</v>
      </c>
      <c r="T27" s="14">
        <v>0.21</v>
      </c>
      <c r="U27" s="14">
        <v>0.25</v>
      </c>
      <c r="V27" s="14">
        <v>0.25</v>
      </c>
      <c r="W27" s="14">
        <v>0.16</v>
      </c>
      <c r="X27" s="14">
        <v>0.33</v>
      </c>
      <c r="Y27" s="14">
        <v>0.18</v>
      </c>
      <c r="Z27" s="14">
        <v>0.22</v>
      </c>
      <c r="AA27" s="14">
        <v>0.2</v>
      </c>
      <c r="AB27" s="14">
        <v>0.2</v>
      </c>
      <c r="AC27" s="14">
        <v>0.18</v>
      </c>
      <c r="AD27" s="14">
        <v>0.19</v>
      </c>
      <c r="AE27" s="14">
        <v>0.3</v>
      </c>
      <c r="AF27" s="14">
        <v>0.23</v>
      </c>
    </row>
    <row r="28" spans="1:32" x14ac:dyDescent="0.35">
      <c r="A28" s="31"/>
      <c r="B28" s="11" t="s">
        <v>720</v>
      </c>
      <c r="C28" s="12">
        <v>3741</v>
      </c>
      <c r="D28" s="12">
        <v>122</v>
      </c>
      <c r="E28" s="12">
        <v>98</v>
      </c>
      <c r="F28" s="12">
        <v>73</v>
      </c>
      <c r="G28" s="12">
        <v>120</v>
      </c>
      <c r="H28" s="12">
        <v>172</v>
      </c>
      <c r="I28" s="12">
        <v>204</v>
      </c>
      <c r="J28" s="12">
        <v>32</v>
      </c>
      <c r="K28" s="12">
        <v>94</v>
      </c>
      <c r="L28" s="12">
        <v>144</v>
      </c>
      <c r="M28" s="12">
        <v>238</v>
      </c>
      <c r="N28" s="12">
        <v>169</v>
      </c>
      <c r="O28" s="12">
        <v>75</v>
      </c>
      <c r="P28" s="12">
        <v>127</v>
      </c>
      <c r="Q28" s="12">
        <v>223</v>
      </c>
      <c r="R28" s="12">
        <v>61</v>
      </c>
      <c r="S28" s="12">
        <v>122</v>
      </c>
      <c r="T28" s="12">
        <v>107</v>
      </c>
      <c r="U28" s="12">
        <v>78</v>
      </c>
      <c r="V28" s="12">
        <v>141</v>
      </c>
      <c r="W28" s="12">
        <v>62</v>
      </c>
      <c r="X28" s="12">
        <v>118</v>
      </c>
      <c r="Y28" s="12">
        <v>103</v>
      </c>
      <c r="Z28" s="12">
        <v>172</v>
      </c>
      <c r="AA28" s="12">
        <v>194</v>
      </c>
      <c r="AB28" s="12">
        <v>148</v>
      </c>
      <c r="AC28" s="12">
        <v>89</v>
      </c>
      <c r="AD28" s="12">
        <v>140</v>
      </c>
      <c r="AE28" s="12">
        <v>146</v>
      </c>
      <c r="AF28" s="12">
        <v>91</v>
      </c>
    </row>
    <row r="29" spans="1:32" x14ac:dyDescent="0.35">
      <c r="A29" s="31"/>
      <c r="B29" s="13" t="s">
        <v>720</v>
      </c>
      <c r="C29" s="14">
        <v>0.14000000000000001</v>
      </c>
      <c r="D29" s="14">
        <v>0.12</v>
      </c>
      <c r="E29" s="14">
        <v>0.1</v>
      </c>
      <c r="F29" s="14">
        <v>7.0000000000000007E-2</v>
      </c>
      <c r="G29" s="14">
        <v>0.12</v>
      </c>
      <c r="H29" s="14">
        <v>0.14000000000000001</v>
      </c>
      <c r="I29" s="14">
        <v>0.13</v>
      </c>
      <c r="J29" s="14">
        <v>0.11</v>
      </c>
      <c r="K29" s="14">
        <v>0.09</v>
      </c>
      <c r="L29" s="14">
        <v>0.14000000000000001</v>
      </c>
      <c r="M29" s="14">
        <v>0.24</v>
      </c>
      <c r="N29" s="14">
        <v>0.17</v>
      </c>
      <c r="O29" s="14">
        <v>0.08</v>
      </c>
      <c r="P29" s="14">
        <v>0.13</v>
      </c>
      <c r="Q29" s="14">
        <v>0.22</v>
      </c>
      <c r="R29" s="14">
        <v>0.12</v>
      </c>
      <c r="S29" s="14">
        <v>0.12</v>
      </c>
      <c r="T29" s="14">
        <v>0.11</v>
      </c>
      <c r="U29" s="14">
        <v>0.15</v>
      </c>
      <c r="V29" s="14">
        <v>0.14000000000000001</v>
      </c>
      <c r="W29" s="14">
        <v>0.12</v>
      </c>
      <c r="X29" s="14">
        <v>0.12</v>
      </c>
      <c r="Y29" s="14">
        <v>0.1</v>
      </c>
      <c r="Z29" s="14">
        <v>0.17</v>
      </c>
      <c r="AA29" s="14">
        <v>0.19</v>
      </c>
      <c r="AB29" s="14">
        <v>0.14000000000000001</v>
      </c>
      <c r="AC29" s="14">
        <v>0.09</v>
      </c>
      <c r="AD29" s="14">
        <v>0.14000000000000001</v>
      </c>
      <c r="AE29" s="14">
        <v>0.15</v>
      </c>
      <c r="AF29" s="14">
        <v>0.09</v>
      </c>
    </row>
    <row r="30" spans="1:32" x14ac:dyDescent="0.35">
      <c r="A30" s="31"/>
      <c r="B30" s="11" t="s">
        <v>721</v>
      </c>
      <c r="C30" s="12">
        <v>5080</v>
      </c>
      <c r="D30" s="12">
        <v>122</v>
      </c>
      <c r="E30" s="12">
        <v>184</v>
      </c>
      <c r="F30" s="12">
        <v>186</v>
      </c>
      <c r="G30" s="12">
        <v>191</v>
      </c>
      <c r="H30" s="12">
        <v>287</v>
      </c>
      <c r="I30" s="12">
        <v>331</v>
      </c>
      <c r="J30" s="12">
        <v>44</v>
      </c>
      <c r="K30" s="12">
        <v>151</v>
      </c>
      <c r="L30" s="12">
        <v>319</v>
      </c>
      <c r="M30" s="12">
        <v>123</v>
      </c>
      <c r="N30" s="12">
        <v>210</v>
      </c>
      <c r="O30" s="12">
        <v>175</v>
      </c>
      <c r="P30" s="12">
        <v>366</v>
      </c>
      <c r="Q30" s="12">
        <v>170</v>
      </c>
      <c r="R30" s="12">
        <v>155</v>
      </c>
      <c r="S30" s="12">
        <v>205</v>
      </c>
      <c r="T30" s="12">
        <v>233</v>
      </c>
      <c r="U30" s="12">
        <v>109</v>
      </c>
      <c r="V30" s="12">
        <v>224</v>
      </c>
      <c r="W30" s="12">
        <v>253</v>
      </c>
      <c r="X30" s="12">
        <v>101</v>
      </c>
      <c r="Y30" s="12">
        <v>302</v>
      </c>
      <c r="Z30" s="12">
        <v>163</v>
      </c>
      <c r="AA30" s="12">
        <v>335</v>
      </c>
      <c r="AB30" s="12">
        <v>205</v>
      </c>
      <c r="AC30" s="12">
        <v>268</v>
      </c>
      <c r="AD30" s="12">
        <v>216</v>
      </c>
      <c r="AE30" s="12">
        <v>133</v>
      </c>
      <c r="AF30" s="12">
        <v>222</v>
      </c>
    </row>
    <row r="31" spans="1:32" x14ac:dyDescent="0.35">
      <c r="A31" s="31"/>
      <c r="B31" s="13" t="s">
        <v>722</v>
      </c>
      <c r="C31" s="14">
        <v>0.19</v>
      </c>
      <c r="D31" s="14">
        <v>0.12</v>
      </c>
      <c r="E31" s="14">
        <v>0.18</v>
      </c>
      <c r="F31" s="14">
        <v>0.18</v>
      </c>
      <c r="G31" s="14">
        <v>0.19</v>
      </c>
      <c r="H31" s="14">
        <v>0.23</v>
      </c>
      <c r="I31" s="14">
        <v>0.22</v>
      </c>
      <c r="J31" s="14">
        <v>0.15</v>
      </c>
      <c r="K31" s="14">
        <v>0.15</v>
      </c>
      <c r="L31" s="14">
        <v>0.32</v>
      </c>
      <c r="M31" s="14">
        <v>0.12</v>
      </c>
      <c r="N31" s="14">
        <v>0.21</v>
      </c>
      <c r="O31" s="14">
        <v>0.18</v>
      </c>
      <c r="P31" s="14">
        <v>0.36</v>
      </c>
      <c r="Q31" s="14">
        <v>0.16</v>
      </c>
      <c r="R31" s="14">
        <v>0.31</v>
      </c>
      <c r="S31" s="14">
        <v>0.2</v>
      </c>
      <c r="T31" s="14">
        <v>0.23</v>
      </c>
      <c r="U31" s="14">
        <v>0.21</v>
      </c>
      <c r="V31" s="14">
        <v>0.22</v>
      </c>
      <c r="W31" s="14">
        <v>0.51</v>
      </c>
      <c r="X31" s="14">
        <v>0.1</v>
      </c>
      <c r="Y31" s="14">
        <v>0.3</v>
      </c>
      <c r="Z31" s="14">
        <v>0.16</v>
      </c>
      <c r="AA31" s="14">
        <v>0.32</v>
      </c>
      <c r="AB31" s="14">
        <v>0.19</v>
      </c>
      <c r="AC31" s="14">
        <v>0.27</v>
      </c>
      <c r="AD31" s="14">
        <v>0.22</v>
      </c>
      <c r="AE31" s="14">
        <v>0.13</v>
      </c>
      <c r="AF31" s="14">
        <v>0.22</v>
      </c>
    </row>
    <row r="32" spans="1:32" x14ac:dyDescent="0.35">
      <c r="A32" s="31"/>
      <c r="B32" s="11" t="s">
        <v>723</v>
      </c>
      <c r="C32" s="12">
        <v>88</v>
      </c>
      <c r="D32" s="12">
        <v>1</v>
      </c>
      <c r="E32" s="12">
        <v>9</v>
      </c>
      <c r="F32" s="12">
        <v>1</v>
      </c>
      <c r="G32" s="12">
        <v>1</v>
      </c>
      <c r="H32" s="12">
        <v>4</v>
      </c>
      <c r="I32" s="12">
        <v>6</v>
      </c>
      <c r="J32" s="12">
        <v>2</v>
      </c>
      <c r="K32" s="12">
        <v>15</v>
      </c>
      <c r="L32" s="12">
        <v>5</v>
      </c>
      <c r="M32" s="12">
        <v>5</v>
      </c>
      <c r="N32" s="12">
        <v>0</v>
      </c>
      <c r="O32" s="12">
        <v>4</v>
      </c>
      <c r="P32" s="12">
        <v>1</v>
      </c>
      <c r="Q32" s="12">
        <v>6</v>
      </c>
      <c r="R32" s="12">
        <v>1</v>
      </c>
      <c r="S32" s="12">
        <v>8</v>
      </c>
      <c r="T32" s="12">
        <v>4</v>
      </c>
      <c r="U32" s="12">
        <v>0</v>
      </c>
      <c r="V32" s="12">
        <v>4</v>
      </c>
      <c r="W32" s="12">
        <v>1</v>
      </c>
      <c r="X32" s="12">
        <v>0</v>
      </c>
      <c r="Y32" s="12">
        <v>11</v>
      </c>
      <c r="Z32" s="12">
        <v>1</v>
      </c>
      <c r="AA32" s="12">
        <v>3</v>
      </c>
      <c r="AB32" s="12">
        <v>6</v>
      </c>
      <c r="AC32" s="12">
        <v>0</v>
      </c>
      <c r="AD32" s="12">
        <v>2</v>
      </c>
      <c r="AE32" s="12">
        <v>3</v>
      </c>
      <c r="AF32" s="12">
        <v>1</v>
      </c>
    </row>
    <row r="33" spans="1:32" ht="21.5" x14ac:dyDescent="0.35">
      <c r="A33" s="31"/>
      <c r="B33" s="13" t="s">
        <v>724</v>
      </c>
      <c r="C33" s="15" t="s">
        <v>333</v>
      </c>
      <c r="D33" s="15" t="s">
        <v>333</v>
      </c>
      <c r="E33" s="14">
        <v>0.01</v>
      </c>
      <c r="F33" s="15" t="s">
        <v>333</v>
      </c>
      <c r="G33" s="15" t="s">
        <v>333</v>
      </c>
      <c r="H33" s="14">
        <v>0.01</v>
      </c>
      <c r="I33" s="15" t="s">
        <v>333</v>
      </c>
      <c r="J33" s="15" t="s">
        <v>333</v>
      </c>
      <c r="K33" s="14">
        <v>0.01</v>
      </c>
      <c r="L33" s="15" t="s">
        <v>333</v>
      </c>
      <c r="M33" s="15" t="s">
        <v>333</v>
      </c>
      <c r="N33" s="15" t="s">
        <v>333</v>
      </c>
      <c r="O33" s="15" t="s">
        <v>333</v>
      </c>
      <c r="P33" s="15" t="s">
        <v>333</v>
      </c>
      <c r="Q33" s="14">
        <v>0.01</v>
      </c>
      <c r="R33" s="15" t="s">
        <v>333</v>
      </c>
      <c r="S33" s="14">
        <v>0.01</v>
      </c>
      <c r="T33" s="15" t="s">
        <v>333</v>
      </c>
      <c r="U33" s="15" t="s">
        <v>333</v>
      </c>
      <c r="V33" s="15" t="s">
        <v>333</v>
      </c>
      <c r="W33" s="15" t="s">
        <v>333</v>
      </c>
      <c r="X33" s="15" t="s">
        <v>333</v>
      </c>
      <c r="Y33" s="14">
        <v>0.01</v>
      </c>
      <c r="Z33" s="15" t="s">
        <v>333</v>
      </c>
      <c r="AA33" s="15" t="s">
        <v>333</v>
      </c>
      <c r="AB33" s="14">
        <v>0.01</v>
      </c>
      <c r="AC33" s="15" t="s">
        <v>333</v>
      </c>
      <c r="AD33" s="15" t="s">
        <v>333</v>
      </c>
      <c r="AE33" s="15" t="s">
        <v>333</v>
      </c>
      <c r="AF33" s="15" t="s">
        <v>333</v>
      </c>
    </row>
    <row r="34" spans="1:32" x14ac:dyDescent="0.35">
      <c r="A34" s="31"/>
      <c r="B34" s="11" t="s">
        <v>344</v>
      </c>
      <c r="C34" s="12">
        <v>766</v>
      </c>
      <c r="D34" s="12">
        <v>10</v>
      </c>
      <c r="E34" s="12">
        <v>53</v>
      </c>
      <c r="F34" s="12">
        <v>36</v>
      </c>
      <c r="G34" s="12">
        <v>27</v>
      </c>
      <c r="H34" s="12">
        <v>73</v>
      </c>
      <c r="I34" s="12">
        <v>78</v>
      </c>
      <c r="J34" s="12">
        <v>5</v>
      </c>
      <c r="K34" s="12">
        <v>73</v>
      </c>
      <c r="L34" s="12">
        <v>10</v>
      </c>
      <c r="M34" s="12">
        <v>8</v>
      </c>
      <c r="N34" s="12">
        <v>37</v>
      </c>
      <c r="O34" s="12">
        <v>30</v>
      </c>
      <c r="P34" s="12">
        <v>7</v>
      </c>
      <c r="Q34" s="12">
        <v>4</v>
      </c>
      <c r="R34" s="12">
        <v>9</v>
      </c>
      <c r="S34" s="12">
        <v>61</v>
      </c>
      <c r="T34" s="12">
        <v>89</v>
      </c>
      <c r="U34" s="12">
        <v>5</v>
      </c>
      <c r="V34" s="12">
        <v>8</v>
      </c>
      <c r="W34" s="12">
        <v>1</v>
      </c>
      <c r="X34" s="12">
        <v>1</v>
      </c>
      <c r="Y34" s="12">
        <v>37</v>
      </c>
      <c r="Z34" s="12">
        <v>22</v>
      </c>
      <c r="AA34" s="12">
        <v>49</v>
      </c>
      <c r="AB34" s="12">
        <v>55</v>
      </c>
      <c r="AC34" s="12">
        <v>2</v>
      </c>
      <c r="AD34" s="12">
        <v>9</v>
      </c>
      <c r="AE34" s="12">
        <v>22</v>
      </c>
      <c r="AF34" s="12">
        <v>10</v>
      </c>
    </row>
    <row r="35" spans="1:32" x14ac:dyDescent="0.35">
      <c r="A35" s="31"/>
      <c r="B35" s="13" t="s">
        <v>357</v>
      </c>
      <c r="C35" s="14">
        <v>0.03</v>
      </c>
      <c r="D35" s="14">
        <v>0.01</v>
      </c>
      <c r="E35" s="14">
        <v>0.05</v>
      </c>
      <c r="F35" s="14">
        <v>0.04</v>
      </c>
      <c r="G35" s="14">
        <v>0.02</v>
      </c>
      <c r="H35" s="14">
        <v>0.06</v>
      </c>
      <c r="I35" s="14">
        <v>0.05</v>
      </c>
      <c r="J35" s="14">
        <v>0.02</v>
      </c>
      <c r="K35" s="14">
        <v>7.0000000000000007E-2</v>
      </c>
      <c r="L35" s="14">
        <v>0.01</v>
      </c>
      <c r="M35" s="14">
        <v>0.01</v>
      </c>
      <c r="N35" s="14">
        <v>0.04</v>
      </c>
      <c r="O35" s="14">
        <v>0.03</v>
      </c>
      <c r="P35" s="14">
        <v>0.01</v>
      </c>
      <c r="Q35" s="15" t="s">
        <v>333</v>
      </c>
      <c r="R35" s="14">
        <v>0.02</v>
      </c>
      <c r="S35" s="14">
        <v>0.06</v>
      </c>
      <c r="T35" s="14">
        <v>0.09</v>
      </c>
      <c r="U35" s="14">
        <v>0.01</v>
      </c>
      <c r="V35" s="14">
        <v>0.01</v>
      </c>
      <c r="W35" s="15" t="s">
        <v>333</v>
      </c>
      <c r="X35" s="15" t="s">
        <v>333</v>
      </c>
      <c r="Y35" s="14">
        <v>0.04</v>
      </c>
      <c r="Z35" s="14">
        <v>0.02</v>
      </c>
      <c r="AA35" s="14">
        <v>0.05</v>
      </c>
      <c r="AB35" s="14">
        <v>0.05</v>
      </c>
      <c r="AC35" s="15" t="s">
        <v>333</v>
      </c>
      <c r="AD35" s="14">
        <v>0.01</v>
      </c>
      <c r="AE35" s="14">
        <v>0.02</v>
      </c>
      <c r="AF35" s="14">
        <v>0.01</v>
      </c>
    </row>
    <row r="36" spans="1:32" x14ac:dyDescent="0.35">
      <c r="A36" s="31"/>
      <c r="B36" s="11" t="s">
        <v>597</v>
      </c>
      <c r="C36" s="12">
        <v>1842</v>
      </c>
      <c r="D36" s="12">
        <v>57</v>
      </c>
      <c r="E36" s="12">
        <v>90</v>
      </c>
      <c r="F36" s="12">
        <v>218</v>
      </c>
      <c r="G36" s="12">
        <v>74</v>
      </c>
      <c r="H36" s="12">
        <v>95</v>
      </c>
      <c r="I36" s="12">
        <v>129</v>
      </c>
      <c r="J36" s="12">
        <v>36</v>
      </c>
      <c r="K36" s="12">
        <v>104</v>
      </c>
      <c r="L36" s="12">
        <v>37</v>
      </c>
      <c r="M36" s="12">
        <v>57</v>
      </c>
      <c r="N36" s="12">
        <v>60</v>
      </c>
      <c r="O36" s="12">
        <v>91</v>
      </c>
      <c r="P36" s="12">
        <v>45</v>
      </c>
      <c r="Q36" s="12">
        <v>58</v>
      </c>
      <c r="R36" s="12">
        <v>26</v>
      </c>
      <c r="S36" s="12">
        <v>64</v>
      </c>
      <c r="T36" s="12">
        <v>39</v>
      </c>
      <c r="U36" s="12">
        <v>16</v>
      </c>
      <c r="V36" s="12">
        <v>50</v>
      </c>
      <c r="W36" s="12">
        <v>20</v>
      </c>
      <c r="X36" s="12">
        <v>44</v>
      </c>
      <c r="Y36" s="12">
        <v>87</v>
      </c>
      <c r="Z36" s="12">
        <v>43</v>
      </c>
      <c r="AA36" s="12">
        <v>17</v>
      </c>
      <c r="AB36" s="12">
        <v>48</v>
      </c>
      <c r="AC36" s="12">
        <v>88</v>
      </c>
      <c r="AD36" s="12">
        <v>103</v>
      </c>
      <c r="AE36" s="12">
        <v>76</v>
      </c>
      <c r="AF36" s="12">
        <v>76</v>
      </c>
    </row>
    <row r="37" spans="1:32" x14ac:dyDescent="0.35">
      <c r="A37" s="31"/>
      <c r="B37" s="13" t="s">
        <v>598</v>
      </c>
      <c r="C37" s="14">
        <v>7.0000000000000007E-2</v>
      </c>
      <c r="D37" s="14">
        <v>0.06</v>
      </c>
      <c r="E37" s="14">
        <v>0.08</v>
      </c>
      <c r="F37" s="14">
        <v>0.21</v>
      </c>
      <c r="G37" s="14">
        <v>7.0000000000000007E-2</v>
      </c>
      <c r="H37" s="14">
        <v>7.0000000000000007E-2</v>
      </c>
      <c r="I37" s="14">
        <v>0.08</v>
      </c>
      <c r="J37" s="14">
        <v>0.12</v>
      </c>
      <c r="K37" s="14">
        <v>0.11</v>
      </c>
      <c r="L37" s="14">
        <v>0.05</v>
      </c>
      <c r="M37" s="14">
        <v>0.06</v>
      </c>
      <c r="N37" s="14">
        <v>0.06</v>
      </c>
      <c r="O37" s="14">
        <v>0.09</v>
      </c>
      <c r="P37" s="14">
        <v>0.04</v>
      </c>
      <c r="Q37" s="14">
        <v>0.06</v>
      </c>
      <c r="R37" s="14">
        <v>0.05</v>
      </c>
      <c r="S37" s="14">
        <v>0.06</v>
      </c>
      <c r="T37" s="14">
        <v>0.04</v>
      </c>
      <c r="U37" s="14">
        <v>0.04</v>
      </c>
      <c r="V37" s="14">
        <v>0.05</v>
      </c>
      <c r="W37" s="14">
        <v>0.04</v>
      </c>
      <c r="X37" s="14">
        <v>0.03</v>
      </c>
      <c r="Y37" s="14">
        <v>0.09</v>
      </c>
      <c r="Z37" s="14">
        <v>0.04</v>
      </c>
      <c r="AA37" s="14">
        <v>0.01</v>
      </c>
      <c r="AB37" s="14">
        <v>0.05</v>
      </c>
      <c r="AC37" s="14">
        <v>0.08</v>
      </c>
      <c r="AD37" s="14">
        <v>0.1</v>
      </c>
      <c r="AE37" s="14">
        <v>7.0000000000000007E-2</v>
      </c>
      <c r="AF37" s="14">
        <v>7.0000000000000007E-2</v>
      </c>
    </row>
    <row r="38" spans="1:32" x14ac:dyDescent="0.35">
      <c r="A38" s="31"/>
      <c r="B38" s="11" t="s">
        <v>725</v>
      </c>
      <c r="C38" s="12">
        <v>4736</v>
      </c>
      <c r="D38" s="12">
        <v>198</v>
      </c>
      <c r="E38" s="12">
        <v>234</v>
      </c>
      <c r="F38" s="12">
        <v>251</v>
      </c>
      <c r="G38" s="12">
        <v>180</v>
      </c>
      <c r="H38" s="12">
        <v>204</v>
      </c>
      <c r="I38" s="12">
        <v>290</v>
      </c>
      <c r="J38" s="12">
        <v>85</v>
      </c>
      <c r="K38" s="12">
        <v>271</v>
      </c>
      <c r="L38" s="12">
        <v>118</v>
      </c>
      <c r="M38" s="12">
        <v>154</v>
      </c>
      <c r="N38" s="12">
        <v>187</v>
      </c>
      <c r="O38" s="12">
        <v>219</v>
      </c>
      <c r="P38" s="12">
        <v>145</v>
      </c>
      <c r="Q38" s="12">
        <v>128</v>
      </c>
      <c r="R38" s="12">
        <v>75</v>
      </c>
      <c r="S38" s="12">
        <v>208</v>
      </c>
      <c r="T38" s="12">
        <v>204</v>
      </c>
      <c r="U38" s="12">
        <v>70</v>
      </c>
      <c r="V38" s="12">
        <v>163</v>
      </c>
      <c r="W38" s="12">
        <v>44</v>
      </c>
      <c r="X38" s="12">
        <v>137</v>
      </c>
      <c r="Y38" s="12">
        <v>134</v>
      </c>
      <c r="Z38" s="12">
        <v>193</v>
      </c>
      <c r="AA38" s="12">
        <v>130</v>
      </c>
      <c r="AB38" s="12">
        <v>202</v>
      </c>
      <c r="AC38" s="12">
        <v>245</v>
      </c>
      <c r="AD38" s="12">
        <v>198</v>
      </c>
      <c r="AE38" s="12">
        <v>165</v>
      </c>
      <c r="AF38" s="12">
        <v>203</v>
      </c>
    </row>
    <row r="39" spans="1:32" x14ac:dyDescent="0.35">
      <c r="A39" s="31"/>
      <c r="B39" s="13" t="s">
        <v>726</v>
      </c>
      <c r="C39" s="14">
        <v>0.18</v>
      </c>
      <c r="D39" s="14">
        <v>0.19</v>
      </c>
      <c r="E39" s="14">
        <v>0.22</v>
      </c>
      <c r="F39" s="14">
        <v>0.25</v>
      </c>
      <c r="G39" s="14">
        <v>0.18</v>
      </c>
      <c r="H39" s="14">
        <v>0.17</v>
      </c>
      <c r="I39" s="14">
        <v>0.19</v>
      </c>
      <c r="J39" s="14">
        <v>0.28000000000000003</v>
      </c>
      <c r="K39" s="14">
        <v>0.27</v>
      </c>
      <c r="L39" s="14">
        <v>0.11</v>
      </c>
      <c r="M39" s="14">
        <v>0.15</v>
      </c>
      <c r="N39" s="14">
        <v>0.18</v>
      </c>
      <c r="O39" s="14">
        <v>0.22</v>
      </c>
      <c r="P39" s="14">
        <v>0.15</v>
      </c>
      <c r="Q39" s="14">
        <v>0.12</v>
      </c>
      <c r="R39" s="14">
        <v>0.15</v>
      </c>
      <c r="S39" s="14">
        <v>0.2</v>
      </c>
      <c r="T39" s="14">
        <v>0.2</v>
      </c>
      <c r="U39" s="14">
        <v>0.14000000000000001</v>
      </c>
      <c r="V39" s="14">
        <v>0.16</v>
      </c>
      <c r="W39" s="14">
        <v>0.09</v>
      </c>
      <c r="X39" s="14">
        <v>0.14000000000000001</v>
      </c>
      <c r="Y39" s="14">
        <v>0.13</v>
      </c>
      <c r="Z39" s="14">
        <v>0.19</v>
      </c>
      <c r="AA39" s="14">
        <v>0.13</v>
      </c>
      <c r="AB39" s="14">
        <v>0.19</v>
      </c>
      <c r="AC39" s="14">
        <v>0.24</v>
      </c>
      <c r="AD39" s="14">
        <v>0.2</v>
      </c>
      <c r="AE39" s="14">
        <v>0.17</v>
      </c>
      <c r="AF39" s="14">
        <v>0.2</v>
      </c>
    </row>
    <row r="40" spans="1:32" x14ac:dyDescent="0.35">
      <c r="A40" s="31"/>
      <c r="B40" s="11" t="s">
        <v>596</v>
      </c>
      <c r="C40" s="12">
        <v>18976</v>
      </c>
      <c r="D40" s="12">
        <v>759</v>
      </c>
      <c r="E40" s="12">
        <v>652</v>
      </c>
      <c r="F40" s="12">
        <v>509</v>
      </c>
      <c r="G40" s="12">
        <v>736</v>
      </c>
      <c r="H40" s="12">
        <v>856</v>
      </c>
      <c r="I40" s="12">
        <v>1027</v>
      </c>
      <c r="J40" s="12">
        <v>170</v>
      </c>
      <c r="K40" s="12">
        <v>547</v>
      </c>
      <c r="L40" s="12">
        <v>833</v>
      </c>
      <c r="M40" s="12">
        <v>781</v>
      </c>
      <c r="N40" s="12">
        <v>716</v>
      </c>
      <c r="O40" s="12">
        <v>656</v>
      </c>
      <c r="P40" s="12">
        <v>806</v>
      </c>
      <c r="Q40" s="12">
        <v>839</v>
      </c>
      <c r="R40" s="12">
        <v>390</v>
      </c>
      <c r="S40" s="12">
        <v>680</v>
      </c>
      <c r="T40" s="12">
        <v>681</v>
      </c>
      <c r="U40" s="12">
        <v>418</v>
      </c>
      <c r="V40" s="12">
        <v>788</v>
      </c>
      <c r="W40" s="12">
        <v>433</v>
      </c>
      <c r="X40" s="12">
        <v>827</v>
      </c>
      <c r="Y40" s="12">
        <v>734</v>
      </c>
      <c r="Z40" s="12">
        <v>761</v>
      </c>
      <c r="AA40" s="12">
        <v>833</v>
      </c>
      <c r="AB40" s="12">
        <v>745</v>
      </c>
      <c r="AC40" s="12">
        <v>679</v>
      </c>
      <c r="AD40" s="12">
        <v>692</v>
      </c>
      <c r="AE40" s="12">
        <v>739</v>
      </c>
      <c r="AF40" s="12">
        <v>729</v>
      </c>
    </row>
    <row r="41" spans="1:32" x14ac:dyDescent="0.35">
      <c r="A41" s="31"/>
      <c r="B41" s="13" t="s">
        <v>596</v>
      </c>
      <c r="C41" s="14">
        <v>0.72</v>
      </c>
      <c r="D41" s="14">
        <v>0.74</v>
      </c>
      <c r="E41" s="14">
        <v>0.64</v>
      </c>
      <c r="F41" s="14">
        <v>0.5</v>
      </c>
      <c r="G41" s="14">
        <v>0.73</v>
      </c>
      <c r="H41" s="14">
        <v>0.69000000000000006</v>
      </c>
      <c r="I41" s="14">
        <v>0.68</v>
      </c>
      <c r="J41" s="14">
        <v>0.57999999999999996</v>
      </c>
      <c r="K41" s="14">
        <v>0.54</v>
      </c>
      <c r="L41" s="14">
        <v>0.83000000000000007</v>
      </c>
      <c r="M41" s="14">
        <v>0.78</v>
      </c>
      <c r="N41" s="14">
        <v>0.72</v>
      </c>
      <c r="O41" s="14">
        <v>0.66</v>
      </c>
      <c r="P41" s="14">
        <v>0.8</v>
      </c>
      <c r="Q41" s="14">
        <v>0.81</v>
      </c>
      <c r="R41" s="14">
        <v>0.78</v>
      </c>
      <c r="S41" s="14">
        <v>0.67</v>
      </c>
      <c r="T41" s="14">
        <v>0.67</v>
      </c>
      <c r="U41" s="14">
        <v>0.81</v>
      </c>
      <c r="V41" s="14">
        <v>0.78</v>
      </c>
      <c r="W41" s="14">
        <v>0.87</v>
      </c>
      <c r="X41" s="14">
        <v>0.83000000000000007</v>
      </c>
      <c r="Y41" s="14">
        <v>0.73</v>
      </c>
      <c r="Z41" s="14">
        <v>0.75</v>
      </c>
      <c r="AA41" s="14">
        <v>0.81</v>
      </c>
      <c r="AB41" s="14">
        <v>0.70000000000000007</v>
      </c>
      <c r="AC41" s="14">
        <v>0.68</v>
      </c>
      <c r="AD41" s="14">
        <v>0.69000000000000006</v>
      </c>
      <c r="AE41" s="14">
        <v>0.74</v>
      </c>
      <c r="AF41" s="14">
        <v>0.72</v>
      </c>
    </row>
    <row r="42" spans="1:32" x14ac:dyDescent="0.35">
      <c r="A42" s="32"/>
      <c r="B42" s="11" t="s">
        <v>727</v>
      </c>
      <c r="C42" s="12">
        <v>7.53</v>
      </c>
      <c r="D42" s="12">
        <v>7.32</v>
      </c>
      <c r="E42" s="12">
        <v>7.22</v>
      </c>
      <c r="F42" s="12">
        <v>6.44</v>
      </c>
      <c r="G42" s="12">
        <v>7.5</v>
      </c>
      <c r="H42" s="12">
        <v>7.63</v>
      </c>
      <c r="I42" s="12">
        <v>7.48</v>
      </c>
      <c r="J42" s="12">
        <v>6.86</v>
      </c>
      <c r="K42" s="12">
        <v>6.95</v>
      </c>
      <c r="L42" s="12">
        <v>8.19</v>
      </c>
      <c r="M42" s="12">
        <v>7.59</v>
      </c>
      <c r="N42" s="12">
        <v>7.67</v>
      </c>
      <c r="O42" s="12">
        <v>7.15</v>
      </c>
      <c r="P42" s="12">
        <v>8.17</v>
      </c>
      <c r="Q42" s="12">
        <v>7.79</v>
      </c>
      <c r="R42" s="12">
        <v>8.0299999999999994</v>
      </c>
      <c r="S42" s="12">
        <v>7.47</v>
      </c>
      <c r="T42" s="12">
        <v>7.71</v>
      </c>
      <c r="U42" s="12">
        <v>7.88</v>
      </c>
      <c r="V42" s="12">
        <v>7.78</v>
      </c>
      <c r="W42" s="12">
        <v>8.6300000000000008</v>
      </c>
      <c r="X42" s="12">
        <v>7.52</v>
      </c>
      <c r="Y42" s="12">
        <v>7.77</v>
      </c>
      <c r="Z42" s="12">
        <v>7.6</v>
      </c>
      <c r="AA42" s="12">
        <v>8.35</v>
      </c>
      <c r="AB42" s="12">
        <v>7.64</v>
      </c>
      <c r="AC42" s="12">
        <v>7.36</v>
      </c>
      <c r="AD42" s="12">
        <v>7.37</v>
      </c>
      <c r="AE42" s="12">
        <v>7.42</v>
      </c>
      <c r="AF42" s="12">
        <v>7.47</v>
      </c>
    </row>
    <row r="43" spans="1:32" x14ac:dyDescent="0.35">
      <c r="A43" s="32"/>
      <c r="B43" s="13" t="s">
        <v>728</v>
      </c>
      <c r="C43" s="15" t="s">
        <v>333</v>
      </c>
      <c r="D43" s="15" t="s">
        <v>333</v>
      </c>
      <c r="E43" s="15" t="s">
        <v>333</v>
      </c>
      <c r="F43" s="15" t="s">
        <v>333</v>
      </c>
      <c r="G43" s="15" t="s">
        <v>333</v>
      </c>
      <c r="H43" s="15" t="s">
        <v>333</v>
      </c>
      <c r="I43" s="15" t="s">
        <v>333</v>
      </c>
      <c r="J43" s="15" t="s">
        <v>333</v>
      </c>
      <c r="K43" s="15" t="s">
        <v>333</v>
      </c>
      <c r="L43" s="15" t="s">
        <v>333</v>
      </c>
      <c r="M43" s="15" t="s">
        <v>333</v>
      </c>
      <c r="N43" s="15" t="s">
        <v>333</v>
      </c>
      <c r="O43" s="15" t="s">
        <v>333</v>
      </c>
      <c r="P43" s="15" t="s">
        <v>333</v>
      </c>
      <c r="Q43" s="15" t="s">
        <v>333</v>
      </c>
      <c r="R43" s="15" t="s">
        <v>333</v>
      </c>
      <c r="S43" s="15" t="s">
        <v>333</v>
      </c>
      <c r="T43" s="15" t="s">
        <v>333</v>
      </c>
      <c r="U43" s="15" t="s">
        <v>333</v>
      </c>
      <c r="V43" s="15" t="s">
        <v>333</v>
      </c>
      <c r="W43" s="15" t="s">
        <v>333</v>
      </c>
      <c r="X43" s="15" t="s">
        <v>333</v>
      </c>
      <c r="Y43" s="15" t="s">
        <v>333</v>
      </c>
      <c r="Z43" s="15" t="s">
        <v>333</v>
      </c>
      <c r="AA43" s="15" t="s">
        <v>333</v>
      </c>
      <c r="AB43" s="15" t="s">
        <v>333</v>
      </c>
      <c r="AC43" s="15" t="s">
        <v>333</v>
      </c>
      <c r="AD43" s="15" t="s">
        <v>333</v>
      </c>
      <c r="AE43" s="15" t="s">
        <v>333</v>
      </c>
      <c r="AF43" s="15" t="s">
        <v>333</v>
      </c>
    </row>
  </sheetData>
  <mergeCells count="10">
    <mergeCell ref="H3:L3"/>
    <mergeCell ref="C8:AF8"/>
    <mergeCell ref="B3:F3"/>
    <mergeCell ref="B5:F5"/>
    <mergeCell ref="A38:A43"/>
    <mergeCell ref="A10:A37"/>
    <mergeCell ref="H5:L5"/>
    <mergeCell ref="B10:B11"/>
    <mergeCell ref="H4:L4"/>
    <mergeCell ref="B4:F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4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733</v>
      </c>
      <c r="C3" s="30"/>
      <c r="D3" s="30"/>
      <c r="E3" s="30"/>
      <c r="F3" s="30"/>
      <c r="H3" s="30" t="s">
        <v>734</v>
      </c>
      <c r="I3" s="30"/>
      <c r="J3" s="30"/>
      <c r="K3" s="30"/>
      <c r="L3" s="30"/>
    </row>
    <row r="4" spans="1:32" ht="27" customHeight="1" x14ac:dyDescent="0.35">
      <c r="B4" s="30" t="s">
        <v>735</v>
      </c>
      <c r="C4" s="30"/>
      <c r="D4" s="30"/>
      <c r="E4" s="30"/>
      <c r="F4" s="30"/>
      <c r="H4" s="30" t="s">
        <v>736</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HYPERLINK("#Content!A49","&lt;&lt;Back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711</v>
      </c>
      <c r="C12" s="12">
        <v>303</v>
      </c>
      <c r="D12" s="12">
        <v>15</v>
      </c>
      <c r="E12" s="12">
        <v>23</v>
      </c>
      <c r="F12" s="12">
        <v>37</v>
      </c>
      <c r="G12" s="12">
        <v>3</v>
      </c>
      <c r="H12" s="12">
        <v>9</v>
      </c>
      <c r="I12" s="12">
        <v>16</v>
      </c>
      <c r="J12" s="12">
        <v>7</v>
      </c>
      <c r="K12" s="12">
        <v>6</v>
      </c>
      <c r="L12" s="12">
        <v>6</v>
      </c>
      <c r="M12" s="12">
        <v>17</v>
      </c>
      <c r="N12" s="12">
        <v>19</v>
      </c>
      <c r="O12" s="12">
        <v>19</v>
      </c>
      <c r="P12" s="12">
        <v>3</v>
      </c>
      <c r="Q12" s="12">
        <v>7</v>
      </c>
      <c r="R12" s="12">
        <v>5</v>
      </c>
      <c r="S12" s="12">
        <v>6</v>
      </c>
      <c r="T12" s="12">
        <v>6</v>
      </c>
      <c r="U12" s="12">
        <v>4</v>
      </c>
      <c r="V12" s="12">
        <v>1</v>
      </c>
      <c r="W12" s="12">
        <v>2</v>
      </c>
      <c r="X12" s="12">
        <v>5</v>
      </c>
      <c r="Y12" s="12">
        <v>8</v>
      </c>
      <c r="Z12" s="12">
        <v>3</v>
      </c>
      <c r="AA12" s="12">
        <v>4</v>
      </c>
      <c r="AB12" s="12">
        <v>4</v>
      </c>
      <c r="AC12" s="12">
        <v>26</v>
      </c>
      <c r="AD12" s="12">
        <v>18</v>
      </c>
      <c r="AE12" s="12">
        <v>9</v>
      </c>
      <c r="AF12" s="12">
        <v>9</v>
      </c>
    </row>
    <row r="13" spans="1:32" x14ac:dyDescent="0.35">
      <c r="A13" s="31"/>
      <c r="B13" s="13" t="s">
        <v>712</v>
      </c>
      <c r="C13" s="14">
        <v>0.01</v>
      </c>
      <c r="D13" s="14">
        <v>0.01</v>
      </c>
      <c r="E13" s="14">
        <v>0.02</v>
      </c>
      <c r="F13" s="14">
        <v>0.03</v>
      </c>
      <c r="G13" s="15" t="s">
        <v>333</v>
      </c>
      <c r="H13" s="14">
        <v>0.01</v>
      </c>
      <c r="I13" s="14">
        <v>0.01</v>
      </c>
      <c r="J13" s="14">
        <v>0.02</v>
      </c>
      <c r="K13" s="15" t="s">
        <v>333</v>
      </c>
      <c r="L13" s="14">
        <v>0.01</v>
      </c>
      <c r="M13" s="14">
        <v>0.02</v>
      </c>
      <c r="N13" s="14">
        <v>0.02</v>
      </c>
      <c r="O13" s="14">
        <v>0.02</v>
      </c>
      <c r="P13" s="15" t="s">
        <v>333</v>
      </c>
      <c r="Q13" s="14">
        <v>0.01</v>
      </c>
      <c r="R13" s="14">
        <v>0.01</v>
      </c>
      <c r="S13" s="14">
        <v>0.01</v>
      </c>
      <c r="T13" s="14">
        <v>0.01</v>
      </c>
      <c r="U13" s="14">
        <v>0.01</v>
      </c>
      <c r="V13" s="15" t="s">
        <v>333</v>
      </c>
      <c r="W13" s="15" t="s">
        <v>333</v>
      </c>
      <c r="X13" s="14">
        <v>0.01</v>
      </c>
      <c r="Y13" s="14">
        <v>0.01</v>
      </c>
      <c r="Z13" s="15" t="s">
        <v>333</v>
      </c>
      <c r="AA13" s="15" t="s">
        <v>333</v>
      </c>
      <c r="AB13" s="15" t="s">
        <v>333</v>
      </c>
      <c r="AC13" s="14">
        <v>0.03</v>
      </c>
      <c r="AD13" s="14">
        <v>0.02</v>
      </c>
      <c r="AE13" s="14">
        <v>0.01</v>
      </c>
      <c r="AF13" s="14">
        <v>0.01</v>
      </c>
    </row>
    <row r="14" spans="1:32" x14ac:dyDescent="0.35">
      <c r="A14" s="31"/>
      <c r="B14" s="11" t="s">
        <v>713</v>
      </c>
      <c r="C14" s="12">
        <v>213</v>
      </c>
      <c r="D14" s="12">
        <v>8</v>
      </c>
      <c r="E14" s="12">
        <v>5</v>
      </c>
      <c r="F14" s="12">
        <v>27</v>
      </c>
      <c r="G14" s="12">
        <v>2</v>
      </c>
      <c r="H14" s="12">
        <v>3</v>
      </c>
      <c r="I14" s="12">
        <v>9</v>
      </c>
      <c r="J14" s="12">
        <v>6</v>
      </c>
      <c r="K14" s="12">
        <v>18</v>
      </c>
      <c r="L14" s="12">
        <v>4</v>
      </c>
      <c r="M14" s="12">
        <v>6</v>
      </c>
      <c r="N14" s="12">
        <v>7</v>
      </c>
      <c r="O14" s="12">
        <v>12</v>
      </c>
      <c r="P14" s="12">
        <v>3</v>
      </c>
      <c r="Q14" s="12">
        <v>15</v>
      </c>
      <c r="R14" s="12">
        <v>1</v>
      </c>
      <c r="S14" s="12">
        <v>16</v>
      </c>
      <c r="T14" s="12">
        <v>2</v>
      </c>
      <c r="U14" s="12">
        <v>2</v>
      </c>
      <c r="V14" s="12">
        <v>1</v>
      </c>
      <c r="W14" s="12">
        <v>5</v>
      </c>
      <c r="X14" s="12">
        <v>2</v>
      </c>
      <c r="Y14" s="12">
        <v>9</v>
      </c>
      <c r="Z14" s="12">
        <v>2</v>
      </c>
      <c r="AA14" s="12">
        <v>1</v>
      </c>
      <c r="AB14" s="12">
        <v>10</v>
      </c>
      <c r="AC14" s="12">
        <v>14</v>
      </c>
      <c r="AD14" s="12">
        <v>6</v>
      </c>
      <c r="AE14" s="12">
        <v>10</v>
      </c>
      <c r="AF14" s="12">
        <v>5</v>
      </c>
    </row>
    <row r="15" spans="1:32" x14ac:dyDescent="0.35">
      <c r="A15" s="31"/>
      <c r="B15" s="13" t="s">
        <v>713</v>
      </c>
      <c r="C15" s="14">
        <v>0.01</v>
      </c>
      <c r="D15" s="14">
        <v>0.01</v>
      </c>
      <c r="E15" s="14">
        <v>0.01</v>
      </c>
      <c r="F15" s="14">
        <v>0.03</v>
      </c>
      <c r="G15" s="15" t="s">
        <v>333</v>
      </c>
      <c r="H15" s="15" t="s">
        <v>333</v>
      </c>
      <c r="I15" s="14">
        <v>0.01</v>
      </c>
      <c r="J15" s="14">
        <v>0.02</v>
      </c>
      <c r="K15" s="14">
        <v>0.02</v>
      </c>
      <c r="L15" s="15" t="s">
        <v>333</v>
      </c>
      <c r="M15" s="14">
        <v>0.01</v>
      </c>
      <c r="N15" s="14">
        <v>0.01</v>
      </c>
      <c r="O15" s="14">
        <v>0.01</v>
      </c>
      <c r="P15" s="15" t="s">
        <v>333</v>
      </c>
      <c r="Q15" s="14">
        <v>0.01</v>
      </c>
      <c r="R15" s="15" t="s">
        <v>333</v>
      </c>
      <c r="S15" s="14">
        <v>0.02</v>
      </c>
      <c r="T15" s="15" t="s">
        <v>333</v>
      </c>
      <c r="U15" s="14">
        <v>0.01</v>
      </c>
      <c r="V15" s="15" t="s">
        <v>333</v>
      </c>
      <c r="W15" s="14">
        <v>0.01</v>
      </c>
      <c r="X15" s="15" t="s">
        <v>333</v>
      </c>
      <c r="Y15" s="14">
        <v>0.01</v>
      </c>
      <c r="Z15" s="15" t="s">
        <v>333</v>
      </c>
      <c r="AA15" s="15" t="s">
        <v>333</v>
      </c>
      <c r="AB15" s="14">
        <v>0.01</v>
      </c>
      <c r="AC15" s="14">
        <v>0.01</v>
      </c>
      <c r="AD15" s="15" t="s">
        <v>333</v>
      </c>
      <c r="AE15" s="14">
        <v>0.01</v>
      </c>
      <c r="AF15" s="15" t="s">
        <v>333</v>
      </c>
    </row>
    <row r="16" spans="1:32" x14ac:dyDescent="0.35">
      <c r="A16" s="31"/>
      <c r="B16" s="11" t="s">
        <v>714</v>
      </c>
      <c r="C16" s="12">
        <v>399</v>
      </c>
      <c r="D16" s="12">
        <v>15</v>
      </c>
      <c r="E16" s="12">
        <v>15</v>
      </c>
      <c r="F16" s="12">
        <v>49</v>
      </c>
      <c r="G16" s="12">
        <v>11</v>
      </c>
      <c r="H16" s="12">
        <v>25</v>
      </c>
      <c r="I16" s="12">
        <v>30</v>
      </c>
      <c r="J16" s="12">
        <v>5</v>
      </c>
      <c r="K16" s="12">
        <v>25</v>
      </c>
      <c r="L16" s="12">
        <v>4</v>
      </c>
      <c r="M16" s="12">
        <v>13</v>
      </c>
      <c r="N16" s="12">
        <v>12</v>
      </c>
      <c r="O16" s="12">
        <v>19</v>
      </c>
      <c r="P16" s="12">
        <v>11</v>
      </c>
      <c r="Q16" s="12">
        <v>14</v>
      </c>
      <c r="R16" s="12">
        <v>8</v>
      </c>
      <c r="S16" s="12">
        <v>13</v>
      </c>
      <c r="T16" s="12">
        <v>10</v>
      </c>
      <c r="U16" s="12">
        <v>3</v>
      </c>
      <c r="V16" s="12">
        <v>6</v>
      </c>
      <c r="W16" s="12">
        <v>2</v>
      </c>
      <c r="X16" s="12">
        <v>4</v>
      </c>
      <c r="Y16" s="12">
        <v>23</v>
      </c>
      <c r="Z16" s="12">
        <v>9</v>
      </c>
      <c r="AA16" s="12">
        <v>1</v>
      </c>
      <c r="AB16" s="12">
        <v>13</v>
      </c>
      <c r="AC16" s="12">
        <v>29</v>
      </c>
      <c r="AD16" s="12">
        <v>20</v>
      </c>
      <c r="AE16" s="12">
        <v>15</v>
      </c>
      <c r="AF16" s="12">
        <v>15</v>
      </c>
    </row>
    <row r="17" spans="1:32" x14ac:dyDescent="0.35">
      <c r="A17" s="31"/>
      <c r="B17" s="13" t="s">
        <v>714</v>
      </c>
      <c r="C17" s="14">
        <v>0.01</v>
      </c>
      <c r="D17" s="14">
        <v>0.01</v>
      </c>
      <c r="E17" s="14">
        <v>0.01</v>
      </c>
      <c r="F17" s="14">
        <v>0.05</v>
      </c>
      <c r="G17" s="14">
        <v>0.01</v>
      </c>
      <c r="H17" s="14">
        <v>0.02</v>
      </c>
      <c r="I17" s="14">
        <v>0.02</v>
      </c>
      <c r="J17" s="14">
        <v>0.02</v>
      </c>
      <c r="K17" s="14">
        <v>0.02</v>
      </c>
      <c r="L17" s="15" t="s">
        <v>333</v>
      </c>
      <c r="M17" s="14">
        <v>0.01</v>
      </c>
      <c r="N17" s="14">
        <v>0.01</v>
      </c>
      <c r="O17" s="14">
        <v>0.02</v>
      </c>
      <c r="P17" s="14">
        <v>0.01</v>
      </c>
      <c r="Q17" s="14">
        <v>0.01</v>
      </c>
      <c r="R17" s="14">
        <v>0.02</v>
      </c>
      <c r="S17" s="14">
        <v>0.01</v>
      </c>
      <c r="T17" s="14">
        <v>0.01</v>
      </c>
      <c r="U17" s="14">
        <v>0.01</v>
      </c>
      <c r="V17" s="14">
        <v>0.01</v>
      </c>
      <c r="W17" s="14">
        <v>0.01</v>
      </c>
      <c r="X17" s="15" t="s">
        <v>333</v>
      </c>
      <c r="Y17" s="14">
        <v>0.02</v>
      </c>
      <c r="Z17" s="14">
        <v>0.01</v>
      </c>
      <c r="AA17" s="15" t="s">
        <v>333</v>
      </c>
      <c r="AB17" s="14">
        <v>0.01</v>
      </c>
      <c r="AC17" s="14">
        <v>0.03</v>
      </c>
      <c r="AD17" s="14">
        <v>0.02</v>
      </c>
      <c r="AE17" s="14">
        <v>0.01</v>
      </c>
      <c r="AF17" s="14">
        <v>0.02</v>
      </c>
    </row>
    <row r="18" spans="1:32" x14ac:dyDescent="0.35">
      <c r="A18" s="31"/>
      <c r="B18" s="11" t="s">
        <v>715</v>
      </c>
      <c r="C18" s="12">
        <v>595</v>
      </c>
      <c r="D18" s="12">
        <v>16</v>
      </c>
      <c r="E18" s="12">
        <v>28</v>
      </c>
      <c r="F18" s="12">
        <v>50</v>
      </c>
      <c r="G18" s="12">
        <v>25</v>
      </c>
      <c r="H18" s="12">
        <v>40</v>
      </c>
      <c r="I18" s="12">
        <v>53</v>
      </c>
      <c r="J18" s="12">
        <v>13</v>
      </c>
      <c r="K18" s="12">
        <v>38</v>
      </c>
      <c r="L18" s="12">
        <v>13</v>
      </c>
      <c r="M18" s="12">
        <v>10</v>
      </c>
      <c r="N18" s="12">
        <v>15</v>
      </c>
      <c r="O18" s="12">
        <v>29</v>
      </c>
      <c r="P18" s="12">
        <v>24</v>
      </c>
      <c r="Q18" s="12">
        <v>10</v>
      </c>
      <c r="R18" s="12">
        <v>11</v>
      </c>
      <c r="S18" s="12">
        <v>28</v>
      </c>
      <c r="T18" s="12">
        <v>12</v>
      </c>
      <c r="U18" s="12">
        <v>5</v>
      </c>
      <c r="V18" s="12">
        <v>21</v>
      </c>
      <c r="W18" s="12">
        <v>5</v>
      </c>
      <c r="X18" s="12">
        <v>19</v>
      </c>
      <c r="Y18" s="12">
        <v>26</v>
      </c>
      <c r="Z18" s="12">
        <v>17</v>
      </c>
      <c r="AA18" s="12">
        <v>7</v>
      </c>
      <c r="AB18" s="12">
        <v>26</v>
      </c>
      <c r="AC18" s="12">
        <v>20</v>
      </c>
      <c r="AD18" s="12">
        <v>33</v>
      </c>
      <c r="AE18" s="12">
        <v>23</v>
      </c>
      <c r="AF18" s="12">
        <v>24</v>
      </c>
    </row>
    <row r="19" spans="1:32" x14ac:dyDescent="0.35">
      <c r="A19" s="31"/>
      <c r="B19" s="13" t="s">
        <v>715</v>
      </c>
      <c r="C19" s="14">
        <v>0.02</v>
      </c>
      <c r="D19" s="14">
        <v>0.02</v>
      </c>
      <c r="E19" s="14">
        <v>0.03</v>
      </c>
      <c r="F19" s="14">
        <v>0.05</v>
      </c>
      <c r="G19" s="14">
        <v>0.03</v>
      </c>
      <c r="H19" s="14">
        <v>0.03</v>
      </c>
      <c r="I19" s="14">
        <v>0.03</v>
      </c>
      <c r="J19" s="14">
        <v>0.05</v>
      </c>
      <c r="K19" s="14">
        <v>0.04</v>
      </c>
      <c r="L19" s="14">
        <v>0.01</v>
      </c>
      <c r="M19" s="14">
        <v>0.01</v>
      </c>
      <c r="N19" s="14">
        <v>0.02</v>
      </c>
      <c r="O19" s="14">
        <v>0.03</v>
      </c>
      <c r="P19" s="14">
        <v>0.03</v>
      </c>
      <c r="Q19" s="14">
        <v>0.01</v>
      </c>
      <c r="R19" s="14">
        <v>0.02</v>
      </c>
      <c r="S19" s="14">
        <v>0.03</v>
      </c>
      <c r="T19" s="14">
        <v>0.01</v>
      </c>
      <c r="U19" s="14">
        <v>0.01</v>
      </c>
      <c r="V19" s="14">
        <v>0.02</v>
      </c>
      <c r="W19" s="14">
        <v>0.01</v>
      </c>
      <c r="X19" s="14">
        <v>0.02</v>
      </c>
      <c r="Y19" s="14">
        <v>0.03</v>
      </c>
      <c r="Z19" s="14">
        <v>0.02</v>
      </c>
      <c r="AA19" s="14">
        <v>0.01</v>
      </c>
      <c r="AB19" s="14">
        <v>0.02</v>
      </c>
      <c r="AC19" s="14">
        <v>0.02</v>
      </c>
      <c r="AD19" s="14">
        <v>0.03</v>
      </c>
      <c r="AE19" s="14">
        <v>0.02</v>
      </c>
      <c r="AF19" s="14">
        <v>0.02</v>
      </c>
    </row>
    <row r="20" spans="1:32" x14ac:dyDescent="0.35">
      <c r="A20" s="31"/>
      <c r="B20" s="11" t="s">
        <v>716</v>
      </c>
      <c r="C20" s="12">
        <v>2006</v>
      </c>
      <c r="D20" s="12">
        <v>84</v>
      </c>
      <c r="E20" s="12">
        <v>98</v>
      </c>
      <c r="F20" s="12">
        <v>148</v>
      </c>
      <c r="G20" s="12">
        <v>76</v>
      </c>
      <c r="H20" s="12">
        <v>81</v>
      </c>
      <c r="I20" s="12">
        <v>123</v>
      </c>
      <c r="J20" s="12">
        <v>41</v>
      </c>
      <c r="K20" s="12">
        <v>140</v>
      </c>
      <c r="L20" s="12">
        <v>52</v>
      </c>
      <c r="M20" s="12">
        <v>72</v>
      </c>
      <c r="N20" s="12">
        <v>63</v>
      </c>
      <c r="O20" s="12">
        <v>113</v>
      </c>
      <c r="P20" s="12">
        <v>54</v>
      </c>
      <c r="Q20" s="12">
        <v>31</v>
      </c>
      <c r="R20" s="12">
        <v>27</v>
      </c>
      <c r="S20" s="12">
        <v>104</v>
      </c>
      <c r="T20" s="12">
        <v>100</v>
      </c>
      <c r="U20" s="12">
        <v>25</v>
      </c>
      <c r="V20" s="12">
        <v>77</v>
      </c>
      <c r="W20" s="12">
        <v>21</v>
      </c>
      <c r="X20" s="12">
        <v>41</v>
      </c>
      <c r="Y20" s="12">
        <v>87</v>
      </c>
      <c r="Z20" s="12">
        <v>83</v>
      </c>
      <c r="AA20" s="12">
        <v>74</v>
      </c>
      <c r="AB20" s="12">
        <v>84</v>
      </c>
      <c r="AC20" s="12">
        <v>125</v>
      </c>
      <c r="AD20" s="12">
        <v>86</v>
      </c>
      <c r="AE20" s="12">
        <v>55</v>
      </c>
      <c r="AF20" s="12">
        <v>84</v>
      </c>
    </row>
    <row r="21" spans="1:32" x14ac:dyDescent="0.35">
      <c r="A21" s="31"/>
      <c r="B21" s="13" t="s">
        <v>716</v>
      </c>
      <c r="C21" s="14">
        <v>0.08</v>
      </c>
      <c r="D21" s="14">
        <v>0.08</v>
      </c>
      <c r="E21" s="14">
        <v>0.09</v>
      </c>
      <c r="F21" s="14">
        <v>0.14000000000000001</v>
      </c>
      <c r="G21" s="14">
        <v>0.08</v>
      </c>
      <c r="H21" s="14">
        <v>7.0000000000000007E-2</v>
      </c>
      <c r="I21" s="14">
        <v>0.08</v>
      </c>
      <c r="J21" s="14">
        <v>0.14000000000000001</v>
      </c>
      <c r="K21" s="14">
        <v>0.14000000000000001</v>
      </c>
      <c r="L21" s="14">
        <v>0.05</v>
      </c>
      <c r="M21" s="14">
        <v>7.0000000000000007E-2</v>
      </c>
      <c r="N21" s="14">
        <v>0.06</v>
      </c>
      <c r="O21" s="14">
        <v>0.11</v>
      </c>
      <c r="P21" s="14">
        <v>0.05</v>
      </c>
      <c r="Q21" s="14">
        <v>0.03</v>
      </c>
      <c r="R21" s="14">
        <v>0.05</v>
      </c>
      <c r="S21" s="14">
        <v>0.1</v>
      </c>
      <c r="T21" s="14">
        <v>0.1</v>
      </c>
      <c r="U21" s="14">
        <v>0.05</v>
      </c>
      <c r="V21" s="14">
        <v>0.08</v>
      </c>
      <c r="W21" s="14">
        <v>0.04</v>
      </c>
      <c r="X21" s="14">
        <v>0.04</v>
      </c>
      <c r="Y21" s="14">
        <v>0.09</v>
      </c>
      <c r="Z21" s="14">
        <v>0.08</v>
      </c>
      <c r="AA21" s="14">
        <v>7.0000000000000007E-2</v>
      </c>
      <c r="AB21" s="14">
        <v>0.08</v>
      </c>
      <c r="AC21" s="14">
        <v>0.12</v>
      </c>
      <c r="AD21" s="14">
        <v>0.09</v>
      </c>
      <c r="AE21" s="14">
        <v>0.05</v>
      </c>
      <c r="AF21" s="14">
        <v>0.08</v>
      </c>
    </row>
    <row r="22" spans="1:32" x14ac:dyDescent="0.35">
      <c r="A22" s="31"/>
      <c r="B22" s="11" t="s">
        <v>717</v>
      </c>
      <c r="C22" s="12">
        <v>2252</v>
      </c>
      <c r="D22" s="12">
        <v>99</v>
      </c>
      <c r="E22" s="12">
        <v>104</v>
      </c>
      <c r="F22" s="12">
        <v>110</v>
      </c>
      <c r="G22" s="12">
        <v>90</v>
      </c>
      <c r="H22" s="12">
        <v>79</v>
      </c>
      <c r="I22" s="12">
        <v>110</v>
      </c>
      <c r="J22" s="12">
        <v>31</v>
      </c>
      <c r="K22" s="12">
        <v>119</v>
      </c>
      <c r="L22" s="12">
        <v>57</v>
      </c>
      <c r="M22" s="12">
        <v>71</v>
      </c>
      <c r="N22" s="12">
        <v>95</v>
      </c>
      <c r="O22" s="12">
        <v>91</v>
      </c>
      <c r="P22" s="12">
        <v>77</v>
      </c>
      <c r="Q22" s="12">
        <v>88</v>
      </c>
      <c r="R22" s="12">
        <v>30</v>
      </c>
      <c r="S22" s="12">
        <v>64</v>
      </c>
      <c r="T22" s="12">
        <v>62</v>
      </c>
      <c r="U22" s="12">
        <v>32</v>
      </c>
      <c r="V22" s="12">
        <v>84</v>
      </c>
      <c r="W22" s="12">
        <v>21</v>
      </c>
      <c r="X22" s="12">
        <v>71</v>
      </c>
      <c r="Y22" s="12">
        <v>71</v>
      </c>
      <c r="Z22" s="12">
        <v>122</v>
      </c>
      <c r="AA22" s="12">
        <v>35</v>
      </c>
      <c r="AB22" s="12">
        <v>103</v>
      </c>
      <c r="AC22" s="12">
        <v>82</v>
      </c>
      <c r="AD22" s="12">
        <v>79</v>
      </c>
      <c r="AE22" s="12">
        <v>79</v>
      </c>
      <c r="AF22" s="12">
        <v>71</v>
      </c>
    </row>
    <row r="23" spans="1:32" x14ac:dyDescent="0.35">
      <c r="A23" s="31"/>
      <c r="B23" s="13" t="s">
        <v>717</v>
      </c>
      <c r="C23" s="14">
        <v>0.09</v>
      </c>
      <c r="D23" s="14">
        <v>0.1</v>
      </c>
      <c r="E23" s="14">
        <v>0.1</v>
      </c>
      <c r="F23" s="14">
        <v>0.11</v>
      </c>
      <c r="G23" s="14">
        <v>0.09</v>
      </c>
      <c r="H23" s="14">
        <v>0.06</v>
      </c>
      <c r="I23" s="14">
        <v>7.0000000000000007E-2</v>
      </c>
      <c r="J23" s="14">
        <v>0.1</v>
      </c>
      <c r="K23" s="14">
        <v>0.12</v>
      </c>
      <c r="L23" s="14">
        <v>0.06</v>
      </c>
      <c r="M23" s="14">
        <v>7.0000000000000007E-2</v>
      </c>
      <c r="N23" s="14">
        <v>0.09</v>
      </c>
      <c r="O23" s="14">
        <v>0.09</v>
      </c>
      <c r="P23" s="14">
        <v>0.08</v>
      </c>
      <c r="Q23" s="14">
        <v>0.08</v>
      </c>
      <c r="R23" s="14">
        <v>0.06</v>
      </c>
      <c r="S23" s="14">
        <v>0.06</v>
      </c>
      <c r="T23" s="14">
        <v>0.06</v>
      </c>
      <c r="U23" s="14">
        <v>0.06</v>
      </c>
      <c r="V23" s="14">
        <v>0.08</v>
      </c>
      <c r="W23" s="14">
        <v>0.04</v>
      </c>
      <c r="X23" s="14">
        <v>7.0000000000000007E-2</v>
      </c>
      <c r="Y23" s="14">
        <v>7.0000000000000007E-2</v>
      </c>
      <c r="Z23" s="14">
        <v>0.12</v>
      </c>
      <c r="AA23" s="14">
        <v>0.03</v>
      </c>
      <c r="AB23" s="14">
        <v>0.1</v>
      </c>
      <c r="AC23" s="14">
        <v>0.08</v>
      </c>
      <c r="AD23" s="14">
        <v>0.08</v>
      </c>
      <c r="AE23" s="14">
        <v>0.08</v>
      </c>
      <c r="AF23" s="14">
        <v>7.0000000000000007E-2</v>
      </c>
    </row>
    <row r="24" spans="1:32" x14ac:dyDescent="0.35">
      <c r="A24" s="31"/>
      <c r="B24" s="11" t="s">
        <v>718</v>
      </c>
      <c r="C24" s="12">
        <v>4074</v>
      </c>
      <c r="D24" s="12">
        <v>246</v>
      </c>
      <c r="E24" s="12">
        <v>171</v>
      </c>
      <c r="F24" s="12">
        <v>132</v>
      </c>
      <c r="G24" s="12">
        <v>188</v>
      </c>
      <c r="H24" s="12">
        <v>152</v>
      </c>
      <c r="I24" s="12">
        <v>189</v>
      </c>
      <c r="J24" s="12">
        <v>37</v>
      </c>
      <c r="K24" s="12">
        <v>172</v>
      </c>
      <c r="L24" s="12">
        <v>124</v>
      </c>
      <c r="M24" s="12">
        <v>143</v>
      </c>
      <c r="N24" s="12">
        <v>125</v>
      </c>
      <c r="O24" s="12">
        <v>186</v>
      </c>
      <c r="P24" s="12">
        <v>113</v>
      </c>
      <c r="Q24" s="12">
        <v>164</v>
      </c>
      <c r="R24" s="12">
        <v>57</v>
      </c>
      <c r="S24" s="12">
        <v>145</v>
      </c>
      <c r="T24" s="12">
        <v>118</v>
      </c>
      <c r="U24" s="12">
        <v>93</v>
      </c>
      <c r="V24" s="12">
        <v>133</v>
      </c>
      <c r="W24" s="12">
        <v>45</v>
      </c>
      <c r="X24" s="12">
        <v>223</v>
      </c>
      <c r="Y24" s="12">
        <v>129</v>
      </c>
      <c r="Z24" s="12">
        <v>195</v>
      </c>
      <c r="AA24" s="12">
        <v>91</v>
      </c>
      <c r="AB24" s="12">
        <v>159</v>
      </c>
      <c r="AC24" s="12">
        <v>126</v>
      </c>
      <c r="AD24" s="12">
        <v>147</v>
      </c>
      <c r="AE24" s="12">
        <v>179</v>
      </c>
      <c r="AF24" s="12">
        <v>158</v>
      </c>
    </row>
    <row r="25" spans="1:32" x14ac:dyDescent="0.35">
      <c r="A25" s="31"/>
      <c r="B25" s="13" t="s">
        <v>718</v>
      </c>
      <c r="C25" s="14">
        <v>0.15</v>
      </c>
      <c r="D25" s="14">
        <v>0.24</v>
      </c>
      <c r="E25" s="14">
        <v>0.17</v>
      </c>
      <c r="F25" s="14">
        <v>0.13</v>
      </c>
      <c r="G25" s="14">
        <v>0.19</v>
      </c>
      <c r="H25" s="14">
        <v>0.12</v>
      </c>
      <c r="I25" s="14">
        <v>0.12</v>
      </c>
      <c r="J25" s="14">
        <v>0.12</v>
      </c>
      <c r="K25" s="14">
        <v>0.17</v>
      </c>
      <c r="L25" s="14">
        <v>0.12</v>
      </c>
      <c r="M25" s="14">
        <v>0.14000000000000001</v>
      </c>
      <c r="N25" s="14">
        <v>0.13</v>
      </c>
      <c r="O25" s="14">
        <v>0.19</v>
      </c>
      <c r="P25" s="14">
        <v>0.11</v>
      </c>
      <c r="Q25" s="14">
        <v>0.16</v>
      </c>
      <c r="R25" s="14">
        <v>0.11</v>
      </c>
      <c r="S25" s="14">
        <v>0.14000000000000001</v>
      </c>
      <c r="T25" s="14">
        <v>0.12</v>
      </c>
      <c r="U25" s="14">
        <v>0.18</v>
      </c>
      <c r="V25" s="14">
        <v>0.13</v>
      </c>
      <c r="W25" s="14">
        <v>0.09</v>
      </c>
      <c r="X25" s="14">
        <v>0.22</v>
      </c>
      <c r="Y25" s="14">
        <v>0.13</v>
      </c>
      <c r="Z25" s="14">
        <v>0.19</v>
      </c>
      <c r="AA25" s="14">
        <v>0.09</v>
      </c>
      <c r="AB25" s="14">
        <v>0.15</v>
      </c>
      <c r="AC25" s="14">
        <v>0.13</v>
      </c>
      <c r="AD25" s="14">
        <v>0.15</v>
      </c>
      <c r="AE25" s="14">
        <v>0.18</v>
      </c>
      <c r="AF25" s="14">
        <v>0.15</v>
      </c>
    </row>
    <row r="26" spans="1:32" x14ac:dyDescent="0.35">
      <c r="A26" s="31"/>
      <c r="B26" s="11" t="s">
        <v>719</v>
      </c>
      <c r="C26" s="12">
        <v>6089</v>
      </c>
      <c r="D26" s="12">
        <v>259</v>
      </c>
      <c r="E26" s="12">
        <v>194</v>
      </c>
      <c r="F26" s="12">
        <v>132</v>
      </c>
      <c r="G26" s="12">
        <v>258</v>
      </c>
      <c r="H26" s="12">
        <v>251</v>
      </c>
      <c r="I26" s="12">
        <v>315</v>
      </c>
      <c r="J26" s="12">
        <v>64</v>
      </c>
      <c r="K26" s="12">
        <v>152</v>
      </c>
      <c r="L26" s="12">
        <v>248</v>
      </c>
      <c r="M26" s="12">
        <v>261</v>
      </c>
      <c r="N26" s="12">
        <v>229</v>
      </c>
      <c r="O26" s="12">
        <v>211</v>
      </c>
      <c r="P26" s="12">
        <v>172</v>
      </c>
      <c r="Q26" s="12">
        <v>278</v>
      </c>
      <c r="R26" s="12">
        <v>94</v>
      </c>
      <c r="S26" s="12">
        <v>199</v>
      </c>
      <c r="T26" s="12">
        <v>234</v>
      </c>
      <c r="U26" s="12">
        <v>138</v>
      </c>
      <c r="V26" s="12">
        <v>279</v>
      </c>
      <c r="W26" s="12">
        <v>79</v>
      </c>
      <c r="X26" s="12">
        <v>375</v>
      </c>
      <c r="Y26" s="12">
        <v>184</v>
      </c>
      <c r="Z26" s="12">
        <v>251</v>
      </c>
      <c r="AA26" s="12">
        <v>204</v>
      </c>
      <c r="AB26" s="12">
        <v>221</v>
      </c>
      <c r="AC26" s="12">
        <v>175</v>
      </c>
      <c r="AD26" s="12">
        <v>189</v>
      </c>
      <c r="AE26" s="12">
        <v>269</v>
      </c>
      <c r="AF26" s="12">
        <v>241</v>
      </c>
    </row>
    <row r="27" spans="1:32" x14ac:dyDescent="0.35">
      <c r="A27" s="31"/>
      <c r="B27" s="13" t="s">
        <v>719</v>
      </c>
      <c r="C27" s="14">
        <v>0.23</v>
      </c>
      <c r="D27" s="14">
        <v>0.25</v>
      </c>
      <c r="E27" s="14">
        <v>0.19</v>
      </c>
      <c r="F27" s="14">
        <v>0.13</v>
      </c>
      <c r="G27" s="14">
        <v>0.25</v>
      </c>
      <c r="H27" s="14">
        <v>0.2</v>
      </c>
      <c r="I27" s="14">
        <v>0.21</v>
      </c>
      <c r="J27" s="14">
        <v>0.21</v>
      </c>
      <c r="K27" s="14">
        <v>0.15</v>
      </c>
      <c r="L27" s="14">
        <v>0.25</v>
      </c>
      <c r="M27" s="14">
        <v>0.26</v>
      </c>
      <c r="N27" s="14">
        <v>0.23</v>
      </c>
      <c r="O27" s="14">
        <v>0.21</v>
      </c>
      <c r="P27" s="14">
        <v>0.17</v>
      </c>
      <c r="Q27" s="14">
        <v>0.27</v>
      </c>
      <c r="R27" s="14">
        <v>0.19</v>
      </c>
      <c r="S27" s="14">
        <v>0.2</v>
      </c>
      <c r="T27" s="14">
        <v>0.23</v>
      </c>
      <c r="U27" s="14">
        <v>0.27</v>
      </c>
      <c r="V27" s="14">
        <v>0.27</v>
      </c>
      <c r="W27" s="14">
        <v>0.16</v>
      </c>
      <c r="X27" s="14">
        <v>0.37</v>
      </c>
      <c r="Y27" s="14">
        <v>0.18</v>
      </c>
      <c r="Z27" s="14">
        <v>0.25</v>
      </c>
      <c r="AA27" s="14">
        <v>0.2</v>
      </c>
      <c r="AB27" s="14">
        <v>0.21</v>
      </c>
      <c r="AC27" s="14">
        <v>0.17</v>
      </c>
      <c r="AD27" s="14">
        <v>0.19</v>
      </c>
      <c r="AE27" s="14">
        <v>0.27</v>
      </c>
      <c r="AF27" s="14">
        <v>0.24</v>
      </c>
    </row>
    <row r="28" spans="1:32" x14ac:dyDescent="0.35">
      <c r="A28" s="31"/>
      <c r="B28" s="11" t="s">
        <v>720</v>
      </c>
      <c r="C28" s="12">
        <v>3981</v>
      </c>
      <c r="D28" s="12">
        <v>126</v>
      </c>
      <c r="E28" s="12">
        <v>134</v>
      </c>
      <c r="F28" s="12">
        <v>99</v>
      </c>
      <c r="G28" s="12">
        <v>133</v>
      </c>
      <c r="H28" s="12">
        <v>191</v>
      </c>
      <c r="I28" s="12">
        <v>226</v>
      </c>
      <c r="J28" s="12">
        <v>35</v>
      </c>
      <c r="K28" s="12">
        <v>89</v>
      </c>
      <c r="L28" s="12">
        <v>154</v>
      </c>
      <c r="M28" s="12">
        <v>276</v>
      </c>
      <c r="N28" s="12">
        <v>162</v>
      </c>
      <c r="O28" s="12">
        <v>86</v>
      </c>
      <c r="P28" s="12">
        <v>149</v>
      </c>
      <c r="Q28" s="12">
        <v>240</v>
      </c>
      <c r="R28" s="12">
        <v>76</v>
      </c>
      <c r="S28" s="12">
        <v>151</v>
      </c>
      <c r="T28" s="12">
        <v>127</v>
      </c>
      <c r="U28" s="12">
        <v>94</v>
      </c>
      <c r="V28" s="12">
        <v>149</v>
      </c>
      <c r="W28" s="12">
        <v>47</v>
      </c>
      <c r="X28" s="12">
        <v>149</v>
      </c>
      <c r="Y28" s="12">
        <v>130</v>
      </c>
      <c r="Z28" s="12">
        <v>144</v>
      </c>
      <c r="AA28" s="12">
        <v>213</v>
      </c>
      <c r="AB28" s="12">
        <v>147</v>
      </c>
      <c r="AC28" s="12">
        <v>104</v>
      </c>
      <c r="AD28" s="12">
        <v>133</v>
      </c>
      <c r="AE28" s="12">
        <v>156</v>
      </c>
      <c r="AF28" s="12">
        <v>106</v>
      </c>
    </row>
    <row r="29" spans="1:32" x14ac:dyDescent="0.35">
      <c r="A29" s="31"/>
      <c r="B29" s="13" t="s">
        <v>720</v>
      </c>
      <c r="C29" s="14">
        <v>0.15</v>
      </c>
      <c r="D29" s="14">
        <v>0.12</v>
      </c>
      <c r="E29" s="14">
        <v>0.13</v>
      </c>
      <c r="F29" s="14">
        <v>0.1</v>
      </c>
      <c r="G29" s="14">
        <v>0.13</v>
      </c>
      <c r="H29" s="14">
        <v>0.16</v>
      </c>
      <c r="I29" s="14">
        <v>0.15</v>
      </c>
      <c r="J29" s="14">
        <v>0.12</v>
      </c>
      <c r="K29" s="14">
        <v>0.09</v>
      </c>
      <c r="L29" s="14">
        <v>0.15</v>
      </c>
      <c r="M29" s="14">
        <v>0.27</v>
      </c>
      <c r="N29" s="14">
        <v>0.16</v>
      </c>
      <c r="O29" s="14">
        <v>0.09</v>
      </c>
      <c r="P29" s="14">
        <v>0.15</v>
      </c>
      <c r="Q29" s="14">
        <v>0.23</v>
      </c>
      <c r="R29" s="14">
        <v>0.15</v>
      </c>
      <c r="S29" s="14">
        <v>0.15</v>
      </c>
      <c r="T29" s="14">
        <v>0.12</v>
      </c>
      <c r="U29" s="14">
        <v>0.18</v>
      </c>
      <c r="V29" s="14">
        <v>0.15</v>
      </c>
      <c r="W29" s="14">
        <v>0.09</v>
      </c>
      <c r="X29" s="14">
        <v>0.15</v>
      </c>
      <c r="Y29" s="14">
        <v>0.13</v>
      </c>
      <c r="Z29" s="14">
        <v>0.14000000000000001</v>
      </c>
      <c r="AA29" s="14">
        <v>0.21</v>
      </c>
      <c r="AB29" s="14">
        <v>0.14000000000000001</v>
      </c>
      <c r="AC29" s="14">
        <v>0.1</v>
      </c>
      <c r="AD29" s="14">
        <v>0.13</v>
      </c>
      <c r="AE29" s="14">
        <v>0.16</v>
      </c>
      <c r="AF29" s="14">
        <v>0.1</v>
      </c>
    </row>
    <row r="30" spans="1:32" x14ac:dyDescent="0.35">
      <c r="A30" s="31"/>
      <c r="B30" s="11" t="s">
        <v>721</v>
      </c>
      <c r="C30" s="12">
        <v>5715</v>
      </c>
      <c r="D30" s="12">
        <v>153</v>
      </c>
      <c r="E30" s="12">
        <v>219</v>
      </c>
      <c r="F30" s="12">
        <v>203</v>
      </c>
      <c r="G30" s="12">
        <v>206</v>
      </c>
      <c r="H30" s="12">
        <v>326</v>
      </c>
      <c r="I30" s="12">
        <v>380</v>
      </c>
      <c r="J30" s="12">
        <v>54</v>
      </c>
      <c r="K30" s="12">
        <v>179</v>
      </c>
      <c r="L30" s="12">
        <v>329</v>
      </c>
      <c r="M30" s="12">
        <v>128</v>
      </c>
      <c r="N30" s="12">
        <v>234</v>
      </c>
      <c r="O30" s="12">
        <v>205</v>
      </c>
      <c r="P30" s="12">
        <v>389</v>
      </c>
      <c r="Q30" s="12">
        <v>180</v>
      </c>
      <c r="R30" s="12">
        <v>178</v>
      </c>
      <c r="S30" s="12">
        <v>237</v>
      </c>
      <c r="T30" s="12">
        <v>272</v>
      </c>
      <c r="U30" s="12">
        <v>109</v>
      </c>
      <c r="V30" s="12">
        <v>252</v>
      </c>
      <c r="W30" s="12">
        <v>273</v>
      </c>
      <c r="X30" s="12">
        <v>120</v>
      </c>
      <c r="Y30" s="12">
        <v>306</v>
      </c>
      <c r="Z30" s="12">
        <v>171</v>
      </c>
      <c r="AA30" s="12">
        <v>350</v>
      </c>
      <c r="AB30" s="12">
        <v>228</v>
      </c>
      <c r="AC30" s="12">
        <v>310</v>
      </c>
      <c r="AD30" s="12">
        <v>280</v>
      </c>
      <c r="AE30" s="12">
        <v>191</v>
      </c>
      <c r="AF30" s="12">
        <v>303</v>
      </c>
    </row>
    <row r="31" spans="1:32" x14ac:dyDescent="0.35">
      <c r="A31" s="31"/>
      <c r="B31" s="13" t="s">
        <v>722</v>
      </c>
      <c r="C31" s="14">
        <v>0.22</v>
      </c>
      <c r="D31" s="14">
        <v>0.15</v>
      </c>
      <c r="E31" s="14">
        <v>0.21</v>
      </c>
      <c r="F31" s="14">
        <v>0.2</v>
      </c>
      <c r="G31" s="14">
        <v>0.2</v>
      </c>
      <c r="H31" s="14">
        <v>0.27</v>
      </c>
      <c r="I31" s="14">
        <v>0.25</v>
      </c>
      <c r="J31" s="14">
        <v>0.18</v>
      </c>
      <c r="K31" s="14">
        <v>0.18</v>
      </c>
      <c r="L31" s="14">
        <v>0.33</v>
      </c>
      <c r="M31" s="14">
        <v>0.13</v>
      </c>
      <c r="N31" s="14">
        <v>0.23</v>
      </c>
      <c r="O31" s="14">
        <v>0.2</v>
      </c>
      <c r="P31" s="14">
        <v>0.39</v>
      </c>
      <c r="Q31" s="14">
        <v>0.17</v>
      </c>
      <c r="R31" s="14">
        <v>0.36</v>
      </c>
      <c r="S31" s="14">
        <v>0.23</v>
      </c>
      <c r="T31" s="14">
        <v>0.27</v>
      </c>
      <c r="U31" s="14">
        <v>0.21</v>
      </c>
      <c r="V31" s="14">
        <v>0.25</v>
      </c>
      <c r="W31" s="14">
        <v>0.55000000000000004</v>
      </c>
      <c r="X31" s="14">
        <v>0.12</v>
      </c>
      <c r="Y31" s="14">
        <v>0.3</v>
      </c>
      <c r="Z31" s="14">
        <v>0.17</v>
      </c>
      <c r="AA31" s="14">
        <v>0.34</v>
      </c>
      <c r="AB31" s="14">
        <v>0.22</v>
      </c>
      <c r="AC31" s="14">
        <v>0.31</v>
      </c>
      <c r="AD31" s="14">
        <v>0.28000000000000003</v>
      </c>
      <c r="AE31" s="14">
        <v>0.19</v>
      </c>
      <c r="AF31" s="14">
        <v>0.3</v>
      </c>
    </row>
    <row r="32" spans="1:32" x14ac:dyDescent="0.35">
      <c r="A32" s="31"/>
      <c r="B32" s="11" t="s">
        <v>723</v>
      </c>
      <c r="C32" s="12">
        <v>59</v>
      </c>
      <c r="D32" s="12">
        <v>0</v>
      </c>
      <c r="E32" s="12">
        <v>4</v>
      </c>
      <c r="F32" s="12">
        <v>3</v>
      </c>
      <c r="G32" s="12">
        <v>2</v>
      </c>
      <c r="H32" s="12">
        <v>2</v>
      </c>
      <c r="I32" s="12">
        <v>2</v>
      </c>
      <c r="J32" s="12">
        <v>0</v>
      </c>
      <c r="K32" s="12">
        <v>12</v>
      </c>
      <c r="L32" s="12">
        <v>5</v>
      </c>
      <c r="M32" s="12">
        <v>1</v>
      </c>
      <c r="N32" s="12">
        <v>1</v>
      </c>
      <c r="O32" s="12">
        <v>2</v>
      </c>
      <c r="P32" s="12">
        <v>1</v>
      </c>
      <c r="Q32" s="12">
        <v>5</v>
      </c>
      <c r="R32" s="12">
        <v>1</v>
      </c>
      <c r="S32" s="12">
        <v>5</v>
      </c>
      <c r="T32" s="12">
        <v>3</v>
      </c>
      <c r="U32" s="12">
        <v>0</v>
      </c>
      <c r="V32" s="12">
        <v>0</v>
      </c>
      <c r="W32" s="12">
        <v>0</v>
      </c>
      <c r="X32" s="12">
        <v>0</v>
      </c>
      <c r="Y32" s="12">
        <v>3</v>
      </c>
      <c r="Z32" s="12">
        <v>1</v>
      </c>
      <c r="AA32" s="12">
        <v>2</v>
      </c>
      <c r="AB32" s="12">
        <v>7</v>
      </c>
      <c r="AC32" s="12">
        <v>0</v>
      </c>
      <c r="AD32" s="12">
        <v>1</v>
      </c>
      <c r="AE32" s="12">
        <v>5</v>
      </c>
      <c r="AF32" s="12">
        <v>0</v>
      </c>
    </row>
    <row r="33" spans="1:32" ht="21.5" x14ac:dyDescent="0.35">
      <c r="A33" s="31"/>
      <c r="B33" s="13" t="s">
        <v>724</v>
      </c>
      <c r="C33" s="15" t="s">
        <v>333</v>
      </c>
      <c r="D33" s="15" t="s">
        <v>333</v>
      </c>
      <c r="E33" s="15" t="s">
        <v>333</v>
      </c>
      <c r="F33" s="15" t="s">
        <v>333</v>
      </c>
      <c r="G33" s="15" t="s">
        <v>333</v>
      </c>
      <c r="H33" s="15" t="s">
        <v>333</v>
      </c>
      <c r="I33" s="15" t="s">
        <v>333</v>
      </c>
      <c r="J33" s="15" t="s">
        <v>333</v>
      </c>
      <c r="K33" s="14">
        <v>0.01</v>
      </c>
      <c r="L33" s="14">
        <v>0.01</v>
      </c>
      <c r="M33" s="15" t="s">
        <v>333</v>
      </c>
      <c r="N33" s="15" t="s">
        <v>333</v>
      </c>
      <c r="O33" s="15" t="s">
        <v>333</v>
      </c>
      <c r="P33" s="15" t="s">
        <v>333</v>
      </c>
      <c r="Q33" s="14">
        <v>0.01</v>
      </c>
      <c r="R33" s="15" t="s">
        <v>333</v>
      </c>
      <c r="S33" s="15" t="s">
        <v>333</v>
      </c>
      <c r="T33" s="15" t="s">
        <v>333</v>
      </c>
      <c r="U33" s="15" t="s">
        <v>333</v>
      </c>
      <c r="V33" s="15" t="s">
        <v>333</v>
      </c>
      <c r="W33" s="15" t="s">
        <v>333</v>
      </c>
      <c r="X33" s="15" t="s">
        <v>333</v>
      </c>
      <c r="Y33" s="15" t="s">
        <v>333</v>
      </c>
      <c r="Z33" s="15" t="s">
        <v>333</v>
      </c>
      <c r="AA33" s="15" t="s">
        <v>333</v>
      </c>
      <c r="AB33" s="14">
        <v>0.01</v>
      </c>
      <c r="AC33" s="15" t="s">
        <v>333</v>
      </c>
      <c r="AD33" s="15" t="s">
        <v>333</v>
      </c>
      <c r="AE33" s="15" t="s">
        <v>333</v>
      </c>
      <c r="AF33" s="15" t="s">
        <v>333</v>
      </c>
    </row>
    <row r="34" spans="1:32" x14ac:dyDescent="0.35">
      <c r="A34" s="31"/>
      <c r="B34" s="11" t="s">
        <v>344</v>
      </c>
      <c r="C34" s="12">
        <v>724</v>
      </c>
      <c r="D34" s="12">
        <v>5</v>
      </c>
      <c r="E34" s="12">
        <v>43</v>
      </c>
      <c r="F34" s="12">
        <v>27</v>
      </c>
      <c r="G34" s="12">
        <v>23</v>
      </c>
      <c r="H34" s="12">
        <v>73</v>
      </c>
      <c r="I34" s="12">
        <v>78</v>
      </c>
      <c r="J34" s="12">
        <v>4</v>
      </c>
      <c r="K34" s="12">
        <v>59</v>
      </c>
      <c r="L34" s="12">
        <v>8</v>
      </c>
      <c r="M34" s="12">
        <v>6</v>
      </c>
      <c r="N34" s="12">
        <v>37</v>
      </c>
      <c r="O34" s="12">
        <v>26</v>
      </c>
      <c r="P34" s="12">
        <v>7</v>
      </c>
      <c r="Q34" s="12">
        <v>5</v>
      </c>
      <c r="R34" s="12">
        <v>13</v>
      </c>
      <c r="S34" s="12">
        <v>55</v>
      </c>
      <c r="T34" s="12">
        <v>72</v>
      </c>
      <c r="U34" s="12">
        <v>3</v>
      </c>
      <c r="V34" s="12">
        <v>11</v>
      </c>
      <c r="W34" s="12">
        <v>1</v>
      </c>
      <c r="X34" s="12">
        <v>1</v>
      </c>
      <c r="Y34" s="12">
        <v>28</v>
      </c>
      <c r="Z34" s="12">
        <v>22</v>
      </c>
      <c r="AA34" s="12">
        <v>48</v>
      </c>
      <c r="AB34" s="12">
        <v>54</v>
      </c>
      <c r="AC34" s="12">
        <v>2</v>
      </c>
      <c r="AD34" s="12">
        <v>12</v>
      </c>
      <c r="AE34" s="12">
        <v>18</v>
      </c>
      <c r="AF34" s="12">
        <v>5</v>
      </c>
    </row>
    <row r="35" spans="1:32" x14ac:dyDescent="0.35">
      <c r="A35" s="31"/>
      <c r="B35" s="13" t="s">
        <v>357</v>
      </c>
      <c r="C35" s="14">
        <v>0.03</v>
      </c>
      <c r="D35" s="14">
        <v>0.01</v>
      </c>
      <c r="E35" s="14">
        <v>0.04</v>
      </c>
      <c r="F35" s="14">
        <v>0.03</v>
      </c>
      <c r="G35" s="14">
        <v>0.02</v>
      </c>
      <c r="H35" s="14">
        <v>0.06</v>
      </c>
      <c r="I35" s="14">
        <v>0.05</v>
      </c>
      <c r="J35" s="14">
        <v>0.02</v>
      </c>
      <c r="K35" s="14">
        <v>0.06</v>
      </c>
      <c r="L35" s="14">
        <v>0.01</v>
      </c>
      <c r="M35" s="14">
        <v>0.01</v>
      </c>
      <c r="N35" s="14">
        <v>0.04</v>
      </c>
      <c r="O35" s="14">
        <v>0.03</v>
      </c>
      <c r="P35" s="14">
        <v>0.01</v>
      </c>
      <c r="Q35" s="14">
        <v>0.01</v>
      </c>
      <c r="R35" s="14">
        <v>0.03</v>
      </c>
      <c r="S35" s="14">
        <v>0.05</v>
      </c>
      <c r="T35" s="14">
        <v>7.0000000000000007E-2</v>
      </c>
      <c r="U35" s="14">
        <v>0.01</v>
      </c>
      <c r="V35" s="14">
        <v>0.01</v>
      </c>
      <c r="W35" s="15" t="s">
        <v>333</v>
      </c>
      <c r="X35" s="15" t="s">
        <v>333</v>
      </c>
      <c r="Y35" s="14">
        <v>0.03</v>
      </c>
      <c r="Z35" s="14">
        <v>0.02</v>
      </c>
      <c r="AA35" s="14">
        <v>0.05</v>
      </c>
      <c r="AB35" s="14">
        <v>0.05</v>
      </c>
      <c r="AC35" s="15" t="s">
        <v>333</v>
      </c>
      <c r="AD35" s="14">
        <v>0.01</v>
      </c>
      <c r="AE35" s="14">
        <v>0.02</v>
      </c>
      <c r="AF35" s="14">
        <v>0.01</v>
      </c>
    </row>
    <row r="36" spans="1:32" x14ac:dyDescent="0.35">
      <c r="A36" s="31"/>
      <c r="B36" s="11" t="s">
        <v>597</v>
      </c>
      <c r="C36" s="12">
        <v>1510</v>
      </c>
      <c r="D36" s="12">
        <v>54</v>
      </c>
      <c r="E36" s="12">
        <v>71</v>
      </c>
      <c r="F36" s="12">
        <v>163</v>
      </c>
      <c r="G36" s="12">
        <v>41</v>
      </c>
      <c r="H36" s="12">
        <v>77</v>
      </c>
      <c r="I36" s="12">
        <v>108</v>
      </c>
      <c r="J36" s="12">
        <v>31</v>
      </c>
      <c r="K36" s="12">
        <v>87</v>
      </c>
      <c r="L36" s="12">
        <v>27</v>
      </c>
      <c r="M36" s="12">
        <v>46</v>
      </c>
      <c r="N36" s="12">
        <v>53</v>
      </c>
      <c r="O36" s="12">
        <v>79</v>
      </c>
      <c r="P36" s="12">
        <v>41</v>
      </c>
      <c r="Q36" s="12">
        <v>46</v>
      </c>
      <c r="R36" s="12">
        <v>25</v>
      </c>
      <c r="S36" s="12">
        <v>63</v>
      </c>
      <c r="T36" s="12">
        <v>30</v>
      </c>
      <c r="U36" s="12">
        <v>14</v>
      </c>
      <c r="V36" s="12">
        <v>29</v>
      </c>
      <c r="W36" s="12">
        <v>14</v>
      </c>
      <c r="X36" s="12">
        <v>30</v>
      </c>
      <c r="Y36" s="12">
        <v>66</v>
      </c>
      <c r="Z36" s="12">
        <v>31</v>
      </c>
      <c r="AA36" s="12">
        <v>13</v>
      </c>
      <c r="AB36" s="12">
        <v>53</v>
      </c>
      <c r="AC36" s="12">
        <v>89</v>
      </c>
      <c r="AD36" s="12">
        <v>77</v>
      </c>
      <c r="AE36" s="12">
        <v>57</v>
      </c>
      <c r="AF36" s="12">
        <v>53</v>
      </c>
    </row>
    <row r="37" spans="1:32" x14ac:dyDescent="0.35">
      <c r="A37" s="31"/>
      <c r="B37" s="13" t="s">
        <v>598</v>
      </c>
      <c r="C37" s="14">
        <v>0.05</v>
      </c>
      <c r="D37" s="14">
        <v>0.05</v>
      </c>
      <c r="E37" s="14">
        <v>7.0000000000000007E-2</v>
      </c>
      <c r="F37" s="14">
        <v>0.16</v>
      </c>
      <c r="G37" s="14">
        <v>0.04</v>
      </c>
      <c r="H37" s="14">
        <v>0.06</v>
      </c>
      <c r="I37" s="14">
        <v>7.0000000000000007E-2</v>
      </c>
      <c r="J37" s="14">
        <v>0.11</v>
      </c>
      <c r="K37" s="14">
        <v>0.08</v>
      </c>
      <c r="L37" s="14">
        <v>0.02</v>
      </c>
      <c r="M37" s="14">
        <v>0.05</v>
      </c>
      <c r="N37" s="14">
        <v>0.06</v>
      </c>
      <c r="O37" s="14">
        <v>0.08</v>
      </c>
      <c r="P37" s="14">
        <v>0.04</v>
      </c>
      <c r="Q37" s="14">
        <v>0.04</v>
      </c>
      <c r="R37" s="14">
        <v>0.05</v>
      </c>
      <c r="S37" s="14">
        <v>7.0000000000000007E-2</v>
      </c>
      <c r="T37" s="14">
        <v>0.03</v>
      </c>
      <c r="U37" s="14">
        <v>0.04</v>
      </c>
      <c r="V37" s="14">
        <v>0.03</v>
      </c>
      <c r="W37" s="14">
        <v>0.03</v>
      </c>
      <c r="X37" s="14">
        <v>0.03</v>
      </c>
      <c r="Y37" s="14">
        <v>7.0000000000000007E-2</v>
      </c>
      <c r="Z37" s="14">
        <v>0.03</v>
      </c>
      <c r="AA37" s="14">
        <v>0.01</v>
      </c>
      <c r="AB37" s="14">
        <v>0.04</v>
      </c>
      <c r="AC37" s="14">
        <v>0.09</v>
      </c>
      <c r="AD37" s="14">
        <v>7.0000000000000007E-2</v>
      </c>
      <c r="AE37" s="14">
        <v>0.05</v>
      </c>
      <c r="AF37" s="14">
        <v>0.05</v>
      </c>
    </row>
    <row r="38" spans="1:32" x14ac:dyDescent="0.35">
      <c r="A38" s="31"/>
      <c r="B38" s="11" t="s">
        <v>725</v>
      </c>
      <c r="C38" s="12">
        <v>4258</v>
      </c>
      <c r="D38" s="12">
        <v>183</v>
      </c>
      <c r="E38" s="12">
        <v>202</v>
      </c>
      <c r="F38" s="12">
        <v>258</v>
      </c>
      <c r="G38" s="12">
        <v>166</v>
      </c>
      <c r="H38" s="12">
        <v>160</v>
      </c>
      <c r="I38" s="12">
        <v>233</v>
      </c>
      <c r="J38" s="12">
        <v>72</v>
      </c>
      <c r="K38" s="12">
        <v>259</v>
      </c>
      <c r="L38" s="12">
        <v>109</v>
      </c>
      <c r="M38" s="12">
        <v>143</v>
      </c>
      <c r="N38" s="12">
        <v>158</v>
      </c>
      <c r="O38" s="12">
        <v>204</v>
      </c>
      <c r="P38" s="12">
        <v>131</v>
      </c>
      <c r="Q38" s="12">
        <v>119</v>
      </c>
      <c r="R38" s="12">
        <v>57</v>
      </c>
      <c r="S38" s="12">
        <v>168</v>
      </c>
      <c r="T38" s="12">
        <v>162</v>
      </c>
      <c r="U38" s="12">
        <v>57</v>
      </c>
      <c r="V38" s="12">
        <v>161</v>
      </c>
      <c r="W38" s="12">
        <v>42</v>
      </c>
      <c r="X38" s="12">
        <v>112</v>
      </c>
      <c r="Y38" s="12">
        <v>158</v>
      </c>
      <c r="Z38" s="12">
        <v>205</v>
      </c>
      <c r="AA38" s="12">
        <v>109</v>
      </c>
      <c r="AB38" s="12">
        <v>187</v>
      </c>
      <c r="AC38" s="12">
        <v>207</v>
      </c>
      <c r="AD38" s="12">
        <v>165</v>
      </c>
      <c r="AE38" s="12">
        <v>134</v>
      </c>
      <c r="AF38" s="12">
        <v>155</v>
      </c>
    </row>
    <row r="39" spans="1:32" x14ac:dyDescent="0.35">
      <c r="A39" s="31"/>
      <c r="B39" s="13" t="s">
        <v>726</v>
      </c>
      <c r="C39" s="14">
        <v>0.17</v>
      </c>
      <c r="D39" s="14">
        <v>0.18</v>
      </c>
      <c r="E39" s="14">
        <v>0.19</v>
      </c>
      <c r="F39" s="14">
        <v>0.25</v>
      </c>
      <c r="G39" s="14">
        <v>0.17</v>
      </c>
      <c r="H39" s="14">
        <v>0.13</v>
      </c>
      <c r="I39" s="14">
        <v>0.15</v>
      </c>
      <c r="J39" s="14">
        <v>0.24</v>
      </c>
      <c r="K39" s="14">
        <v>0.26</v>
      </c>
      <c r="L39" s="14">
        <v>0.11</v>
      </c>
      <c r="M39" s="14">
        <v>0.14000000000000001</v>
      </c>
      <c r="N39" s="14">
        <v>0.15</v>
      </c>
      <c r="O39" s="14">
        <v>0.2</v>
      </c>
      <c r="P39" s="14">
        <v>0.13</v>
      </c>
      <c r="Q39" s="14">
        <v>0.11</v>
      </c>
      <c r="R39" s="14">
        <v>0.11</v>
      </c>
      <c r="S39" s="14">
        <v>0.16</v>
      </c>
      <c r="T39" s="14">
        <v>0.16</v>
      </c>
      <c r="U39" s="14">
        <v>0.11</v>
      </c>
      <c r="V39" s="14">
        <v>0.16</v>
      </c>
      <c r="W39" s="14">
        <v>0.08</v>
      </c>
      <c r="X39" s="14">
        <v>0.11</v>
      </c>
      <c r="Y39" s="14">
        <v>0.16</v>
      </c>
      <c r="Z39" s="14">
        <v>0.2</v>
      </c>
      <c r="AA39" s="14">
        <v>0.1</v>
      </c>
      <c r="AB39" s="14">
        <v>0.18</v>
      </c>
      <c r="AC39" s="14">
        <v>0.2</v>
      </c>
      <c r="AD39" s="14">
        <v>0.17</v>
      </c>
      <c r="AE39" s="14">
        <v>0.13</v>
      </c>
      <c r="AF39" s="14">
        <v>0.15</v>
      </c>
    </row>
    <row r="40" spans="1:32" x14ac:dyDescent="0.35">
      <c r="A40" s="31"/>
      <c r="B40" s="11" t="s">
        <v>596</v>
      </c>
      <c r="C40" s="12">
        <v>19859</v>
      </c>
      <c r="D40" s="12">
        <v>784</v>
      </c>
      <c r="E40" s="12">
        <v>718</v>
      </c>
      <c r="F40" s="12">
        <v>566</v>
      </c>
      <c r="G40" s="12">
        <v>785</v>
      </c>
      <c r="H40" s="12">
        <v>920</v>
      </c>
      <c r="I40" s="12">
        <v>1110</v>
      </c>
      <c r="J40" s="12">
        <v>190</v>
      </c>
      <c r="K40" s="12">
        <v>592</v>
      </c>
      <c r="L40" s="12">
        <v>855</v>
      </c>
      <c r="M40" s="12">
        <v>808</v>
      </c>
      <c r="N40" s="12">
        <v>750</v>
      </c>
      <c r="O40" s="12">
        <v>688</v>
      </c>
      <c r="P40" s="12">
        <v>823</v>
      </c>
      <c r="Q40" s="12">
        <v>862</v>
      </c>
      <c r="R40" s="12">
        <v>405</v>
      </c>
      <c r="S40" s="12">
        <v>732</v>
      </c>
      <c r="T40" s="12">
        <v>751</v>
      </c>
      <c r="U40" s="12">
        <v>434</v>
      </c>
      <c r="V40" s="12">
        <v>813</v>
      </c>
      <c r="W40" s="12">
        <v>444</v>
      </c>
      <c r="X40" s="12">
        <v>867</v>
      </c>
      <c r="Y40" s="12">
        <v>749</v>
      </c>
      <c r="Z40" s="12">
        <v>761</v>
      </c>
      <c r="AA40" s="12">
        <v>858</v>
      </c>
      <c r="AB40" s="12">
        <v>755</v>
      </c>
      <c r="AC40" s="12">
        <v>715</v>
      </c>
      <c r="AD40" s="12">
        <v>749</v>
      </c>
      <c r="AE40" s="12">
        <v>795</v>
      </c>
      <c r="AF40" s="12">
        <v>808</v>
      </c>
    </row>
    <row r="41" spans="1:32" x14ac:dyDescent="0.35">
      <c r="A41" s="31"/>
      <c r="B41" s="13" t="s">
        <v>596</v>
      </c>
      <c r="C41" s="14">
        <v>0.75</v>
      </c>
      <c r="D41" s="14">
        <v>0.76</v>
      </c>
      <c r="E41" s="14">
        <v>0.70000000000000007</v>
      </c>
      <c r="F41" s="14">
        <v>0.56000000000000005</v>
      </c>
      <c r="G41" s="14">
        <v>0.77</v>
      </c>
      <c r="H41" s="14">
        <v>0.75</v>
      </c>
      <c r="I41" s="14">
        <v>0.73</v>
      </c>
      <c r="J41" s="14">
        <v>0.63</v>
      </c>
      <c r="K41" s="14">
        <v>0.59</v>
      </c>
      <c r="L41" s="14">
        <v>0.85</v>
      </c>
      <c r="M41" s="14">
        <v>0.8</v>
      </c>
      <c r="N41" s="14">
        <v>0.75</v>
      </c>
      <c r="O41" s="14">
        <v>0.69000000000000006</v>
      </c>
      <c r="P41" s="14">
        <v>0.82000000000000006</v>
      </c>
      <c r="Q41" s="14">
        <v>0.83000000000000007</v>
      </c>
      <c r="R41" s="14">
        <v>0.81</v>
      </c>
      <c r="S41" s="14">
        <v>0.72</v>
      </c>
      <c r="T41" s="14">
        <v>0.74</v>
      </c>
      <c r="U41" s="14">
        <v>0.84</v>
      </c>
      <c r="V41" s="14">
        <v>0.8</v>
      </c>
      <c r="W41" s="14">
        <v>0.89</v>
      </c>
      <c r="X41" s="14">
        <v>0.86</v>
      </c>
      <c r="Y41" s="14">
        <v>0.74</v>
      </c>
      <c r="Z41" s="14">
        <v>0.75</v>
      </c>
      <c r="AA41" s="14">
        <v>0.84</v>
      </c>
      <c r="AB41" s="14">
        <v>0.72</v>
      </c>
      <c r="AC41" s="14">
        <v>0.71</v>
      </c>
      <c r="AD41" s="14">
        <v>0.75</v>
      </c>
      <c r="AE41" s="14">
        <v>0.8</v>
      </c>
      <c r="AF41" s="14">
        <v>0.79</v>
      </c>
    </row>
    <row r="42" spans="1:32" x14ac:dyDescent="0.35">
      <c r="A42" s="32"/>
      <c r="B42" s="11" t="s">
        <v>727</v>
      </c>
      <c r="C42" s="12">
        <v>7.73</v>
      </c>
      <c r="D42" s="12">
        <v>7.46</v>
      </c>
      <c r="E42" s="12">
        <v>7.51</v>
      </c>
      <c r="F42" s="12">
        <v>6.83</v>
      </c>
      <c r="G42" s="12">
        <v>7.76</v>
      </c>
      <c r="H42" s="12">
        <v>7.94</v>
      </c>
      <c r="I42" s="12">
        <v>7.78</v>
      </c>
      <c r="J42" s="12">
        <v>7.15</v>
      </c>
      <c r="K42" s="12">
        <v>7.14</v>
      </c>
      <c r="L42" s="12">
        <v>8.2799999999999994</v>
      </c>
      <c r="M42" s="12">
        <v>7.78</v>
      </c>
      <c r="N42" s="12">
        <v>7.82</v>
      </c>
      <c r="O42" s="12">
        <v>7.36</v>
      </c>
      <c r="P42" s="12">
        <v>8.3000000000000007</v>
      </c>
      <c r="Q42" s="12">
        <v>7.92</v>
      </c>
      <c r="R42" s="12">
        <v>8.2200000000000006</v>
      </c>
      <c r="S42" s="12">
        <v>7.72</v>
      </c>
      <c r="T42" s="12">
        <v>7.98</v>
      </c>
      <c r="U42" s="12">
        <v>8</v>
      </c>
      <c r="V42" s="12">
        <v>7.99</v>
      </c>
      <c r="W42" s="12">
        <v>8.74</v>
      </c>
      <c r="X42" s="12">
        <v>7.76</v>
      </c>
      <c r="Y42" s="12">
        <v>7.88</v>
      </c>
      <c r="Z42" s="12">
        <v>7.65</v>
      </c>
      <c r="AA42" s="12">
        <v>8.4700000000000006</v>
      </c>
      <c r="AB42" s="12">
        <v>7.73</v>
      </c>
      <c r="AC42" s="12">
        <v>7.57</v>
      </c>
      <c r="AD42" s="12">
        <v>7.74</v>
      </c>
      <c r="AE42" s="12">
        <v>7.75</v>
      </c>
      <c r="AF42" s="12">
        <v>7.9</v>
      </c>
    </row>
    <row r="43" spans="1:32" x14ac:dyDescent="0.35">
      <c r="A43" s="32"/>
      <c r="B43" s="13" t="s">
        <v>728</v>
      </c>
      <c r="C43" s="15" t="s">
        <v>333</v>
      </c>
      <c r="D43" s="15" t="s">
        <v>333</v>
      </c>
      <c r="E43" s="15" t="s">
        <v>333</v>
      </c>
      <c r="F43" s="15" t="s">
        <v>333</v>
      </c>
      <c r="G43" s="15" t="s">
        <v>333</v>
      </c>
      <c r="H43" s="15" t="s">
        <v>333</v>
      </c>
      <c r="I43" s="15" t="s">
        <v>333</v>
      </c>
      <c r="J43" s="15" t="s">
        <v>333</v>
      </c>
      <c r="K43" s="15" t="s">
        <v>333</v>
      </c>
      <c r="L43" s="15" t="s">
        <v>333</v>
      </c>
      <c r="M43" s="15" t="s">
        <v>333</v>
      </c>
      <c r="N43" s="15" t="s">
        <v>333</v>
      </c>
      <c r="O43" s="15" t="s">
        <v>333</v>
      </c>
      <c r="P43" s="15" t="s">
        <v>333</v>
      </c>
      <c r="Q43" s="15" t="s">
        <v>333</v>
      </c>
      <c r="R43" s="15" t="s">
        <v>333</v>
      </c>
      <c r="S43" s="15" t="s">
        <v>333</v>
      </c>
      <c r="T43" s="15" t="s">
        <v>333</v>
      </c>
      <c r="U43" s="15" t="s">
        <v>333</v>
      </c>
      <c r="V43" s="15" t="s">
        <v>333</v>
      </c>
      <c r="W43" s="15" t="s">
        <v>333</v>
      </c>
      <c r="X43" s="15" t="s">
        <v>333</v>
      </c>
      <c r="Y43" s="15" t="s">
        <v>333</v>
      </c>
      <c r="Z43" s="15" t="s">
        <v>333</v>
      </c>
      <c r="AA43" s="15" t="s">
        <v>333</v>
      </c>
      <c r="AB43" s="15" t="s">
        <v>333</v>
      </c>
      <c r="AC43" s="15" t="s">
        <v>333</v>
      </c>
      <c r="AD43" s="15" t="s">
        <v>333</v>
      </c>
      <c r="AE43" s="15" t="s">
        <v>333</v>
      </c>
      <c r="AF43" s="15" t="s">
        <v>333</v>
      </c>
    </row>
  </sheetData>
  <mergeCells count="10">
    <mergeCell ref="H3:L3"/>
    <mergeCell ref="C8:AF8"/>
    <mergeCell ref="B3:F3"/>
    <mergeCell ref="B5:F5"/>
    <mergeCell ref="A38:A43"/>
    <mergeCell ref="A10:A37"/>
    <mergeCell ref="H5:L5"/>
    <mergeCell ref="B10:B11"/>
    <mergeCell ref="H4:L4"/>
    <mergeCell ref="B4:F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4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737</v>
      </c>
      <c r="C3" s="30"/>
      <c r="D3" s="30"/>
      <c r="E3" s="30"/>
      <c r="F3" s="30"/>
      <c r="H3" s="30" t="s">
        <v>738</v>
      </c>
      <c r="I3" s="30"/>
      <c r="J3" s="30"/>
      <c r="K3" s="30"/>
      <c r="L3" s="30"/>
    </row>
    <row r="4" spans="1:32" ht="27" customHeight="1" x14ac:dyDescent="0.35">
      <c r="B4" s="30" t="s">
        <v>739</v>
      </c>
      <c r="C4" s="30"/>
      <c r="D4" s="30"/>
      <c r="E4" s="30"/>
      <c r="F4" s="30"/>
      <c r="H4" s="30" t="s">
        <v>740</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711</v>
      </c>
      <c r="C12" s="12">
        <v>617</v>
      </c>
      <c r="D12" s="12">
        <v>20</v>
      </c>
      <c r="E12" s="12">
        <v>28</v>
      </c>
      <c r="F12" s="12">
        <v>52</v>
      </c>
      <c r="G12" s="12">
        <v>22</v>
      </c>
      <c r="H12" s="12">
        <v>43</v>
      </c>
      <c r="I12" s="12">
        <v>54</v>
      </c>
      <c r="J12" s="12">
        <v>11</v>
      </c>
      <c r="K12" s="12">
        <v>17</v>
      </c>
      <c r="L12" s="12">
        <v>11</v>
      </c>
      <c r="M12" s="12">
        <v>20</v>
      </c>
      <c r="N12" s="12">
        <v>24</v>
      </c>
      <c r="O12" s="12">
        <v>28</v>
      </c>
      <c r="P12" s="12">
        <v>5</v>
      </c>
      <c r="Q12" s="12">
        <v>21</v>
      </c>
      <c r="R12" s="12">
        <v>11</v>
      </c>
      <c r="S12" s="12">
        <v>25</v>
      </c>
      <c r="T12" s="12">
        <v>16</v>
      </c>
      <c r="U12" s="12">
        <v>8</v>
      </c>
      <c r="V12" s="12">
        <v>0</v>
      </c>
      <c r="W12" s="12">
        <v>10</v>
      </c>
      <c r="X12" s="12">
        <v>13</v>
      </c>
      <c r="Y12" s="12">
        <v>46</v>
      </c>
      <c r="Z12" s="12">
        <v>6</v>
      </c>
      <c r="AA12" s="12">
        <v>4</v>
      </c>
      <c r="AB12" s="12">
        <v>13</v>
      </c>
      <c r="AC12" s="12">
        <v>36</v>
      </c>
      <c r="AD12" s="12">
        <v>18</v>
      </c>
      <c r="AE12" s="12">
        <v>30</v>
      </c>
      <c r="AF12" s="12">
        <v>22</v>
      </c>
    </row>
    <row r="13" spans="1:32" x14ac:dyDescent="0.35">
      <c r="A13" s="31"/>
      <c r="B13" s="13" t="s">
        <v>712</v>
      </c>
      <c r="C13" s="14">
        <v>0.02</v>
      </c>
      <c r="D13" s="14">
        <v>0.02</v>
      </c>
      <c r="E13" s="14">
        <v>0.03</v>
      </c>
      <c r="F13" s="14">
        <v>0.05</v>
      </c>
      <c r="G13" s="14">
        <v>0.02</v>
      </c>
      <c r="H13" s="14">
        <v>0.03</v>
      </c>
      <c r="I13" s="14">
        <v>0.04</v>
      </c>
      <c r="J13" s="14">
        <v>0.04</v>
      </c>
      <c r="K13" s="14">
        <v>0.02</v>
      </c>
      <c r="L13" s="14">
        <v>0.01</v>
      </c>
      <c r="M13" s="14">
        <v>0.02</v>
      </c>
      <c r="N13" s="14">
        <v>0.03</v>
      </c>
      <c r="O13" s="14">
        <v>0.03</v>
      </c>
      <c r="P13" s="15" t="s">
        <v>333</v>
      </c>
      <c r="Q13" s="14">
        <v>0.02</v>
      </c>
      <c r="R13" s="14">
        <v>0.02</v>
      </c>
      <c r="S13" s="14">
        <v>0.02</v>
      </c>
      <c r="T13" s="14">
        <v>0.02</v>
      </c>
      <c r="U13" s="14">
        <v>0.02</v>
      </c>
      <c r="V13" s="15" t="s">
        <v>333</v>
      </c>
      <c r="W13" s="14">
        <v>0.02</v>
      </c>
      <c r="X13" s="14">
        <v>0.01</v>
      </c>
      <c r="Y13" s="14">
        <v>0.05</v>
      </c>
      <c r="Z13" s="14">
        <v>0.01</v>
      </c>
      <c r="AA13" s="15" t="s">
        <v>333</v>
      </c>
      <c r="AB13" s="14">
        <v>0.01</v>
      </c>
      <c r="AC13" s="14">
        <v>0.04</v>
      </c>
      <c r="AD13" s="14">
        <v>0.02</v>
      </c>
      <c r="AE13" s="14">
        <v>0.03</v>
      </c>
      <c r="AF13" s="14">
        <v>0.02</v>
      </c>
    </row>
    <row r="14" spans="1:32" x14ac:dyDescent="0.35">
      <c r="A14" s="31"/>
      <c r="B14" s="11" t="s">
        <v>713</v>
      </c>
      <c r="C14" s="12">
        <v>342</v>
      </c>
      <c r="D14" s="12">
        <v>15</v>
      </c>
      <c r="E14" s="12">
        <v>8</v>
      </c>
      <c r="F14" s="12">
        <v>35</v>
      </c>
      <c r="G14" s="12">
        <v>14</v>
      </c>
      <c r="H14" s="12">
        <v>19</v>
      </c>
      <c r="I14" s="12">
        <v>29</v>
      </c>
      <c r="J14" s="12">
        <v>10</v>
      </c>
      <c r="K14" s="12">
        <v>23</v>
      </c>
      <c r="L14" s="12">
        <v>4</v>
      </c>
      <c r="M14" s="12">
        <v>7</v>
      </c>
      <c r="N14" s="12">
        <v>12</v>
      </c>
      <c r="O14" s="12">
        <v>13</v>
      </c>
      <c r="P14" s="12">
        <v>3</v>
      </c>
      <c r="Q14" s="12">
        <v>14</v>
      </c>
      <c r="R14" s="12">
        <v>5</v>
      </c>
      <c r="S14" s="12">
        <v>20</v>
      </c>
      <c r="T14" s="12">
        <v>13</v>
      </c>
      <c r="U14" s="12">
        <v>1</v>
      </c>
      <c r="V14" s="12">
        <v>2</v>
      </c>
      <c r="W14" s="12">
        <v>9</v>
      </c>
      <c r="X14" s="12">
        <v>9</v>
      </c>
      <c r="Y14" s="12">
        <v>19</v>
      </c>
      <c r="Z14" s="12">
        <v>0</v>
      </c>
      <c r="AA14" s="12">
        <v>3</v>
      </c>
      <c r="AB14" s="12">
        <v>13</v>
      </c>
      <c r="AC14" s="12">
        <v>14</v>
      </c>
      <c r="AD14" s="12">
        <v>4</v>
      </c>
      <c r="AE14" s="12">
        <v>29</v>
      </c>
      <c r="AF14" s="12">
        <v>25</v>
      </c>
    </row>
    <row r="15" spans="1:32" x14ac:dyDescent="0.35">
      <c r="A15" s="31"/>
      <c r="B15" s="13" t="s">
        <v>713</v>
      </c>
      <c r="C15" s="14">
        <v>0.01</v>
      </c>
      <c r="D15" s="14">
        <v>0.02</v>
      </c>
      <c r="E15" s="14">
        <v>0.01</v>
      </c>
      <c r="F15" s="14">
        <v>0.03</v>
      </c>
      <c r="G15" s="14">
        <v>0.01</v>
      </c>
      <c r="H15" s="14">
        <v>0.02</v>
      </c>
      <c r="I15" s="14">
        <v>0.02</v>
      </c>
      <c r="J15" s="14">
        <v>0.03</v>
      </c>
      <c r="K15" s="14">
        <v>0.02</v>
      </c>
      <c r="L15" s="15" t="s">
        <v>333</v>
      </c>
      <c r="M15" s="14">
        <v>0.01</v>
      </c>
      <c r="N15" s="14">
        <v>0.01</v>
      </c>
      <c r="O15" s="14">
        <v>0.01</v>
      </c>
      <c r="P15" s="15" t="s">
        <v>333</v>
      </c>
      <c r="Q15" s="14">
        <v>0.01</v>
      </c>
      <c r="R15" s="14">
        <v>0.01</v>
      </c>
      <c r="S15" s="14">
        <v>0.02</v>
      </c>
      <c r="T15" s="14">
        <v>0.01</v>
      </c>
      <c r="U15" s="15" t="s">
        <v>333</v>
      </c>
      <c r="V15" s="15" t="s">
        <v>333</v>
      </c>
      <c r="W15" s="14">
        <v>0.02</v>
      </c>
      <c r="X15" s="14">
        <v>0.01</v>
      </c>
      <c r="Y15" s="14">
        <v>0.02</v>
      </c>
      <c r="Z15" s="15" t="s">
        <v>333</v>
      </c>
      <c r="AA15" s="15" t="s">
        <v>333</v>
      </c>
      <c r="AB15" s="14">
        <v>0.01</v>
      </c>
      <c r="AC15" s="14">
        <v>0.01</v>
      </c>
      <c r="AD15" s="15" t="s">
        <v>333</v>
      </c>
      <c r="AE15" s="14">
        <v>0.03</v>
      </c>
      <c r="AF15" s="14">
        <v>0.03</v>
      </c>
    </row>
    <row r="16" spans="1:32" x14ac:dyDescent="0.35">
      <c r="A16" s="31"/>
      <c r="B16" s="11" t="s">
        <v>714</v>
      </c>
      <c r="C16" s="12">
        <v>518</v>
      </c>
      <c r="D16" s="12">
        <v>45</v>
      </c>
      <c r="E16" s="12">
        <v>17</v>
      </c>
      <c r="F16" s="12">
        <v>54</v>
      </c>
      <c r="G16" s="12">
        <v>27</v>
      </c>
      <c r="H16" s="12">
        <v>18</v>
      </c>
      <c r="I16" s="12">
        <v>36</v>
      </c>
      <c r="J16" s="12">
        <v>18</v>
      </c>
      <c r="K16" s="12">
        <v>29</v>
      </c>
      <c r="L16" s="12">
        <v>7</v>
      </c>
      <c r="M16" s="12">
        <v>15</v>
      </c>
      <c r="N16" s="12">
        <v>14</v>
      </c>
      <c r="O16" s="12">
        <v>27</v>
      </c>
      <c r="P16" s="12">
        <v>10</v>
      </c>
      <c r="Q16" s="12">
        <v>9</v>
      </c>
      <c r="R16" s="12">
        <v>15</v>
      </c>
      <c r="S16" s="12">
        <v>23</v>
      </c>
      <c r="T16" s="12">
        <v>9</v>
      </c>
      <c r="U16" s="12">
        <v>6</v>
      </c>
      <c r="V16" s="12">
        <v>6</v>
      </c>
      <c r="W16" s="12">
        <v>8</v>
      </c>
      <c r="X16" s="12">
        <v>17</v>
      </c>
      <c r="Y16" s="12">
        <v>28</v>
      </c>
      <c r="Z16" s="12">
        <v>13</v>
      </c>
      <c r="AA16" s="12">
        <v>8</v>
      </c>
      <c r="AB16" s="12">
        <v>8</v>
      </c>
      <c r="AC16" s="12">
        <v>35</v>
      </c>
      <c r="AD16" s="12">
        <v>25</v>
      </c>
      <c r="AE16" s="12">
        <v>26</v>
      </c>
      <c r="AF16" s="12">
        <v>46</v>
      </c>
    </row>
    <row r="17" spans="1:32" x14ac:dyDescent="0.35">
      <c r="A17" s="31"/>
      <c r="B17" s="13" t="s">
        <v>714</v>
      </c>
      <c r="C17" s="14">
        <v>0.02</v>
      </c>
      <c r="D17" s="14">
        <v>0.04</v>
      </c>
      <c r="E17" s="14">
        <v>0.02</v>
      </c>
      <c r="F17" s="14">
        <v>0.05</v>
      </c>
      <c r="G17" s="14">
        <v>0.03</v>
      </c>
      <c r="H17" s="14">
        <v>0.01</v>
      </c>
      <c r="I17" s="14">
        <v>0.02</v>
      </c>
      <c r="J17" s="14">
        <v>0.06</v>
      </c>
      <c r="K17" s="14">
        <v>0.03</v>
      </c>
      <c r="L17" s="14">
        <v>0.01</v>
      </c>
      <c r="M17" s="14">
        <v>0.02</v>
      </c>
      <c r="N17" s="14">
        <v>0.01</v>
      </c>
      <c r="O17" s="14">
        <v>0.03</v>
      </c>
      <c r="P17" s="14">
        <v>0.01</v>
      </c>
      <c r="Q17" s="14">
        <v>0.01</v>
      </c>
      <c r="R17" s="14">
        <v>0.03</v>
      </c>
      <c r="S17" s="14">
        <v>0.02</v>
      </c>
      <c r="T17" s="14">
        <v>0.01</v>
      </c>
      <c r="U17" s="14">
        <v>0.01</v>
      </c>
      <c r="V17" s="14">
        <v>0.01</v>
      </c>
      <c r="W17" s="14">
        <v>0.02</v>
      </c>
      <c r="X17" s="14">
        <v>0.02</v>
      </c>
      <c r="Y17" s="14">
        <v>0.03</v>
      </c>
      <c r="Z17" s="14">
        <v>0.01</v>
      </c>
      <c r="AA17" s="14">
        <v>0.01</v>
      </c>
      <c r="AB17" s="14">
        <v>0.01</v>
      </c>
      <c r="AC17" s="14">
        <v>0.03</v>
      </c>
      <c r="AD17" s="14">
        <v>0.03</v>
      </c>
      <c r="AE17" s="14">
        <v>0.02</v>
      </c>
      <c r="AF17" s="14">
        <v>0.05</v>
      </c>
    </row>
    <row r="18" spans="1:32" x14ac:dyDescent="0.35">
      <c r="A18" s="31"/>
      <c r="B18" s="11" t="s">
        <v>715</v>
      </c>
      <c r="C18" s="12">
        <v>758</v>
      </c>
      <c r="D18" s="12">
        <v>28</v>
      </c>
      <c r="E18" s="12">
        <v>35</v>
      </c>
      <c r="F18" s="12">
        <v>39</v>
      </c>
      <c r="G18" s="12">
        <v>40</v>
      </c>
      <c r="H18" s="12">
        <v>46</v>
      </c>
      <c r="I18" s="12">
        <v>63</v>
      </c>
      <c r="J18" s="12">
        <v>17</v>
      </c>
      <c r="K18" s="12">
        <v>41</v>
      </c>
      <c r="L18" s="12">
        <v>21</v>
      </c>
      <c r="M18" s="12">
        <v>23</v>
      </c>
      <c r="N18" s="12">
        <v>27</v>
      </c>
      <c r="O18" s="12">
        <v>28</v>
      </c>
      <c r="P18" s="12">
        <v>24</v>
      </c>
      <c r="Q18" s="12">
        <v>11</v>
      </c>
      <c r="R18" s="12">
        <v>14</v>
      </c>
      <c r="S18" s="12">
        <v>22</v>
      </c>
      <c r="T18" s="12">
        <v>18</v>
      </c>
      <c r="U18" s="12">
        <v>5</v>
      </c>
      <c r="V18" s="12">
        <v>34</v>
      </c>
      <c r="W18" s="12">
        <v>6</v>
      </c>
      <c r="X18" s="12">
        <v>31</v>
      </c>
      <c r="Y18" s="12">
        <v>58</v>
      </c>
      <c r="Z18" s="12">
        <v>30</v>
      </c>
      <c r="AA18" s="12">
        <v>12</v>
      </c>
      <c r="AB18" s="12">
        <v>25</v>
      </c>
      <c r="AC18" s="12">
        <v>20</v>
      </c>
      <c r="AD18" s="12">
        <v>32</v>
      </c>
      <c r="AE18" s="12">
        <v>32</v>
      </c>
      <c r="AF18" s="12">
        <v>38</v>
      </c>
    </row>
    <row r="19" spans="1:32" x14ac:dyDescent="0.35">
      <c r="A19" s="31"/>
      <c r="B19" s="13" t="s">
        <v>715</v>
      </c>
      <c r="C19" s="14">
        <v>0.03</v>
      </c>
      <c r="D19" s="14">
        <v>0.03</v>
      </c>
      <c r="E19" s="14">
        <v>0.03</v>
      </c>
      <c r="F19" s="14">
        <v>0.04</v>
      </c>
      <c r="G19" s="14">
        <v>0.04</v>
      </c>
      <c r="H19" s="14">
        <v>0.04</v>
      </c>
      <c r="I19" s="14">
        <v>0.04</v>
      </c>
      <c r="J19" s="14">
        <v>0.06</v>
      </c>
      <c r="K19" s="14">
        <v>0.04</v>
      </c>
      <c r="L19" s="14">
        <v>0.02</v>
      </c>
      <c r="M19" s="14">
        <v>0.02</v>
      </c>
      <c r="N19" s="14">
        <v>0.03</v>
      </c>
      <c r="O19" s="14">
        <v>0.03</v>
      </c>
      <c r="P19" s="14">
        <v>0.02</v>
      </c>
      <c r="Q19" s="14">
        <v>0.01</v>
      </c>
      <c r="R19" s="14">
        <v>0.03</v>
      </c>
      <c r="S19" s="14">
        <v>0.02</v>
      </c>
      <c r="T19" s="14">
        <v>0.02</v>
      </c>
      <c r="U19" s="14">
        <v>0.01</v>
      </c>
      <c r="V19" s="14">
        <v>0.03</v>
      </c>
      <c r="W19" s="14">
        <v>0.01</v>
      </c>
      <c r="X19" s="14">
        <v>0.03</v>
      </c>
      <c r="Y19" s="14">
        <v>0.06</v>
      </c>
      <c r="Z19" s="14">
        <v>0.03</v>
      </c>
      <c r="AA19" s="14">
        <v>0.01</v>
      </c>
      <c r="AB19" s="14">
        <v>0.02</v>
      </c>
      <c r="AC19" s="14">
        <v>0.02</v>
      </c>
      <c r="AD19" s="14">
        <v>0.03</v>
      </c>
      <c r="AE19" s="14">
        <v>0.03</v>
      </c>
      <c r="AF19" s="14">
        <v>0.04</v>
      </c>
    </row>
    <row r="20" spans="1:32" x14ac:dyDescent="0.35">
      <c r="A20" s="31"/>
      <c r="B20" s="11" t="s">
        <v>716</v>
      </c>
      <c r="C20" s="12">
        <v>2051</v>
      </c>
      <c r="D20" s="12">
        <v>96</v>
      </c>
      <c r="E20" s="12">
        <v>83</v>
      </c>
      <c r="F20" s="12">
        <v>151</v>
      </c>
      <c r="G20" s="12">
        <v>103</v>
      </c>
      <c r="H20" s="12">
        <v>87</v>
      </c>
      <c r="I20" s="12">
        <v>120</v>
      </c>
      <c r="J20" s="12">
        <v>33</v>
      </c>
      <c r="K20" s="12">
        <v>126</v>
      </c>
      <c r="L20" s="12">
        <v>77</v>
      </c>
      <c r="M20" s="12">
        <v>95</v>
      </c>
      <c r="N20" s="12">
        <v>72</v>
      </c>
      <c r="O20" s="12">
        <v>107</v>
      </c>
      <c r="P20" s="12">
        <v>67</v>
      </c>
      <c r="Q20" s="12">
        <v>31</v>
      </c>
      <c r="R20" s="12">
        <v>30</v>
      </c>
      <c r="S20" s="12">
        <v>99</v>
      </c>
      <c r="T20" s="12">
        <v>103</v>
      </c>
      <c r="U20" s="12">
        <v>25</v>
      </c>
      <c r="V20" s="12">
        <v>66</v>
      </c>
      <c r="W20" s="12">
        <v>21</v>
      </c>
      <c r="X20" s="12">
        <v>64</v>
      </c>
      <c r="Y20" s="12">
        <v>62</v>
      </c>
      <c r="Z20" s="12">
        <v>78</v>
      </c>
      <c r="AA20" s="12">
        <v>79</v>
      </c>
      <c r="AB20" s="12">
        <v>79</v>
      </c>
      <c r="AC20" s="12">
        <v>100</v>
      </c>
      <c r="AD20" s="12">
        <v>80</v>
      </c>
      <c r="AE20" s="12">
        <v>77</v>
      </c>
      <c r="AF20" s="12">
        <v>116</v>
      </c>
    </row>
    <row r="21" spans="1:32" x14ac:dyDescent="0.35">
      <c r="A21" s="31"/>
      <c r="B21" s="13" t="s">
        <v>716</v>
      </c>
      <c r="C21" s="14">
        <v>0.08</v>
      </c>
      <c r="D21" s="14">
        <v>0.09</v>
      </c>
      <c r="E21" s="14">
        <v>0.08</v>
      </c>
      <c r="F21" s="14">
        <v>0.15</v>
      </c>
      <c r="G21" s="14">
        <v>0.1</v>
      </c>
      <c r="H21" s="14">
        <v>7.0000000000000007E-2</v>
      </c>
      <c r="I21" s="14">
        <v>0.08</v>
      </c>
      <c r="J21" s="14">
        <v>0.11</v>
      </c>
      <c r="K21" s="14">
        <v>0.13</v>
      </c>
      <c r="L21" s="14">
        <v>0.08</v>
      </c>
      <c r="M21" s="14">
        <v>0.09</v>
      </c>
      <c r="N21" s="14">
        <v>7.0000000000000007E-2</v>
      </c>
      <c r="O21" s="14">
        <v>0.11</v>
      </c>
      <c r="P21" s="14">
        <v>7.0000000000000007E-2</v>
      </c>
      <c r="Q21" s="14">
        <v>0.03</v>
      </c>
      <c r="R21" s="14">
        <v>0.06</v>
      </c>
      <c r="S21" s="14">
        <v>0.1</v>
      </c>
      <c r="T21" s="14">
        <v>0.1</v>
      </c>
      <c r="U21" s="14">
        <v>0.05</v>
      </c>
      <c r="V21" s="14">
        <v>0.06</v>
      </c>
      <c r="W21" s="14">
        <v>0.04</v>
      </c>
      <c r="X21" s="14">
        <v>0.06</v>
      </c>
      <c r="Y21" s="14">
        <v>0.06</v>
      </c>
      <c r="Z21" s="14">
        <v>0.08</v>
      </c>
      <c r="AA21" s="14">
        <v>0.08</v>
      </c>
      <c r="AB21" s="14">
        <v>0.08</v>
      </c>
      <c r="AC21" s="14">
        <v>0.1</v>
      </c>
      <c r="AD21" s="14">
        <v>0.08</v>
      </c>
      <c r="AE21" s="14">
        <v>7.0000000000000007E-2</v>
      </c>
      <c r="AF21" s="14">
        <v>0.11</v>
      </c>
    </row>
    <row r="22" spans="1:32" x14ac:dyDescent="0.35">
      <c r="A22" s="31"/>
      <c r="B22" s="11" t="s">
        <v>717</v>
      </c>
      <c r="C22" s="12">
        <v>1986</v>
      </c>
      <c r="D22" s="12">
        <v>112</v>
      </c>
      <c r="E22" s="12">
        <v>95</v>
      </c>
      <c r="F22" s="12">
        <v>94</v>
      </c>
      <c r="G22" s="12">
        <v>60</v>
      </c>
      <c r="H22" s="12">
        <v>68</v>
      </c>
      <c r="I22" s="12">
        <v>91</v>
      </c>
      <c r="J22" s="12">
        <v>23</v>
      </c>
      <c r="K22" s="12">
        <v>119</v>
      </c>
      <c r="L22" s="12">
        <v>57</v>
      </c>
      <c r="M22" s="12">
        <v>67</v>
      </c>
      <c r="N22" s="12">
        <v>95</v>
      </c>
      <c r="O22" s="12">
        <v>71</v>
      </c>
      <c r="P22" s="12">
        <v>76</v>
      </c>
      <c r="Q22" s="12">
        <v>73</v>
      </c>
      <c r="R22" s="12">
        <v>31</v>
      </c>
      <c r="S22" s="12">
        <v>82</v>
      </c>
      <c r="T22" s="12">
        <v>59</v>
      </c>
      <c r="U22" s="12">
        <v>26</v>
      </c>
      <c r="V22" s="12">
        <v>89</v>
      </c>
      <c r="W22" s="12">
        <v>27</v>
      </c>
      <c r="X22" s="12">
        <v>88</v>
      </c>
      <c r="Y22" s="12">
        <v>86</v>
      </c>
      <c r="Z22" s="12">
        <v>92</v>
      </c>
      <c r="AA22" s="12">
        <v>44</v>
      </c>
      <c r="AB22" s="12">
        <v>77</v>
      </c>
      <c r="AC22" s="12">
        <v>69</v>
      </c>
      <c r="AD22" s="12">
        <v>57</v>
      </c>
      <c r="AE22" s="12">
        <v>80</v>
      </c>
      <c r="AF22" s="12">
        <v>75</v>
      </c>
    </row>
    <row r="23" spans="1:32" x14ac:dyDescent="0.35">
      <c r="A23" s="31"/>
      <c r="B23" s="13" t="s">
        <v>717</v>
      </c>
      <c r="C23" s="14">
        <v>0.08</v>
      </c>
      <c r="D23" s="14">
        <v>0.11</v>
      </c>
      <c r="E23" s="14">
        <v>0.09</v>
      </c>
      <c r="F23" s="14">
        <v>0.09</v>
      </c>
      <c r="G23" s="14">
        <v>0.06</v>
      </c>
      <c r="H23" s="14">
        <v>0.06</v>
      </c>
      <c r="I23" s="14">
        <v>0.06</v>
      </c>
      <c r="J23" s="14">
        <v>0.08</v>
      </c>
      <c r="K23" s="14">
        <v>0.12</v>
      </c>
      <c r="L23" s="14">
        <v>0.06</v>
      </c>
      <c r="M23" s="14">
        <v>7.0000000000000007E-2</v>
      </c>
      <c r="N23" s="14">
        <v>0.1</v>
      </c>
      <c r="O23" s="14">
        <v>7.0000000000000007E-2</v>
      </c>
      <c r="P23" s="14">
        <v>0.08</v>
      </c>
      <c r="Q23" s="14">
        <v>7.0000000000000007E-2</v>
      </c>
      <c r="R23" s="14">
        <v>0.06</v>
      </c>
      <c r="S23" s="14">
        <v>0.08</v>
      </c>
      <c r="T23" s="14">
        <v>0.06</v>
      </c>
      <c r="U23" s="14">
        <v>0.05</v>
      </c>
      <c r="V23" s="14">
        <v>0.09</v>
      </c>
      <c r="W23" s="14">
        <v>0.05</v>
      </c>
      <c r="X23" s="14">
        <v>0.09</v>
      </c>
      <c r="Y23" s="14">
        <v>0.08</v>
      </c>
      <c r="Z23" s="14">
        <v>0.09</v>
      </c>
      <c r="AA23" s="14">
        <v>0.04</v>
      </c>
      <c r="AB23" s="14">
        <v>7.0000000000000007E-2</v>
      </c>
      <c r="AC23" s="14">
        <v>7.0000000000000007E-2</v>
      </c>
      <c r="AD23" s="14">
        <v>0.06</v>
      </c>
      <c r="AE23" s="14">
        <v>0.08</v>
      </c>
      <c r="AF23" s="14">
        <v>7.0000000000000007E-2</v>
      </c>
    </row>
    <row r="24" spans="1:32" x14ac:dyDescent="0.35">
      <c r="A24" s="31"/>
      <c r="B24" s="11" t="s">
        <v>718</v>
      </c>
      <c r="C24" s="12">
        <v>3437</v>
      </c>
      <c r="D24" s="12">
        <v>159</v>
      </c>
      <c r="E24" s="12">
        <v>138</v>
      </c>
      <c r="F24" s="12">
        <v>102</v>
      </c>
      <c r="G24" s="12">
        <v>133</v>
      </c>
      <c r="H24" s="12">
        <v>103</v>
      </c>
      <c r="I24" s="12">
        <v>138</v>
      </c>
      <c r="J24" s="12">
        <v>35</v>
      </c>
      <c r="K24" s="12">
        <v>127</v>
      </c>
      <c r="L24" s="12">
        <v>114</v>
      </c>
      <c r="M24" s="12">
        <v>135</v>
      </c>
      <c r="N24" s="12">
        <v>130</v>
      </c>
      <c r="O24" s="12">
        <v>153</v>
      </c>
      <c r="P24" s="12">
        <v>101</v>
      </c>
      <c r="Q24" s="12">
        <v>153</v>
      </c>
      <c r="R24" s="12">
        <v>43</v>
      </c>
      <c r="S24" s="12">
        <v>102</v>
      </c>
      <c r="T24" s="12">
        <v>107</v>
      </c>
      <c r="U24" s="12">
        <v>65</v>
      </c>
      <c r="V24" s="12">
        <v>122</v>
      </c>
      <c r="W24" s="12">
        <v>28</v>
      </c>
      <c r="X24" s="12">
        <v>154</v>
      </c>
      <c r="Y24" s="12">
        <v>106</v>
      </c>
      <c r="Z24" s="12">
        <v>177</v>
      </c>
      <c r="AA24" s="12">
        <v>99</v>
      </c>
      <c r="AB24" s="12">
        <v>154</v>
      </c>
      <c r="AC24" s="12">
        <v>100</v>
      </c>
      <c r="AD24" s="12">
        <v>97</v>
      </c>
      <c r="AE24" s="12">
        <v>141</v>
      </c>
      <c r="AF24" s="12">
        <v>105</v>
      </c>
    </row>
    <row r="25" spans="1:32" x14ac:dyDescent="0.35">
      <c r="A25" s="31"/>
      <c r="B25" s="13" t="s">
        <v>718</v>
      </c>
      <c r="C25" s="14">
        <v>0.13</v>
      </c>
      <c r="D25" s="14">
        <v>0.16</v>
      </c>
      <c r="E25" s="14">
        <v>0.13</v>
      </c>
      <c r="F25" s="14">
        <v>0.1</v>
      </c>
      <c r="G25" s="14">
        <v>0.13</v>
      </c>
      <c r="H25" s="14">
        <v>0.08</v>
      </c>
      <c r="I25" s="14">
        <v>0.09</v>
      </c>
      <c r="J25" s="14">
        <v>0.12</v>
      </c>
      <c r="K25" s="14">
        <v>0.13</v>
      </c>
      <c r="L25" s="14">
        <v>0.11</v>
      </c>
      <c r="M25" s="14">
        <v>0.13</v>
      </c>
      <c r="N25" s="14">
        <v>0.13</v>
      </c>
      <c r="O25" s="14">
        <v>0.15</v>
      </c>
      <c r="P25" s="14">
        <v>0.1</v>
      </c>
      <c r="Q25" s="14">
        <v>0.15</v>
      </c>
      <c r="R25" s="14">
        <v>0.09</v>
      </c>
      <c r="S25" s="14">
        <v>0.1</v>
      </c>
      <c r="T25" s="14">
        <v>0.1</v>
      </c>
      <c r="U25" s="14">
        <v>0.13</v>
      </c>
      <c r="V25" s="14">
        <v>0.12</v>
      </c>
      <c r="W25" s="14">
        <v>0.06</v>
      </c>
      <c r="X25" s="14">
        <v>0.15</v>
      </c>
      <c r="Y25" s="14">
        <v>0.11</v>
      </c>
      <c r="Z25" s="14">
        <v>0.17</v>
      </c>
      <c r="AA25" s="14">
        <v>0.1</v>
      </c>
      <c r="AB25" s="14">
        <v>0.15</v>
      </c>
      <c r="AC25" s="14">
        <v>0.1</v>
      </c>
      <c r="AD25" s="14">
        <v>0.1</v>
      </c>
      <c r="AE25" s="14">
        <v>0.14000000000000001</v>
      </c>
      <c r="AF25" s="14">
        <v>0.1</v>
      </c>
    </row>
    <row r="26" spans="1:32" x14ac:dyDescent="0.35">
      <c r="A26" s="31"/>
      <c r="B26" s="11" t="s">
        <v>719</v>
      </c>
      <c r="C26" s="12">
        <v>5013</v>
      </c>
      <c r="D26" s="12">
        <v>236</v>
      </c>
      <c r="E26" s="12">
        <v>172</v>
      </c>
      <c r="F26" s="12">
        <v>98</v>
      </c>
      <c r="G26" s="12">
        <v>160</v>
      </c>
      <c r="H26" s="12">
        <v>154</v>
      </c>
      <c r="I26" s="12">
        <v>190</v>
      </c>
      <c r="J26" s="12">
        <v>37</v>
      </c>
      <c r="K26" s="12">
        <v>143</v>
      </c>
      <c r="L26" s="12">
        <v>201</v>
      </c>
      <c r="M26" s="12">
        <v>211</v>
      </c>
      <c r="N26" s="12">
        <v>202</v>
      </c>
      <c r="O26" s="12">
        <v>183</v>
      </c>
      <c r="P26" s="12">
        <v>189</v>
      </c>
      <c r="Q26" s="12">
        <v>289</v>
      </c>
      <c r="R26" s="12">
        <v>77</v>
      </c>
      <c r="S26" s="12">
        <v>141</v>
      </c>
      <c r="T26" s="12">
        <v>151</v>
      </c>
      <c r="U26" s="12">
        <v>104</v>
      </c>
      <c r="V26" s="12">
        <v>192</v>
      </c>
      <c r="W26" s="12">
        <v>64</v>
      </c>
      <c r="X26" s="12">
        <v>229</v>
      </c>
      <c r="Y26" s="12">
        <v>124</v>
      </c>
      <c r="Z26" s="12">
        <v>235</v>
      </c>
      <c r="AA26" s="12">
        <v>212</v>
      </c>
      <c r="AB26" s="12">
        <v>200</v>
      </c>
      <c r="AC26" s="12">
        <v>140</v>
      </c>
      <c r="AD26" s="12">
        <v>164</v>
      </c>
      <c r="AE26" s="12">
        <v>178</v>
      </c>
      <c r="AF26" s="12">
        <v>151</v>
      </c>
    </row>
    <row r="27" spans="1:32" x14ac:dyDescent="0.35">
      <c r="A27" s="31"/>
      <c r="B27" s="13" t="s">
        <v>719</v>
      </c>
      <c r="C27" s="14">
        <v>0.19</v>
      </c>
      <c r="D27" s="14">
        <v>0.23</v>
      </c>
      <c r="E27" s="14">
        <v>0.16</v>
      </c>
      <c r="F27" s="14">
        <v>0.1</v>
      </c>
      <c r="G27" s="14">
        <v>0.16</v>
      </c>
      <c r="H27" s="14">
        <v>0.12</v>
      </c>
      <c r="I27" s="14">
        <v>0.12</v>
      </c>
      <c r="J27" s="14">
        <v>0.12</v>
      </c>
      <c r="K27" s="14">
        <v>0.14000000000000001</v>
      </c>
      <c r="L27" s="14">
        <v>0.2</v>
      </c>
      <c r="M27" s="14">
        <v>0.21</v>
      </c>
      <c r="N27" s="14">
        <v>0.2</v>
      </c>
      <c r="O27" s="14">
        <v>0.18</v>
      </c>
      <c r="P27" s="14">
        <v>0.19</v>
      </c>
      <c r="Q27" s="14">
        <v>0.28000000000000003</v>
      </c>
      <c r="R27" s="14">
        <v>0.15</v>
      </c>
      <c r="S27" s="14">
        <v>0.14000000000000001</v>
      </c>
      <c r="T27" s="14">
        <v>0.15</v>
      </c>
      <c r="U27" s="14">
        <v>0.2</v>
      </c>
      <c r="V27" s="14">
        <v>0.19</v>
      </c>
      <c r="W27" s="14">
        <v>0.13</v>
      </c>
      <c r="X27" s="14">
        <v>0.23</v>
      </c>
      <c r="Y27" s="14">
        <v>0.12</v>
      </c>
      <c r="Z27" s="14">
        <v>0.23</v>
      </c>
      <c r="AA27" s="14">
        <v>0.21</v>
      </c>
      <c r="AB27" s="14">
        <v>0.19</v>
      </c>
      <c r="AC27" s="14">
        <v>0.14000000000000001</v>
      </c>
      <c r="AD27" s="14">
        <v>0.16</v>
      </c>
      <c r="AE27" s="14">
        <v>0.18</v>
      </c>
      <c r="AF27" s="14">
        <v>0.15</v>
      </c>
    </row>
    <row r="28" spans="1:32" x14ac:dyDescent="0.35">
      <c r="A28" s="31"/>
      <c r="B28" s="11" t="s">
        <v>720</v>
      </c>
      <c r="C28" s="12">
        <v>4041</v>
      </c>
      <c r="D28" s="12">
        <v>127</v>
      </c>
      <c r="E28" s="12">
        <v>144</v>
      </c>
      <c r="F28" s="12">
        <v>89</v>
      </c>
      <c r="G28" s="12">
        <v>113</v>
      </c>
      <c r="H28" s="12">
        <v>181</v>
      </c>
      <c r="I28" s="12">
        <v>215</v>
      </c>
      <c r="J28" s="12">
        <v>34</v>
      </c>
      <c r="K28" s="12">
        <v>83</v>
      </c>
      <c r="L28" s="12">
        <v>147</v>
      </c>
      <c r="M28" s="12">
        <v>234</v>
      </c>
      <c r="N28" s="12">
        <v>153</v>
      </c>
      <c r="O28" s="12">
        <v>117</v>
      </c>
      <c r="P28" s="12">
        <v>147</v>
      </c>
      <c r="Q28" s="12">
        <v>235</v>
      </c>
      <c r="R28" s="12">
        <v>73</v>
      </c>
      <c r="S28" s="12">
        <v>140</v>
      </c>
      <c r="T28" s="12">
        <v>120</v>
      </c>
      <c r="U28" s="12">
        <v>90</v>
      </c>
      <c r="V28" s="12">
        <v>147</v>
      </c>
      <c r="W28" s="12">
        <v>36</v>
      </c>
      <c r="X28" s="12">
        <v>175</v>
      </c>
      <c r="Y28" s="12">
        <v>99</v>
      </c>
      <c r="Z28" s="12">
        <v>169</v>
      </c>
      <c r="AA28" s="12">
        <v>182</v>
      </c>
      <c r="AB28" s="12">
        <v>169</v>
      </c>
      <c r="AC28" s="12">
        <v>108</v>
      </c>
      <c r="AD28" s="12">
        <v>140</v>
      </c>
      <c r="AE28" s="12">
        <v>148</v>
      </c>
      <c r="AF28" s="12">
        <v>96</v>
      </c>
    </row>
    <row r="29" spans="1:32" x14ac:dyDescent="0.35">
      <c r="A29" s="31"/>
      <c r="B29" s="13" t="s">
        <v>720</v>
      </c>
      <c r="C29" s="14">
        <v>0.15</v>
      </c>
      <c r="D29" s="14">
        <v>0.12</v>
      </c>
      <c r="E29" s="14">
        <v>0.14000000000000001</v>
      </c>
      <c r="F29" s="14">
        <v>0.09</v>
      </c>
      <c r="G29" s="14">
        <v>0.11</v>
      </c>
      <c r="H29" s="14">
        <v>0.15</v>
      </c>
      <c r="I29" s="14">
        <v>0.14000000000000001</v>
      </c>
      <c r="J29" s="14">
        <v>0.11</v>
      </c>
      <c r="K29" s="14">
        <v>0.08</v>
      </c>
      <c r="L29" s="14">
        <v>0.15</v>
      </c>
      <c r="M29" s="14">
        <v>0.23</v>
      </c>
      <c r="N29" s="14">
        <v>0.15</v>
      </c>
      <c r="O29" s="14">
        <v>0.12</v>
      </c>
      <c r="P29" s="14">
        <v>0.15</v>
      </c>
      <c r="Q29" s="14">
        <v>0.23</v>
      </c>
      <c r="R29" s="14">
        <v>0.15</v>
      </c>
      <c r="S29" s="14">
        <v>0.14000000000000001</v>
      </c>
      <c r="T29" s="14">
        <v>0.12</v>
      </c>
      <c r="U29" s="14">
        <v>0.18</v>
      </c>
      <c r="V29" s="14">
        <v>0.14000000000000001</v>
      </c>
      <c r="W29" s="14">
        <v>7.0000000000000007E-2</v>
      </c>
      <c r="X29" s="14">
        <v>0.17</v>
      </c>
      <c r="Y29" s="14">
        <v>0.1</v>
      </c>
      <c r="Z29" s="14">
        <v>0.17</v>
      </c>
      <c r="AA29" s="14">
        <v>0.18</v>
      </c>
      <c r="AB29" s="14">
        <v>0.16</v>
      </c>
      <c r="AC29" s="14">
        <v>0.11</v>
      </c>
      <c r="AD29" s="14">
        <v>0.14000000000000001</v>
      </c>
      <c r="AE29" s="14">
        <v>0.15</v>
      </c>
      <c r="AF29" s="14">
        <v>0.1</v>
      </c>
    </row>
    <row r="30" spans="1:32" x14ac:dyDescent="0.35">
      <c r="A30" s="31"/>
      <c r="B30" s="11" t="s">
        <v>721</v>
      </c>
      <c r="C30" s="12">
        <v>6448</v>
      </c>
      <c r="D30" s="12">
        <v>177</v>
      </c>
      <c r="E30" s="12">
        <v>242</v>
      </c>
      <c r="F30" s="12">
        <v>250</v>
      </c>
      <c r="G30" s="12">
        <v>281</v>
      </c>
      <c r="H30" s="12">
        <v>415</v>
      </c>
      <c r="I30" s="12">
        <v>482</v>
      </c>
      <c r="J30" s="12">
        <v>67</v>
      </c>
      <c r="K30" s="12">
        <v>177</v>
      </c>
      <c r="L30" s="12">
        <v>337</v>
      </c>
      <c r="M30" s="12">
        <v>171</v>
      </c>
      <c r="N30" s="12">
        <v>222</v>
      </c>
      <c r="O30" s="12">
        <v>221</v>
      </c>
      <c r="P30" s="12">
        <v>360</v>
      </c>
      <c r="Q30" s="12">
        <v>184</v>
      </c>
      <c r="R30" s="12">
        <v>182</v>
      </c>
      <c r="S30" s="12">
        <v>281</v>
      </c>
      <c r="T30" s="12">
        <v>256</v>
      </c>
      <c r="U30" s="12">
        <v>171</v>
      </c>
      <c r="V30" s="12">
        <v>341</v>
      </c>
      <c r="W30" s="12">
        <v>285</v>
      </c>
      <c r="X30" s="12">
        <v>225</v>
      </c>
      <c r="Y30" s="12">
        <v>303</v>
      </c>
      <c r="Z30" s="12">
        <v>193</v>
      </c>
      <c r="AA30" s="12">
        <v>330</v>
      </c>
      <c r="AB30" s="12">
        <v>242</v>
      </c>
      <c r="AC30" s="12">
        <v>369</v>
      </c>
      <c r="AD30" s="12">
        <v>362</v>
      </c>
      <c r="AE30" s="12">
        <v>188</v>
      </c>
      <c r="AF30" s="12">
        <v>319</v>
      </c>
    </row>
    <row r="31" spans="1:32" x14ac:dyDescent="0.35">
      <c r="A31" s="31"/>
      <c r="B31" s="13" t="s">
        <v>722</v>
      </c>
      <c r="C31" s="14">
        <v>0.24</v>
      </c>
      <c r="D31" s="14">
        <v>0.17</v>
      </c>
      <c r="E31" s="14">
        <v>0.23</v>
      </c>
      <c r="F31" s="14">
        <v>0.25</v>
      </c>
      <c r="G31" s="14">
        <v>0.28000000000000003</v>
      </c>
      <c r="H31" s="14">
        <v>0.34</v>
      </c>
      <c r="I31" s="14">
        <v>0.32</v>
      </c>
      <c r="J31" s="14">
        <v>0.23</v>
      </c>
      <c r="K31" s="14">
        <v>0.17</v>
      </c>
      <c r="L31" s="14">
        <v>0.34</v>
      </c>
      <c r="M31" s="14">
        <v>0.17</v>
      </c>
      <c r="N31" s="14">
        <v>0.22</v>
      </c>
      <c r="O31" s="14">
        <v>0.22</v>
      </c>
      <c r="P31" s="14">
        <v>0.36</v>
      </c>
      <c r="Q31" s="14">
        <v>0.18</v>
      </c>
      <c r="R31" s="14">
        <v>0.36</v>
      </c>
      <c r="S31" s="14">
        <v>0.28000000000000003</v>
      </c>
      <c r="T31" s="14">
        <v>0.25</v>
      </c>
      <c r="U31" s="14">
        <v>0.34</v>
      </c>
      <c r="V31" s="14">
        <v>0.34</v>
      </c>
      <c r="W31" s="14">
        <v>0.57000000000000006</v>
      </c>
      <c r="X31" s="14">
        <v>0.22</v>
      </c>
      <c r="Y31" s="14">
        <v>0.3</v>
      </c>
      <c r="Z31" s="14">
        <v>0.19</v>
      </c>
      <c r="AA31" s="14">
        <v>0.32</v>
      </c>
      <c r="AB31" s="14">
        <v>0.23</v>
      </c>
      <c r="AC31" s="14">
        <v>0.36</v>
      </c>
      <c r="AD31" s="14">
        <v>0.36</v>
      </c>
      <c r="AE31" s="14">
        <v>0.19</v>
      </c>
      <c r="AF31" s="14">
        <v>0.31</v>
      </c>
    </row>
    <row r="32" spans="1:32" x14ac:dyDescent="0.35">
      <c r="A32" s="31"/>
      <c r="B32" s="11" t="s">
        <v>723</v>
      </c>
      <c r="C32" s="12">
        <v>144</v>
      </c>
      <c r="D32" s="12">
        <v>1</v>
      </c>
      <c r="E32" s="12">
        <v>7</v>
      </c>
      <c r="F32" s="12">
        <v>1</v>
      </c>
      <c r="G32" s="12">
        <v>7</v>
      </c>
      <c r="H32" s="12">
        <v>6</v>
      </c>
      <c r="I32" s="12">
        <v>8</v>
      </c>
      <c r="J32" s="12">
        <v>2</v>
      </c>
      <c r="K32" s="12">
        <v>9</v>
      </c>
      <c r="L32" s="12">
        <v>4</v>
      </c>
      <c r="M32" s="12">
        <v>7</v>
      </c>
      <c r="N32" s="12">
        <v>0</v>
      </c>
      <c r="O32" s="12">
        <v>7</v>
      </c>
      <c r="P32" s="12">
        <v>5</v>
      </c>
      <c r="Q32" s="12">
        <v>9</v>
      </c>
      <c r="R32" s="12">
        <v>0</v>
      </c>
      <c r="S32" s="12">
        <v>11</v>
      </c>
      <c r="T32" s="12">
        <v>11</v>
      </c>
      <c r="U32" s="12">
        <v>1</v>
      </c>
      <c r="V32" s="12">
        <v>1</v>
      </c>
      <c r="W32" s="12">
        <v>1</v>
      </c>
      <c r="X32" s="12">
        <v>1</v>
      </c>
      <c r="Y32" s="12">
        <v>28</v>
      </c>
      <c r="Z32" s="12">
        <v>1</v>
      </c>
      <c r="AA32" s="12">
        <v>1</v>
      </c>
      <c r="AB32" s="12">
        <v>11</v>
      </c>
      <c r="AC32" s="12">
        <v>10</v>
      </c>
      <c r="AD32" s="12">
        <v>3</v>
      </c>
      <c r="AE32" s="12">
        <v>18</v>
      </c>
      <c r="AF32" s="12">
        <v>3</v>
      </c>
    </row>
    <row r="33" spans="1:32" ht="21.5" x14ac:dyDescent="0.35">
      <c r="A33" s="31"/>
      <c r="B33" s="13" t="s">
        <v>724</v>
      </c>
      <c r="C33" s="14">
        <v>0.01</v>
      </c>
      <c r="D33" s="15" t="s">
        <v>333</v>
      </c>
      <c r="E33" s="14">
        <v>0.01</v>
      </c>
      <c r="F33" s="15" t="s">
        <v>333</v>
      </c>
      <c r="G33" s="14">
        <v>0.01</v>
      </c>
      <c r="H33" s="15" t="s">
        <v>333</v>
      </c>
      <c r="I33" s="15" t="s">
        <v>333</v>
      </c>
      <c r="J33" s="15" t="s">
        <v>333</v>
      </c>
      <c r="K33" s="14">
        <v>0.01</v>
      </c>
      <c r="L33" s="15" t="s">
        <v>333</v>
      </c>
      <c r="M33" s="14">
        <v>0.01</v>
      </c>
      <c r="N33" s="15" t="s">
        <v>333</v>
      </c>
      <c r="O33" s="14">
        <v>0.01</v>
      </c>
      <c r="P33" s="15" t="s">
        <v>333</v>
      </c>
      <c r="Q33" s="14">
        <v>0.01</v>
      </c>
      <c r="R33" s="15" t="s">
        <v>333</v>
      </c>
      <c r="S33" s="14">
        <v>0.01</v>
      </c>
      <c r="T33" s="14">
        <v>0.01</v>
      </c>
      <c r="U33" s="15" t="s">
        <v>333</v>
      </c>
      <c r="V33" s="15" t="s">
        <v>333</v>
      </c>
      <c r="W33" s="15" t="s">
        <v>333</v>
      </c>
      <c r="X33" s="15" t="s">
        <v>333</v>
      </c>
      <c r="Y33" s="14">
        <v>0.03</v>
      </c>
      <c r="Z33" s="15" t="s">
        <v>333</v>
      </c>
      <c r="AA33" s="15" t="s">
        <v>333</v>
      </c>
      <c r="AB33" s="14">
        <v>0.01</v>
      </c>
      <c r="AC33" s="14">
        <v>0.01</v>
      </c>
      <c r="AD33" s="15" t="s">
        <v>333</v>
      </c>
      <c r="AE33" s="14">
        <v>0.02</v>
      </c>
      <c r="AF33" s="15" t="s">
        <v>333</v>
      </c>
    </row>
    <row r="34" spans="1:32" x14ac:dyDescent="0.35">
      <c r="A34" s="31"/>
      <c r="B34" s="11" t="s">
        <v>344</v>
      </c>
      <c r="C34" s="12">
        <v>1057</v>
      </c>
      <c r="D34" s="12">
        <v>8</v>
      </c>
      <c r="E34" s="12">
        <v>71</v>
      </c>
      <c r="F34" s="12">
        <v>54</v>
      </c>
      <c r="G34" s="12">
        <v>57</v>
      </c>
      <c r="H34" s="12">
        <v>93</v>
      </c>
      <c r="I34" s="12">
        <v>104</v>
      </c>
      <c r="J34" s="12">
        <v>11</v>
      </c>
      <c r="K34" s="12">
        <v>115</v>
      </c>
      <c r="L34" s="12">
        <v>25</v>
      </c>
      <c r="M34" s="12">
        <v>18</v>
      </c>
      <c r="N34" s="12">
        <v>49</v>
      </c>
      <c r="O34" s="12">
        <v>44</v>
      </c>
      <c r="P34" s="12">
        <v>18</v>
      </c>
      <c r="Q34" s="12">
        <v>6</v>
      </c>
      <c r="R34" s="12">
        <v>20</v>
      </c>
      <c r="S34" s="12">
        <v>76</v>
      </c>
      <c r="T34" s="12">
        <v>153</v>
      </c>
      <c r="U34" s="12">
        <v>6</v>
      </c>
      <c r="V34" s="12">
        <v>16</v>
      </c>
      <c r="W34" s="12">
        <v>4</v>
      </c>
      <c r="X34" s="12">
        <v>4</v>
      </c>
      <c r="Y34" s="12">
        <v>44</v>
      </c>
      <c r="Z34" s="12">
        <v>24</v>
      </c>
      <c r="AA34" s="12">
        <v>55</v>
      </c>
      <c r="AB34" s="12">
        <v>64</v>
      </c>
      <c r="AC34" s="12">
        <v>12</v>
      </c>
      <c r="AD34" s="12">
        <v>22</v>
      </c>
      <c r="AE34" s="12">
        <v>59</v>
      </c>
      <c r="AF34" s="12">
        <v>24</v>
      </c>
    </row>
    <row r="35" spans="1:32" x14ac:dyDescent="0.35">
      <c r="A35" s="31"/>
      <c r="B35" s="13" t="s">
        <v>357</v>
      </c>
      <c r="C35" s="14">
        <v>0.04</v>
      </c>
      <c r="D35" s="14">
        <v>0.01</v>
      </c>
      <c r="E35" s="14">
        <v>7.0000000000000007E-2</v>
      </c>
      <c r="F35" s="14">
        <v>0.05</v>
      </c>
      <c r="G35" s="14">
        <v>0.05</v>
      </c>
      <c r="H35" s="14">
        <v>0.08</v>
      </c>
      <c r="I35" s="14">
        <v>7.0000000000000007E-2</v>
      </c>
      <c r="J35" s="14">
        <v>0.04</v>
      </c>
      <c r="K35" s="14">
        <v>0.11</v>
      </c>
      <c r="L35" s="14">
        <v>0.02</v>
      </c>
      <c r="M35" s="14">
        <v>0.02</v>
      </c>
      <c r="N35" s="14">
        <v>0.05</v>
      </c>
      <c r="O35" s="14">
        <v>0.04</v>
      </c>
      <c r="P35" s="14">
        <v>0.02</v>
      </c>
      <c r="Q35" s="15" t="s">
        <v>333</v>
      </c>
      <c r="R35" s="14">
        <v>0.04</v>
      </c>
      <c r="S35" s="14">
        <v>7.0000000000000007E-2</v>
      </c>
      <c r="T35" s="14">
        <v>0.15</v>
      </c>
      <c r="U35" s="14">
        <v>0.01</v>
      </c>
      <c r="V35" s="14">
        <v>0.02</v>
      </c>
      <c r="W35" s="14">
        <v>0.01</v>
      </c>
      <c r="X35" s="14">
        <v>0.01</v>
      </c>
      <c r="Y35" s="14">
        <v>0.04</v>
      </c>
      <c r="Z35" s="14">
        <v>0.02</v>
      </c>
      <c r="AA35" s="14">
        <v>0.05</v>
      </c>
      <c r="AB35" s="14">
        <v>0.06</v>
      </c>
      <c r="AC35" s="14">
        <v>0.01</v>
      </c>
      <c r="AD35" s="14">
        <v>0.02</v>
      </c>
      <c r="AE35" s="14">
        <v>0.06</v>
      </c>
      <c r="AF35" s="14">
        <v>0.02</v>
      </c>
    </row>
    <row r="36" spans="1:32" x14ac:dyDescent="0.35">
      <c r="A36" s="31"/>
      <c r="B36" s="11" t="s">
        <v>597</v>
      </c>
      <c r="C36" s="12">
        <v>2235</v>
      </c>
      <c r="D36" s="12">
        <v>108</v>
      </c>
      <c r="E36" s="12">
        <v>88</v>
      </c>
      <c r="F36" s="12">
        <v>180</v>
      </c>
      <c r="G36" s="12">
        <v>103</v>
      </c>
      <c r="H36" s="12">
        <v>126</v>
      </c>
      <c r="I36" s="12">
        <v>182</v>
      </c>
      <c r="J36" s="12">
        <v>56</v>
      </c>
      <c r="K36" s="12">
        <v>110</v>
      </c>
      <c r="L36" s="12">
        <v>43</v>
      </c>
      <c r="M36" s="12">
        <v>65</v>
      </c>
      <c r="N36" s="12">
        <v>77</v>
      </c>
      <c r="O36" s="12">
        <v>96</v>
      </c>
      <c r="P36" s="12">
        <v>42</v>
      </c>
      <c r="Q36" s="12">
        <v>55</v>
      </c>
      <c r="R36" s="12">
        <v>45</v>
      </c>
      <c r="S36" s="12">
        <v>90</v>
      </c>
      <c r="T36" s="12">
        <v>56</v>
      </c>
      <c r="U36" s="12">
        <v>20</v>
      </c>
      <c r="V36" s="12">
        <v>42</v>
      </c>
      <c r="W36" s="12">
        <v>33</v>
      </c>
      <c r="X36" s="12">
        <v>70</v>
      </c>
      <c r="Y36" s="12">
        <v>151</v>
      </c>
      <c r="Z36" s="12">
        <v>49</v>
      </c>
      <c r="AA36" s="12">
        <v>27</v>
      </c>
      <c r="AB36" s="12">
        <v>59</v>
      </c>
      <c r="AC36" s="12">
        <v>105</v>
      </c>
      <c r="AD36" s="12">
        <v>79</v>
      </c>
      <c r="AE36" s="12">
        <v>117</v>
      </c>
      <c r="AF36" s="12">
        <v>131</v>
      </c>
    </row>
    <row r="37" spans="1:32" x14ac:dyDescent="0.35">
      <c r="A37" s="31"/>
      <c r="B37" s="13" t="s">
        <v>598</v>
      </c>
      <c r="C37" s="14">
        <v>0.08</v>
      </c>
      <c r="D37" s="14">
        <v>0.11</v>
      </c>
      <c r="E37" s="14">
        <v>0.09</v>
      </c>
      <c r="F37" s="14">
        <v>0.17</v>
      </c>
      <c r="G37" s="14">
        <v>0.1</v>
      </c>
      <c r="H37" s="14">
        <v>0.1</v>
      </c>
      <c r="I37" s="14">
        <v>0.12</v>
      </c>
      <c r="J37" s="14">
        <v>0.19</v>
      </c>
      <c r="K37" s="14">
        <v>0.11</v>
      </c>
      <c r="L37" s="14">
        <v>0.04</v>
      </c>
      <c r="M37" s="14">
        <v>7.0000000000000007E-2</v>
      </c>
      <c r="N37" s="14">
        <v>0.08</v>
      </c>
      <c r="O37" s="14">
        <v>0.1</v>
      </c>
      <c r="P37" s="14">
        <v>0.03</v>
      </c>
      <c r="Q37" s="14">
        <v>0.05</v>
      </c>
      <c r="R37" s="14">
        <v>0.09</v>
      </c>
      <c r="S37" s="14">
        <v>0.08</v>
      </c>
      <c r="T37" s="14">
        <v>0.06</v>
      </c>
      <c r="U37" s="14">
        <v>0.04</v>
      </c>
      <c r="V37" s="14">
        <v>0.04</v>
      </c>
      <c r="W37" s="14">
        <v>7.0000000000000007E-2</v>
      </c>
      <c r="X37" s="14">
        <v>7.0000000000000007E-2</v>
      </c>
      <c r="Y37" s="14">
        <v>0.16</v>
      </c>
      <c r="Z37" s="14">
        <v>0.05</v>
      </c>
      <c r="AA37" s="14">
        <v>0.02</v>
      </c>
      <c r="AB37" s="14">
        <v>0.05</v>
      </c>
      <c r="AC37" s="14">
        <v>0.1</v>
      </c>
      <c r="AD37" s="14">
        <v>0.08</v>
      </c>
      <c r="AE37" s="14">
        <v>0.11</v>
      </c>
      <c r="AF37" s="14">
        <v>0.14000000000000001</v>
      </c>
    </row>
    <row r="38" spans="1:32" x14ac:dyDescent="0.35">
      <c r="A38" s="31"/>
      <c r="B38" s="11" t="s">
        <v>725</v>
      </c>
      <c r="C38" s="12">
        <v>4037</v>
      </c>
      <c r="D38" s="12">
        <v>208</v>
      </c>
      <c r="E38" s="12">
        <v>178</v>
      </c>
      <c r="F38" s="12">
        <v>245</v>
      </c>
      <c r="G38" s="12">
        <v>163</v>
      </c>
      <c r="H38" s="12">
        <v>155</v>
      </c>
      <c r="I38" s="12">
        <v>211</v>
      </c>
      <c r="J38" s="12">
        <v>56</v>
      </c>
      <c r="K38" s="12">
        <v>245</v>
      </c>
      <c r="L38" s="12">
        <v>134</v>
      </c>
      <c r="M38" s="12">
        <v>162</v>
      </c>
      <c r="N38" s="12">
        <v>167</v>
      </c>
      <c r="O38" s="12">
        <v>178</v>
      </c>
      <c r="P38" s="12">
        <v>143</v>
      </c>
      <c r="Q38" s="12">
        <v>104</v>
      </c>
      <c r="R38" s="12">
        <v>61</v>
      </c>
      <c r="S38" s="12">
        <v>181</v>
      </c>
      <c r="T38" s="12">
        <v>162</v>
      </c>
      <c r="U38" s="12">
        <v>51</v>
      </c>
      <c r="V38" s="12">
        <v>155</v>
      </c>
      <c r="W38" s="12">
        <v>48</v>
      </c>
      <c r="X38" s="12">
        <v>152</v>
      </c>
      <c r="Y38" s="12">
        <v>148</v>
      </c>
      <c r="Z38" s="12">
        <v>170</v>
      </c>
      <c r="AA38" s="12">
        <v>123</v>
      </c>
      <c r="AB38" s="12">
        <v>156</v>
      </c>
      <c r="AC38" s="12">
        <v>169</v>
      </c>
      <c r="AD38" s="12">
        <v>137</v>
      </c>
      <c r="AE38" s="12">
        <v>157</v>
      </c>
      <c r="AF38" s="12">
        <v>191</v>
      </c>
    </row>
    <row r="39" spans="1:32" x14ac:dyDescent="0.35">
      <c r="A39" s="31"/>
      <c r="B39" s="13" t="s">
        <v>726</v>
      </c>
      <c r="C39" s="14">
        <v>0.16</v>
      </c>
      <c r="D39" s="14">
        <v>0.2</v>
      </c>
      <c r="E39" s="14">
        <v>0.17</v>
      </c>
      <c r="F39" s="14">
        <v>0.24</v>
      </c>
      <c r="G39" s="14">
        <v>0.16</v>
      </c>
      <c r="H39" s="14">
        <v>0.13</v>
      </c>
      <c r="I39" s="14">
        <v>0.14000000000000001</v>
      </c>
      <c r="J39" s="14">
        <v>0.19</v>
      </c>
      <c r="K39" s="14">
        <v>0.25</v>
      </c>
      <c r="L39" s="14">
        <v>0.14000000000000001</v>
      </c>
      <c r="M39" s="14">
        <v>0.16</v>
      </c>
      <c r="N39" s="14">
        <v>0.17</v>
      </c>
      <c r="O39" s="14">
        <v>0.18</v>
      </c>
      <c r="P39" s="14">
        <v>0.15</v>
      </c>
      <c r="Q39" s="14">
        <v>0.1</v>
      </c>
      <c r="R39" s="14">
        <v>0.12</v>
      </c>
      <c r="S39" s="14">
        <v>0.18</v>
      </c>
      <c r="T39" s="14">
        <v>0.16</v>
      </c>
      <c r="U39" s="14">
        <v>0.1</v>
      </c>
      <c r="V39" s="14">
        <v>0.15</v>
      </c>
      <c r="W39" s="14">
        <v>0.09</v>
      </c>
      <c r="X39" s="14">
        <v>0.15</v>
      </c>
      <c r="Y39" s="14">
        <v>0.14000000000000001</v>
      </c>
      <c r="Z39" s="14">
        <v>0.17</v>
      </c>
      <c r="AA39" s="14">
        <v>0.12</v>
      </c>
      <c r="AB39" s="14">
        <v>0.15</v>
      </c>
      <c r="AC39" s="14">
        <v>0.17</v>
      </c>
      <c r="AD39" s="14">
        <v>0.14000000000000001</v>
      </c>
      <c r="AE39" s="14">
        <v>0.15</v>
      </c>
      <c r="AF39" s="14">
        <v>0.18</v>
      </c>
    </row>
    <row r="40" spans="1:32" x14ac:dyDescent="0.35">
      <c r="A40" s="31"/>
      <c r="B40" s="11" t="s">
        <v>596</v>
      </c>
      <c r="C40" s="12">
        <v>18939</v>
      </c>
      <c r="D40" s="12">
        <v>699</v>
      </c>
      <c r="E40" s="12">
        <v>696</v>
      </c>
      <c r="F40" s="12">
        <v>539</v>
      </c>
      <c r="G40" s="12">
        <v>687</v>
      </c>
      <c r="H40" s="12">
        <v>853</v>
      </c>
      <c r="I40" s="12">
        <v>1025</v>
      </c>
      <c r="J40" s="12">
        <v>173</v>
      </c>
      <c r="K40" s="12">
        <v>530</v>
      </c>
      <c r="L40" s="12">
        <v>799</v>
      </c>
      <c r="M40" s="12">
        <v>751</v>
      </c>
      <c r="N40" s="12">
        <v>707</v>
      </c>
      <c r="O40" s="12">
        <v>674</v>
      </c>
      <c r="P40" s="12">
        <v>797</v>
      </c>
      <c r="Q40" s="12">
        <v>861</v>
      </c>
      <c r="R40" s="12">
        <v>375</v>
      </c>
      <c r="S40" s="12">
        <v>664</v>
      </c>
      <c r="T40" s="12">
        <v>634</v>
      </c>
      <c r="U40" s="12">
        <v>430</v>
      </c>
      <c r="V40" s="12">
        <v>802</v>
      </c>
      <c r="W40" s="12">
        <v>413</v>
      </c>
      <c r="X40" s="12">
        <v>783</v>
      </c>
      <c r="Y40" s="12">
        <v>632</v>
      </c>
      <c r="Z40" s="12">
        <v>774</v>
      </c>
      <c r="AA40" s="12">
        <v>823</v>
      </c>
      <c r="AB40" s="12">
        <v>765</v>
      </c>
      <c r="AC40" s="12">
        <v>717</v>
      </c>
      <c r="AD40" s="12">
        <v>763</v>
      </c>
      <c r="AE40" s="12">
        <v>655</v>
      </c>
      <c r="AF40" s="12">
        <v>671</v>
      </c>
    </row>
    <row r="41" spans="1:32" x14ac:dyDescent="0.35">
      <c r="A41" s="31"/>
      <c r="B41" s="13" t="s">
        <v>596</v>
      </c>
      <c r="C41" s="14">
        <v>0.71</v>
      </c>
      <c r="D41" s="14">
        <v>0.68</v>
      </c>
      <c r="E41" s="14">
        <v>0.66</v>
      </c>
      <c r="F41" s="14">
        <v>0.54</v>
      </c>
      <c r="G41" s="14">
        <v>0.68</v>
      </c>
      <c r="H41" s="14">
        <v>0.69000000000000006</v>
      </c>
      <c r="I41" s="14">
        <v>0.67</v>
      </c>
      <c r="J41" s="14">
        <v>0.57999999999999996</v>
      </c>
      <c r="K41" s="14">
        <v>0.52</v>
      </c>
      <c r="L41" s="14">
        <v>0.8</v>
      </c>
      <c r="M41" s="14">
        <v>0.74</v>
      </c>
      <c r="N41" s="14">
        <v>0.70000000000000007</v>
      </c>
      <c r="O41" s="14">
        <v>0.67</v>
      </c>
      <c r="P41" s="14">
        <v>0.8</v>
      </c>
      <c r="Q41" s="14">
        <v>0.84</v>
      </c>
      <c r="R41" s="14">
        <v>0.75</v>
      </c>
      <c r="S41" s="14">
        <v>0.66</v>
      </c>
      <c r="T41" s="14">
        <v>0.62</v>
      </c>
      <c r="U41" s="14">
        <v>0.85</v>
      </c>
      <c r="V41" s="14">
        <v>0.79</v>
      </c>
      <c r="W41" s="14">
        <v>0.83000000000000007</v>
      </c>
      <c r="X41" s="14">
        <v>0.77</v>
      </c>
      <c r="Y41" s="14">
        <v>0.63</v>
      </c>
      <c r="Z41" s="14">
        <v>0.76</v>
      </c>
      <c r="AA41" s="14">
        <v>0.81</v>
      </c>
      <c r="AB41" s="14">
        <v>0.73</v>
      </c>
      <c r="AC41" s="14">
        <v>0.71</v>
      </c>
      <c r="AD41" s="14">
        <v>0.76</v>
      </c>
      <c r="AE41" s="14">
        <v>0.66</v>
      </c>
      <c r="AF41" s="14">
        <v>0.66</v>
      </c>
    </row>
    <row r="42" spans="1:32" x14ac:dyDescent="0.35">
      <c r="A42" s="32"/>
      <c r="B42" s="11" t="s">
        <v>727</v>
      </c>
      <c r="C42" s="12">
        <v>7.66</v>
      </c>
      <c r="D42" s="12">
        <v>7.26</v>
      </c>
      <c r="E42" s="12">
        <v>7.57</v>
      </c>
      <c r="F42" s="12">
        <v>6.81</v>
      </c>
      <c r="G42" s="12">
        <v>7.56</v>
      </c>
      <c r="H42" s="12">
        <v>7.85</v>
      </c>
      <c r="I42" s="12">
        <v>7.66</v>
      </c>
      <c r="J42" s="12">
        <v>6.91</v>
      </c>
      <c r="K42" s="12">
        <v>7.02</v>
      </c>
      <c r="L42" s="12">
        <v>8.15</v>
      </c>
      <c r="M42" s="12">
        <v>7.66</v>
      </c>
      <c r="N42" s="12">
        <v>7.62</v>
      </c>
      <c r="O42" s="12">
        <v>7.39</v>
      </c>
      <c r="P42" s="12">
        <v>8.23</v>
      </c>
      <c r="Q42" s="12">
        <v>7.9</v>
      </c>
      <c r="R42" s="12">
        <v>8</v>
      </c>
      <c r="S42" s="12">
        <v>7.62</v>
      </c>
      <c r="T42" s="12">
        <v>7.75</v>
      </c>
      <c r="U42" s="12">
        <v>8.24</v>
      </c>
      <c r="V42" s="12">
        <v>8.16</v>
      </c>
      <c r="W42" s="12">
        <v>8.5500000000000007</v>
      </c>
      <c r="X42" s="12">
        <v>7.75</v>
      </c>
      <c r="Y42" s="12">
        <v>7.39</v>
      </c>
      <c r="Z42" s="12">
        <v>7.73</v>
      </c>
      <c r="AA42" s="12">
        <v>8.2899999999999991</v>
      </c>
      <c r="AB42" s="12">
        <v>7.79</v>
      </c>
      <c r="AC42" s="12">
        <v>7.71</v>
      </c>
      <c r="AD42" s="12">
        <v>8.01</v>
      </c>
      <c r="AE42" s="12">
        <v>7.3</v>
      </c>
      <c r="AF42" s="12">
        <v>7.44</v>
      </c>
    </row>
    <row r="43" spans="1:32" x14ac:dyDescent="0.35">
      <c r="A43" s="32"/>
      <c r="B43" s="13" t="s">
        <v>728</v>
      </c>
      <c r="C43" s="15" t="s">
        <v>333</v>
      </c>
      <c r="D43" s="15" t="s">
        <v>333</v>
      </c>
      <c r="E43" s="15" t="s">
        <v>333</v>
      </c>
      <c r="F43" s="15" t="s">
        <v>333</v>
      </c>
      <c r="G43" s="15" t="s">
        <v>333</v>
      </c>
      <c r="H43" s="15" t="s">
        <v>333</v>
      </c>
      <c r="I43" s="15" t="s">
        <v>333</v>
      </c>
      <c r="J43" s="15" t="s">
        <v>333</v>
      </c>
      <c r="K43" s="15" t="s">
        <v>333</v>
      </c>
      <c r="L43" s="15" t="s">
        <v>333</v>
      </c>
      <c r="M43" s="15" t="s">
        <v>333</v>
      </c>
      <c r="N43" s="15" t="s">
        <v>333</v>
      </c>
      <c r="O43" s="15" t="s">
        <v>333</v>
      </c>
      <c r="P43" s="15" t="s">
        <v>333</v>
      </c>
      <c r="Q43" s="15" t="s">
        <v>333</v>
      </c>
      <c r="R43" s="15" t="s">
        <v>333</v>
      </c>
      <c r="S43" s="15" t="s">
        <v>333</v>
      </c>
      <c r="T43" s="15" t="s">
        <v>333</v>
      </c>
      <c r="U43" s="15" t="s">
        <v>333</v>
      </c>
      <c r="V43" s="15" t="s">
        <v>333</v>
      </c>
      <c r="W43" s="15" t="s">
        <v>333</v>
      </c>
      <c r="X43" s="15" t="s">
        <v>333</v>
      </c>
      <c r="Y43" s="15" t="s">
        <v>333</v>
      </c>
      <c r="Z43" s="15" t="s">
        <v>333</v>
      </c>
      <c r="AA43" s="15" t="s">
        <v>333</v>
      </c>
      <c r="AB43" s="15" t="s">
        <v>333</v>
      </c>
      <c r="AC43" s="15" t="s">
        <v>333</v>
      </c>
      <c r="AD43" s="15" t="s">
        <v>333</v>
      </c>
      <c r="AE43" s="15" t="s">
        <v>333</v>
      </c>
      <c r="AF43" s="15" t="s">
        <v>333</v>
      </c>
    </row>
  </sheetData>
  <mergeCells count="10">
    <mergeCell ref="H3:L3"/>
    <mergeCell ref="C8:AF8"/>
    <mergeCell ref="B3:F3"/>
    <mergeCell ref="B5:F5"/>
    <mergeCell ref="A38:A43"/>
    <mergeCell ref="A10:A37"/>
    <mergeCell ref="H5:L5"/>
    <mergeCell ref="B10:B11"/>
    <mergeCell ref="H4:L4"/>
    <mergeCell ref="B4:F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99</v>
      </c>
      <c r="C3" s="30"/>
      <c r="D3" s="30"/>
      <c r="E3" s="30"/>
      <c r="F3" s="30"/>
      <c r="H3" s="30" t="s">
        <v>100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741</v>
      </c>
      <c r="C12" s="12">
        <v>2399</v>
      </c>
      <c r="D12" s="12">
        <v>84</v>
      </c>
      <c r="E12" s="12">
        <v>109</v>
      </c>
      <c r="F12" s="12">
        <v>86</v>
      </c>
      <c r="G12" s="12">
        <v>59</v>
      </c>
      <c r="H12" s="12">
        <v>66</v>
      </c>
      <c r="I12" s="12">
        <v>90</v>
      </c>
      <c r="J12" s="12">
        <v>24</v>
      </c>
      <c r="K12" s="12">
        <v>111</v>
      </c>
      <c r="L12" s="12">
        <v>81</v>
      </c>
      <c r="M12" s="12">
        <v>162</v>
      </c>
      <c r="N12" s="12">
        <v>92</v>
      </c>
      <c r="O12" s="12">
        <v>89</v>
      </c>
      <c r="P12" s="12">
        <v>127</v>
      </c>
      <c r="Q12" s="12">
        <v>122</v>
      </c>
      <c r="R12" s="12">
        <v>31</v>
      </c>
      <c r="S12" s="12">
        <v>85</v>
      </c>
      <c r="T12" s="12">
        <v>73</v>
      </c>
      <c r="U12" s="12">
        <v>41</v>
      </c>
      <c r="V12" s="12">
        <v>92</v>
      </c>
      <c r="W12" s="12">
        <v>42</v>
      </c>
      <c r="X12" s="12">
        <v>75</v>
      </c>
      <c r="Y12" s="12">
        <v>65</v>
      </c>
      <c r="Z12" s="12">
        <v>102</v>
      </c>
      <c r="AA12" s="12">
        <v>85</v>
      </c>
      <c r="AB12" s="12">
        <v>162</v>
      </c>
      <c r="AC12" s="12">
        <v>129</v>
      </c>
      <c r="AD12" s="12">
        <v>91</v>
      </c>
      <c r="AE12" s="12">
        <v>106</v>
      </c>
      <c r="AF12" s="12">
        <v>55</v>
      </c>
    </row>
    <row r="13" spans="1:32" ht="41.5" x14ac:dyDescent="0.35">
      <c r="A13" s="31"/>
      <c r="B13" s="13" t="s">
        <v>742</v>
      </c>
      <c r="C13" s="14">
        <v>0.09</v>
      </c>
      <c r="D13" s="14">
        <v>0.08</v>
      </c>
      <c r="E13" s="14">
        <v>0.1</v>
      </c>
      <c r="F13" s="14">
        <v>0.08</v>
      </c>
      <c r="G13" s="14">
        <v>0.06</v>
      </c>
      <c r="H13" s="14">
        <v>0.05</v>
      </c>
      <c r="I13" s="14">
        <v>0.06</v>
      </c>
      <c r="J13" s="14">
        <v>0.08</v>
      </c>
      <c r="K13" s="14">
        <v>0.11</v>
      </c>
      <c r="L13" s="14">
        <v>0.08</v>
      </c>
      <c r="M13" s="14">
        <v>0.16</v>
      </c>
      <c r="N13" s="14">
        <v>0.09</v>
      </c>
      <c r="O13" s="14">
        <v>0.09</v>
      </c>
      <c r="P13" s="14">
        <v>0.13</v>
      </c>
      <c r="Q13" s="14">
        <v>0.12</v>
      </c>
      <c r="R13" s="14">
        <v>0.06</v>
      </c>
      <c r="S13" s="14">
        <v>0.08</v>
      </c>
      <c r="T13" s="14">
        <v>7.0000000000000007E-2</v>
      </c>
      <c r="U13" s="14">
        <v>0.08</v>
      </c>
      <c r="V13" s="14">
        <v>0.09</v>
      </c>
      <c r="W13" s="14">
        <v>0.08</v>
      </c>
      <c r="X13" s="14">
        <v>7.0000000000000007E-2</v>
      </c>
      <c r="Y13" s="14">
        <v>7.0000000000000007E-2</v>
      </c>
      <c r="Z13" s="14">
        <v>0.1</v>
      </c>
      <c r="AA13" s="14">
        <v>0.08</v>
      </c>
      <c r="AB13" s="14">
        <v>0.15</v>
      </c>
      <c r="AC13" s="14">
        <v>0.13</v>
      </c>
      <c r="AD13" s="14">
        <v>0.09</v>
      </c>
      <c r="AE13" s="14">
        <v>0.11</v>
      </c>
      <c r="AF13" s="14">
        <v>0.05</v>
      </c>
    </row>
    <row r="14" spans="1:32" ht="41.5" x14ac:dyDescent="0.35">
      <c r="A14" s="31"/>
      <c r="B14" s="11" t="s">
        <v>743</v>
      </c>
      <c r="C14" s="12">
        <v>7107</v>
      </c>
      <c r="D14" s="12">
        <v>302</v>
      </c>
      <c r="E14" s="12">
        <v>362</v>
      </c>
      <c r="F14" s="12">
        <v>364</v>
      </c>
      <c r="G14" s="12">
        <v>272</v>
      </c>
      <c r="H14" s="12">
        <v>407</v>
      </c>
      <c r="I14" s="12">
        <v>489</v>
      </c>
      <c r="J14" s="12">
        <v>82</v>
      </c>
      <c r="K14" s="12">
        <v>220</v>
      </c>
      <c r="L14" s="12">
        <v>193</v>
      </c>
      <c r="M14" s="12">
        <v>238</v>
      </c>
      <c r="N14" s="12">
        <v>234</v>
      </c>
      <c r="O14" s="12">
        <v>200</v>
      </c>
      <c r="P14" s="12">
        <v>192</v>
      </c>
      <c r="Q14" s="12">
        <v>312</v>
      </c>
      <c r="R14" s="12">
        <v>149</v>
      </c>
      <c r="S14" s="12">
        <v>328</v>
      </c>
      <c r="T14" s="12">
        <v>411</v>
      </c>
      <c r="U14" s="12">
        <v>118</v>
      </c>
      <c r="V14" s="12">
        <v>273</v>
      </c>
      <c r="W14" s="12">
        <v>147</v>
      </c>
      <c r="X14" s="12">
        <v>316</v>
      </c>
      <c r="Y14" s="12">
        <v>275</v>
      </c>
      <c r="Z14" s="12">
        <v>219</v>
      </c>
      <c r="AA14" s="12">
        <v>397</v>
      </c>
      <c r="AB14" s="12">
        <v>228</v>
      </c>
      <c r="AC14" s="12">
        <v>207</v>
      </c>
      <c r="AD14" s="12">
        <v>246</v>
      </c>
      <c r="AE14" s="12">
        <v>302</v>
      </c>
      <c r="AF14" s="12">
        <v>271</v>
      </c>
    </row>
    <row r="15" spans="1:32" ht="31.5" x14ac:dyDescent="0.35">
      <c r="A15" s="31"/>
      <c r="B15" s="13" t="s">
        <v>744</v>
      </c>
      <c r="C15" s="14">
        <v>0.27</v>
      </c>
      <c r="D15" s="14">
        <v>0.28999999999999998</v>
      </c>
      <c r="E15" s="14">
        <v>0.35</v>
      </c>
      <c r="F15" s="14">
        <v>0.36</v>
      </c>
      <c r="G15" s="14">
        <v>0.27</v>
      </c>
      <c r="H15" s="14">
        <v>0.33</v>
      </c>
      <c r="I15" s="14">
        <v>0.32</v>
      </c>
      <c r="J15" s="14">
        <v>0.28000000000000003</v>
      </c>
      <c r="K15" s="14">
        <v>0.22</v>
      </c>
      <c r="L15" s="14">
        <v>0.19</v>
      </c>
      <c r="M15" s="14">
        <v>0.24</v>
      </c>
      <c r="N15" s="14">
        <v>0.23</v>
      </c>
      <c r="O15" s="14">
        <v>0.2</v>
      </c>
      <c r="P15" s="14">
        <v>0.19</v>
      </c>
      <c r="Q15" s="14">
        <v>0.3</v>
      </c>
      <c r="R15" s="14">
        <v>0.3</v>
      </c>
      <c r="S15" s="14">
        <v>0.32</v>
      </c>
      <c r="T15" s="14">
        <v>0.4</v>
      </c>
      <c r="U15" s="14">
        <v>0.23</v>
      </c>
      <c r="V15" s="14">
        <v>0.27</v>
      </c>
      <c r="W15" s="14">
        <v>0.28999999999999998</v>
      </c>
      <c r="X15" s="14">
        <v>0.31</v>
      </c>
      <c r="Y15" s="14">
        <v>0.27</v>
      </c>
      <c r="Z15" s="14">
        <v>0.21</v>
      </c>
      <c r="AA15" s="14">
        <v>0.38</v>
      </c>
      <c r="AB15" s="14">
        <v>0.22</v>
      </c>
      <c r="AC15" s="14">
        <v>0.2</v>
      </c>
      <c r="AD15" s="14">
        <v>0.25</v>
      </c>
      <c r="AE15" s="14">
        <v>0.3</v>
      </c>
      <c r="AF15" s="14">
        <v>0.27</v>
      </c>
    </row>
    <row r="16" spans="1:32" ht="31.5" x14ac:dyDescent="0.35">
      <c r="A16" s="31"/>
      <c r="B16" s="11" t="s">
        <v>745</v>
      </c>
      <c r="C16" s="12">
        <v>2882</v>
      </c>
      <c r="D16" s="12">
        <v>113</v>
      </c>
      <c r="E16" s="12">
        <v>93</v>
      </c>
      <c r="F16" s="12">
        <v>80</v>
      </c>
      <c r="G16" s="12">
        <v>97</v>
      </c>
      <c r="H16" s="12">
        <v>124</v>
      </c>
      <c r="I16" s="12">
        <v>151</v>
      </c>
      <c r="J16" s="12">
        <v>27</v>
      </c>
      <c r="K16" s="12">
        <v>120</v>
      </c>
      <c r="L16" s="12">
        <v>139</v>
      </c>
      <c r="M16" s="12">
        <v>106</v>
      </c>
      <c r="N16" s="12">
        <v>170</v>
      </c>
      <c r="O16" s="12">
        <v>112</v>
      </c>
      <c r="P16" s="12">
        <v>97</v>
      </c>
      <c r="Q16" s="12">
        <v>92</v>
      </c>
      <c r="R16" s="12">
        <v>66</v>
      </c>
      <c r="S16" s="12">
        <v>172</v>
      </c>
      <c r="T16" s="12">
        <v>133</v>
      </c>
      <c r="U16" s="12">
        <v>75</v>
      </c>
      <c r="V16" s="12">
        <v>96</v>
      </c>
      <c r="W16" s="12">
        <v>71</v>
      </c>
      <c r="X16" s="12">
        <v>105</v>
      </c>
      <c r="Y16" s="12">
        <v>79</v>
      </c>
      <c r="Z16" s="12">
        <v>99</v>
      </c>
      <c r="AA16" s="12">
        <v>118</v>
      </c>
      <c r="AB16" s="12">
        <v>124</v>
      </c>
      <c r="AC16" s="12">
        <v>112</v>
      </c>
      <c r="AD16" s="12">
        <v>90</v>
      </c>
      <c r="AE16" s="12">
        <v>132</v>
      </c>
      <c r="AF16" s="12">
        <v>88</v>
      </c>
    </row>
    <row r="17" spans="1:32" ht="21.5" x14ac:dyDescent="0.35">
      <c r="A17" s="31"/>
      <c r="B17" s="13" t="s">
        <v>746</v>
      </c>
      <c r="C17" s="14">
        <v>0.11</v>
      </c>
      <c r="D17" s="14">
        <v>0.11</v>
      </c>
      <c r="E17" s="14">
        <v>0.09</v>
      </c>
      <c r="F17" s="14">
        <v>0.08</v>
      </c>
      <c r="G17" s="14">
        <v>0.09</v>
      </c>
      <c r="H17" s="14">
        <v>0.1</v>
      </c>
      <c r="I17" s="14">
        <v>0.1</v>
      </c>
      <c r="J17" s="14">
        <v>0.09</v>
      </c>
      <c r="K17" s="14">
        <v>0.12</v>
      </c>
      <c r="L17" s="14">
        <v>0.14000000000000001</v>
      </c>
      <c r="M17" s="14">
        <v>0.11</v>
      </c>
      <c r="N17" s="14">
        <v>0.17</v>
      </c>
      <c r="O17" s="14">
        <v>0.11</v>
      </c>
      <c r="P17" s="14">
        <v>0.1</v>
      </c>
      <c r="Q17" s="14">
        <v>0.09</v>
      </c>
      <c r="R17" s="14">
        <v>0.13</v>
      </c>
      <c r="S17" s="14">
        <v>0.17</v>
      </c>
      <c r="T17" s="14">
        <v>0.13</v>
      </c>
      <c r="U17" s="14">
        <v>0.15</v>
      </c>
      <c r="V17" s="14">
        <v>0.09</v>
      </c>
      <c r="W17" s="14">
        <v>0.14000000000000001</v>
      </c>
      <c r="X17" s="14">
        <v>0.1</v>
      </c>
      <c r="Y17" s="14">
        <v>0.08</v>
      </c>
      <c r="Z17" s="14">
        <v>0.1</v>
      </c>
      <c r="AA17" s="14">
        <v>0.11</v>
      </c>
      <c r="AB17" s="14">
        <v>0.12</v>
      </c>
      <c r="AC17" s="14">
        <v>0.11</v>
      </c>
      <c r="AD17" s="14">
        <v>0.09</v>
      </c>
      <c r="AE17" s="14">
        <v>0.13</v>
      </c>
      <c r="AF17" s="14">
        <v>0.09</v>
      </c>
    </row>
    <row r="18" spans="1:32" ht="31.5" x14ac:dyDescent="0.35">
      <c r="A18" s="31"/>
      <c r="B18" s="11" t="s">
        <v>747</v>
      </c>
      <c r="C18" s="12">
        <v>2245</v>
      </c>
      <c r="D18" s="12">
        <v>110</v>
      </c>
      <c r="E18" s="12">
        <v>53</v>
      </c>
      <c r="F18" s="12">
        <v>196</v>
      </c>
      <c r="G18" s="12">
        <v>40</v>
      </c>
      <c r="H18" s="12">
        <v>111</v>
      </c>
      <c r="I18" s="12">
        <v>133</v>
      </c>
      <c r="J18" s="12">
        <v>22</v>
      </c>
      <c r="K18" s="12">
        <v>74</v>
      </c>
      <c r="L18" s="12">
        <v>155</v>
      </c>
      <c r="M18" s="12">
        <v>54</v>
      </c>
      <c r="N18" s="12">
        <v>95</v>
      </c>
      <c r="O18" s="12">
        <v>103</v>
      </c>
      <c r="P18" s="12">
        <v>162</v>
      </c>
      <c r="Q18" s="12">
        <v>23</v>
      </c>
      <c r="R18" s="12">
        <v>42</v>
      </c>
      <c r="S18" s="12">
        <v>50</v>
      </c>
      <c r="T18" s="12">
        <v>57</v>
      </c>
      <c r="U18" s="12">
        <v>90</v>
      </c>
      <c r="V18" s="12">
        <v>82</v>
      </c>
      <c r="W18" s="12">
        <v>36</v>
      </c>
      <c r="X18" s="12">
        <v>107</v>
      </c>
      <c r="Y18" s="12">
        <v>101</v>
      </c>
      <c r="Z18" s="12">
        <v>103</v>
      </c>
      <c r="AA18" s="12">
        <v>154</v>
      </c>
      <c r="AB18" s="12">
        <v>88</v>
      </c>
      <c r="AC18" s="12">
        <v>63</v>
      </c>
      <c r="AD18" s="12">
        <v>108</v>
      </c>
      <c r="AE18" s="12">
        <v>35</v>
      </c>
      <c r="AF18" s="12">
        <v>21</v>
      </c>
    </row>
    <row r="19" spans="1:32" ht="31.5" x14ac:dyDescent="0.35">
      <c r="A19" s="31"/>
      <c r="B19" s="13" t="s">
        <v>748</v>
      </c>
      <c r="C19" s="14">
        <v>0.09</v>
      </c>
      <c r="D19" s="14">
        <v>0.11</v>
      </c>
      <c r="E19" s="14">
        <v>0.05</v>
      </c>
      <c r="F19" s="14">
        <v>0.19</v>
      </c>
      <c r="G19" s="14">
        <v>0.04</v>
      </c>
      <c r="H19" s="14">
        <v>0.09</v>
      </c>
      <c r="I19" s="14">
        <v>0.08</v>
      </c>
      <c r="J19" s="14">
        <v>7.0000000000000007E-2</v>
      </c>
      <c r="K19" s="14">
        <v>7.0000000000000007E-2</v>
      </c>
      <c r="L19" s="14">
        <v>0.15</v>
      </c>
      <c r="M19" s="14">
        <v>0.05</v>
      </c>
      <c r="N19" s="14">
        <v>0.1</v>
      </c>
      <c r="O19" s="14">
        <v>0.1</v>
      </c>
      <c r="P19" s="14">
        <v>0.16</v>
      </c>
      <c r="Q19" s="14">
        <v>0.02</v>
      </c>
      <c r="R19" s="14">
        <v>0.09</v>
      </c>
      <c r="S19" s="14">
        <v>0.05</v>
      </c>
      <c r="T19" s="14">
        <v>0.06</v>
      </c>
      <c r="U19" s="14">
        <v>0.18</v>
      </c>
      <c r="V19" s="14">
        <v>0.08</v>
      </c>
      <c r="W19" s="14">
        <v>7.0000000000000007E-2</v>
      </c>
      <c r="X19" s="14">
        <v>0.11</v>
      </c>
      <c r="Y19" s="14">
        <v>0.1</v>
      </c>
      <c r="Z19" s="14">
        <v>0.1</v>
      </c>
      <c r="AA19" s="14">
        <v>0.15</v>
      </c>
      <c r="AB19" s="14">
        <v>0.08</v>
      </c>
      <c r="AC19" s="14">
        <v>0.06</v>
      </c>
      <c r="AD19" s="14">
        <v>0.11</v>
      </c>
      <c r="AE19" s="14">
        <v>0.03</v>
      </c>
      <c r="AF19" s="14">
        <v>0.02</v>
      </c>
    </row>
    <row r="20" spans="1:32" ht="41.5" x14ac:dyDescent="0.35">
      <c r="A20" s="31"/>
      <c r="B20" s="11" t="s">
        <v>749</v>
      </c>
      <c r="C20" s="12">
        <v>1367</v>
      </c>
      <c r="D20" s="12">
        <v>78</v>
      </c>
      <c r="E20" s="12">
        <v>62</v>
      </c>
      <c r="F20" s="12">
        <v>38</v>
      </c>
      <c r="G20" s="12">
        <v>31</v>
      </c>
      <c r="H20" s="12">
        <v>35</v>
      </c>
      <c r="I20" s="12">
        <v>43</v>
      </c>
      <c r="J20" s="12">
        <v>8</v>
      </c>
      <c r="K20" s="12">
        <v>67</v>
      </c>
      <c r="L20" s="12">
        <v>72</v>
      </c>
      <c r="M20" s="12">
        <v>48</v>
      </c>
      <c r="N20" s="12">
        <v>43</v>
      </c>
      <c r="O20" s="12">
        <v>59</v>
      </c>
      <c r="P20" s="12">
        <v>79</v>
      </c>
      <c r="Q20" s="12">
        <v>80</v>
      </c>
      <c r="R20" s="12">
        <v>5</v>
      </c>
      <c r="S20" s="12">
        <v>46</v>
      </c>
      <c r="T20" s="12">
        <v>44</v>
      </c>
      <c r="U20" s="12">
        <v>26</v>
      </c>
      <c r="V20" s="12">
        <v>70</v>
      </c>
      <c r="W20" s="12">
        <v>20</v>
      </c>
      <c r="X20" s="12">
        <v>25</v>
      </c>
      <c r="Y20" s="12">
        <v>69</v>
      </c>
      <c r="Z20" s="12">
        <v>73</v>
      </c>
      <c r="AA20" s="12">
        <v>29</v>
      </c>
      <c r="AB20" s="12">
        <v>78</v>
      </c>
      <c r="AC20" s="12">
        <v>57</v>
      </c>
      <c r="AD20" s="12">
        <v>39</v>
      </c>
      <c r="AE20" s="12">
        <v>39</v>
      </c>
      <c r="AF20" s="12">
        <v>21</v>
      </c>
    </row>
    <row r="21" spans="1:32" ht="31.5" x14ac:dyDescent="0.35">
      <c r="A21" s="31"/>
      <c r="B21" s="13" t="s">
        <v>750</v>
      </c>
      <c r="C21" s="14">
        <v>0.05</v>
      </c>
      <c r="D21" s="14">
        <v>0.08</v>
      </c>
      <c r="E21" s="14">
        <v>0.06</v>
      </c>
      <c r="F21" s="14">
        <v>0.04</v>
      </c>
      <c r="G21" s="14">
        <v>0.03</v>
      </c>
      <c r="H21" s="14">
        <v>0.03</v>
      </c>
      <c r="I21" s="14">
        <v>0.03</v>
      </c>
      <c r="J21" s="14">
        <v>0.03</v>
      </c>
      <c r="K21" s="14">
        <v>7.0000000000000007E-2</v>
      </c>
      <c r="L21" s="14">
        <v>7.0000000000000007E-2</v>
      </c>
      <c r="M21" s="14">
        <v>0.05</v>
      </c>
      <c r="N21" s="14">
        <v>0.04</v>
      </c>
      <c r="O21" s="14">
        <v>0.06</v>
      </c>
      <c r="P21" s="14">
        <v>0.08</v>
      </c>
      <c r="Q21" s="14">
        <v>0.08</v>
      </c>
      <c r="R21" s="14">
        <v>0.01</v>
      </c>
      <c r="S21" s="14">
        <v>0.04</v>
      </c>
      <c r="T21" s="14">
        <v>0.04</v>
      </c>
      <c r="U21" s="14">
        <v>0.05</v>
      </c>
      <c r="V21" s="14">
        <v>7.0000000000000007E-2</v>
      </c>
      <c r="W21" s="14">
        <v>0.04</v>
      </c>
      <c r="X21" s="14">
        <v>0.03</v>
      </c>
      <c r="Y21" s="14">
        <v>7.0000000000000007E-2</v>
      </c>
      <c r="Z21" s="14">
        <v>7.0000000000000007E-2</v>
      </c>
      <c r="AA21" s="14">
        <v>0.03</v>
      </c>
      <c r="AB21" s="14">
        <v>7.0000000000000007E-2</v>
      </c>
      <c r="AC21" s="14">
        <v>0.06</v>
      </c>
      <c r="AD21" s="14">
        <v>0.04</v>
      </c>
      <c r="AE21" s="14">
        <v>0.04</v>
      </c>
      <c r="AF21" s="14">
        <v>0.02</v>
      </c>
    </row>
    <row r="22" spans="1:32" ht="31.5" x14ac:dyDescent="0.35">
      <c r="A22" s="31"/>
      <c r="B22" s="11" t="s">
        <v>751</v>
      </c>
      <c r="C22" s="12">
        <v>781</v>
      </c>
      <c r="D22" s="12">
        <v>25</v>
      </c>
      <c r="E22" s="12">
        <v>44</v>
      </c>
      <c r="F22" s="12">
        <v>26</v>
      </c>
      <c r="G22" s="12">
        <v>10</v>
      </c>
      <c r="H22" s="12">
        <v>21</v>
      </c>
      <c r="I22" s="12">
        <v>27</v>
      </c>
      <c r="J22" s="12">
        <v>6</v>
      </c>
      <c r="K22" s="12">
        <v>31</v>
      </c>
      <c r="L22" s="12">
        <v>37</v>
      </c>
      <c r="M22" s="12">
        <v>24</v>
      </c>
      <c r="N22" s="12">
        <v>46</v>
      </c>
      <c r="O22" s="12">
        <v>18</v>
      </c>
      <c r="P22" s="12">
        <v>47</v>
      </c>
      <c r="Q22" s="12">
        <v>44</v>
      </c>
      <c r="R22" s="12">
        <v>41</v>
      </c>
      <c r="S22" s="12">
        <v>20</v>
      </c>
      <c r="T22" s="12">
        <v>36</v>
      </c>
      <c r="U22" s="12">
        <v>6</v>
      </c>
      <c r="V22" s="12">
        <v>37</v>
      </c>
      <c r="W22" s="12">
        <v>18</v>
      </c>
      <c r="X22" s="12">
        <v>10</v>
      </c>
      <c r="Y22" s="12">
        <v>34</v>
      </c>
      <c r="Z22" s="12">
        <v>45</v>
      </c>
      <c r="AA22" s="12">
        <v>17</v>
      </c>
      <c r="AB22" s="12">
        <v>53</v>
      </c>
      <c r="AC22" s="12">
        <v>47</v>
      </c>
      <c r="AD22" s="12">
        <v>31</v>
      </c>
      <c r="AE22" s="12">
        <v>3</v>
      </c>
      <c r="AF22" s="12">
        <v>8</v>
      </c>
    </row>
    <row r="23" spans="1:32" ht="31.5" x14ac:dyDescent="0.35">
      <c r="A23" s="31"/>
      <c r="B23" s="13" t="s">
        <v>752</v>
      </c>
      <c r="C23" s="14">
        <v>0.03</v>
      </c>
      <c r="D23" s="14">
        <v>0.02</v>
      </c>
      <c r="E23" s="14">
        <v>0.04</v>
      </c>
      <c r="F23" s="14">
        <v>0.03</v>
      </c>
      <c r="G23" s="14">
        <v>0.01</v>
      </c>
      <c r="H23" s="14">
        <v>0.02</v>
      </c>
      <c r="I23" s="14">
        <v>0.02</v>
      </c>
      <c r="J23" s="14">
        <v>0.02</v>
      </c>
      <c r="K23" s="14">
        <v>0.03</v>
      </c>
      <c r="L23" s="14">
        <v>0.04</v>
      </c>
      <c r="M23" s="14">
        <v>0.02</v>
      </c>
      <c r="N23" s="14">
        <v>0.05</v>
      </c>
      <c r="O23" s="14">
        <v>0.02</v>
      </c>
      <c r="P23" s="14">
        <v>0.05</v>
      </c>
      <c r="Q23" s="14">
        <v>0.04</v>
      </c>
      <c r="R23" s="14">
        <v>0.08</v>
      </c>
      <c r="S23" s="14">
        <v>0.02</v>
      </c>
      <c r="T23" s="14">
        <v>0.04</v>
      </c>
      <c r="U23" s="14">
        <v>0.01</v>
      </c>
      <c r="V23" s="14">
        <v>0.04</v>
      </c>
      <c r="W23" s="14">
        <v>0.04</v>
      </c>
      <c r="X23" s="14">
        <v>0.01</v>
      </c>
      <c r="Y23" s="14">
        <v>0.03</v>
      </c>
      <c r="Z23" s="14">
        <v>0.04</v>
      </c>
      <c r="AA23" s="14">
        <v>0.02</v>
      </c>
      <c r="AB23" s="14">
        <v>0.05</v>
      </c>
      <c r="AC23" s="14">
        <v>0.05</v>
      </c>
      <c r="AD23" s="14">
        <v>0.03</v>
      </c>
      <c r="AE23" s="15" t="s">
        <v>333</v>
      </c>
      <c r="AF23" s="14">
        <v>0.01</v>
      </c>
    </row>
    <row r="24" spans="1:32" ht="51.5" x14ac:dyDescent="0.35">
      <c r="A24" s="31"/>
      <c r="B24" s="11" t="s">
        <v>753</v>
      </c>
      <c r="C24" s="12">
        <v>2424</v>
      </c>
      <c r="D24" s="12">
        <v>99</v>
      </c>
      <c r="E24" s="12">
        <v>75</v>
      </c>
      <c r="F24" s="12">
        <v>77</v>
      </c>
      <c r="G24" s="12">
        <v>109</v>
      </c>
      <c r="H24" s="12">
        <v>100</v>
      </c>
      <c r="I24" s="12">
        <v>121</v>
      </c>
      <c r="J24" s="12">
        <v>22</v>
      </c>
      <c r="K24" s="12">
        <v>84</v>
      </c>
      <c r="L24" s="12">
        <v>55</v>
      </c>
      <c r="M24" s="12">
        <v>97</v>
      </c>
      <c r="N24" s="12">
        <v>65</v>
      </c>
      <c r="O24" s="12">
        <v>114</v>
      </c>
      <c r="P24" s="12">
        <v>74</v>
      </c>
      <c r="Q24" s="12">
        <v>123</v>
      </c>
      <c r="R24" s="12">
        <v>35</v>
      </c>
      <c r="S24" s="12">
        <v>67</v>
      </c>
      <c r="T24" s="12">
        <v>57</v>
      </c>
      <c r="U24" s="12">
        <v>38</v>
      </c>
      <c r="V24" s="12">
        <v>123</v>
      </c>
      <c r="W24" s="12">
        <v>67</v>
      </c>
      <c r="X24" s="12">
        <v>107</v>
      </c>
      <c r="Y24" s="12">
        <v>86</v>
      </c>
      <c r="Z24" s="12">
        <v>99</v>
      </c>
      <c r="AA24" s="12">
        <v>31</v>
      </c>
      <c r="AB24" s="12">
        <v>66</v>
      </c>
      <c r="AC24" s="12">
        <v>76</v>
      </c>
      <c r="AD24" s="12">
        <v>149</v>
      </c>
      <c r="AE24" s="12">
        <v>80</v>
      </c>
      <c r="AF24" s="12">
        <v>110</v>
      </c>
    </row>
    <row r="25" spans="1:32" ht="41.5" x14ac:dyDescent="0.35">
      <c r="A25" s="31"/>
      <c r="B25" s="13" t="s">
        <v>754</v>
      </c>
      <c r="C25" s="14">
        <v>0.09</v>
      </c>
      <c r="D25" s="14">
        <v>0.1</v>
      </c>
      <c r="E25" s="14">
        <v>7.0000000000000007E-2</v>
      </c>
      <c r="F25" s="14">
        <v>0.08</v>
      </c>
      <c r="G25" s="14">
        <v>0.11</v>
      </c>
      <c r="H25" s="14">
        <v>0.08</v>
      </c>
      <c r="I25" s="14">
        <v>0.08</v>
      </c>
      <c r="J25" s="14">
        <v>7.0000000000000007E-2</v>
      </c>
      <c r="K25" s="14">
        <v>0.08</v>
      </c>
      <c r="L25" s="14">
        <v>0.06</v>
      </c>
      <c r="M25" s="14">
        <v>0.1</v>
      </c>
      <c r="N25" s="14">
        <v>7.0000000000000007E-2</v>
      </c>
      <c r="O25" s="14">
        <v>0.11</v>
      </c>
      <c r="P25" s="14">
        <v>7.0000000000000007E-2</v>
      </c>
      <c r="Q25" s="14">
        <v>0.12</v>
      </c>
      <c r="R25" s="14">
        <v>7.0000000000000007E-2</v>
      </c>
      <c r="S25" s="14">
        <v>7.0000000000000007E-2</v>
      </c>
      <c r="T25" s="14">
        <v>0.06</v>
      </c>
      <c r="U25" s="14">
        <v>7.0000000000000007E-2</v>
      </c>
      <c r="V25" s="14">
        <v>0.12</v>
      </c>
      <c r="W25" s="14">
        <v>0.13</v>
      </c>
      <c r="X25" s="14">
        <v>0.11</v>
      </c>
      <c r="Y25" s="14">
        <v>0.09</v>
      </c>
      <c r="Z25" s="14">
        <v>0.1</v>
      </c>
      <c r="AA25" s="14">
        <v>0.03</v>
      </c>
      <c r="AB25" s="14">
        <v>0.06</v>
      </c>
      <c r="AC25" s="14">
        <v>0.08</v>
      </c>
      <c r="AD25" s="14">
        <v>0.15</v>
      </c>
      <c r="AE25" s="14">
        <v>0.08</v>
      </c>
      <c r="AF25" s="14">
        <v>0.11</v>
      </c>
    </row>
    <row r="26" spans="1:32" ht="31.5" x14ac:dyDescent="0.35">
      <c r="A26" s="31"/>
      <c r="B26" s="11" t="s">
        <v>755</v>
      </c>
      <c r="C26" s="12">
        <v>800</v>
      </c>
      <c r="D26" s="12">
        <v>37</v>
      </c>
      <c r="E26" s="12">
        <v>34</v>
      </c>
      <c r="F26" s="12">
        <v>15</v>
      </c>
      <c r="G26" s="12">
        <v>23</v>
      </c>
      <c r="H26" s="12">
        <v>20</v>
      </c>
      <c r="I26" s="12">
        <v>27</v>
      </c>
      <c r="J26" s="12">
        <v>7</v>
      </c>
      <c r="K26" s="12">
        <v>31</v>
      </c>
      <c r="L26" s="12">
        <v>29</v>
      </c>
      <c r="M26" s="12">
        <v>20</v>
      </c>
      <c r="N26" s="12">
        <v>30</v>
      </c>
      <c r="O26" s="12">
        <v>29</v>
      </c>
      <c r="P26" s="12">
        <v>70</v>
      </c>
      <c r="Q26" s="12">
        <v>30</v>
      </c>
      <c r="R26" s="12">
        <v>14</v>
      </c>
      <c r="S26" s="12">
        <v>34</v>
      </c>
      <c r="T26" s="12">
        <v>22</v>
      </c>
      <c r="U26" s="12">
        <v>25</v>
      </c>
      <c r="V26" s="12">
        <v>42</v>
      </c>
      <c r="W26" s="12">
        <v>30</v>
      </c>
      <c r="X26" s="12">
        <v>53</v>
      </c>
      <c r="Y26" s="12">
        <v>34</v>
      </c>
      <c r="Z26" s="12">
        <v>56</v>
      </c>
      <c r="AA26" s="12">
        <v>15</v>
      </c>
      <c r="AB26" s="12">
        <v>50</v>
      </c>
      <c r="AC26" s="12">
        <v>26</v>
      </c>
      <c r="AD26" s="12">
        <v>34</v>
      </c>
      <c r="AE26" s="12">
        <v>18</v>
      </c>
      <c r="AF26" s="12">
        <v>9</v>
      </c>
    </row>
    <row r="27" spans="1:32" ht="31.5" x14ac:dyDescent="0.35">
      <c r="A27" s="31"/>
      <c r="B27" s="13" t="s">
        <v>756</v>
      </c>
      <c r="C27" s="14">
        <v>0.03</v>
      </c>
      <c r="D27" s="14">
        <v>0.04</v>
      </c>
      <c r="E27" s="14">
        <v>0.03</v>
      </c>
      <c r="F27" s="14">
        <v>0.01</v>
      </c>
      <c r="G27" s="14">
        <v>0.02</v>
      </c>
      <c r="H27" s="14">
        <v>0.02</v>
      </c>
      <c r="I27" s="14">
        <v>0.02</v>
      </c>
      <c r="J27" s="14">
        <v>0.03</v>
      </c>
      <c r="K27" s="14">
        <v>0.03</v>
      </c>
      <c r="L27" s="14">
        <v>0.03</v>
      </c>
      <c r="M27" s="14">
        <v>0.02</v>
      </c>
      <c r="N27" s="14">
        <v>0.03</v>
      </c>
      <c r="O27" s="14">
        <v>0.03</v>
      </c>
      <c r="P27" s="14">
        <v>7.0000000000000007E-2</v>
      </c>
      <c r="Q27" s="14">
        <v>0.03</v>
      </c>
      <c r="R27" s="14">
        <v>0.03</v>
      </c>
      <c r="S27" s="14">
        <v>0.03</v>
      </c>
      <c r="T27" s="14">
        <v>0.02</v>
      </c>
      <c r="U27" s="14">
        <v>0.05</v>
      </c>
      <c r="V27" s="14">
        <v>0.04</v>
      </c>
      <c r="W27" s="14">
        <v>0.06</v>
      </c>
      <c r="X27" s="14">
        <v>0.05</v>
      </c>
      <c r="Y27" s="14">
        <v>0.04</v>
      </c>
      <c r="Z27" s="14">
        <v>0.06</v>
      </c>
      <c r="AA27" s="14">
        <v>0.01</v>
      </c>
      <c r="AB27" s="14">
        <v>0.05</v>
      </c>
      <c r="AC27" s="14">
        <v>0.03</v>
      </c>
      <c r="AD27" s="14">
        <v>0.03</v>
      </c>
      <c r="AE27" s="14">
        <v>0.02</v>
      </c>
      <c r="AF27" s="14">
        <v>0.01</v>
      </c>
    </row>
    <row r="28" spans="1:32" ht="41.5" x14ac:dyDescent="0.35">
      <c r="A28" s="31"/>
      <c r="B28" s="11" t="s">
        <v>757</v>
      </c>
      <c r="C28" s="12">
        <v>1051</v>
      </c>
      <c r="D28" s="12">
        <v>41</v>
      </c>
      <c r="E28" s="12">
        <v>47</v>
      </c>
      <c r="F28" s="12">
        <v>40</v>
      </c>
      <c r="G28" s="12">
        <v>17</v>
      </c>
      <c r="H28" s="12">
        <v>40</v>
      </c>
      <c r="I28" s="12">
        <v>45</v>
      </c>
      <c r="J28" s="12">
        <v>5</v>
      </c>
      <c r="K28" s="12">
        <v>57</v>
      </c>
      <c r="L28" s="12">
        <v>44</v>
      </c>
      <c r="M28" s="12">
        <v>35</v>
      </c>
      <c r="N28" s="12">
        <v>25</v>
      </c>
      <c r="O28" s="12">
        <v>68</v>
      </c>
      <c r="P28" s="12">
        <v>43</v>
      </c>
      <c r="Q28" s="12">
        <v>36</v>
      </c>
      <c r="R28" s="12">
        <v>11</v>
      </c>
      <c r="S28" s="12">
        <v>35</v>
      </c>
      <c r="T28" s="12">
        <v>49</v>
      </c>
      <c r="U28" s="12">
        <v>30</v>
      </c>
      <c r="V28" s="12">
        <v>48</v>
      </c>
      <c r="W28" s="12">
        <v>23</v>
      </c>
      <c r="X28" s="12">
        <v>40</v>
      </c>
      <c r="Y28" s="12">
        <v>28</v>
      </c>
      <c r="Z28" s="12">
        <v>49</v>
      </c>
      <c r="AA28" s="12">
        <v>34</v>
      </c>
      <c r="AB28" s="12">
        <v>62</v>
      </c>
      <c r="AC28" s="12">
        <v>41</v>
      </c>
      <c r="AD28" s="12">
        <v>42</v>
      </c>
      <c r="AE28" s="12">
        <v>16</v>
      </c>
      <c r="AF28" s="12">
        <v>7</v>
      </c>
    </row>
    <row r="29" spans="1:32" ht="31.5" x14ac:dyDescent="0.35">
      <c r="A29" s="31"/>
      <c r="B29" s="13" t="s">
        <v>758</v>
      </c>
      <c r="C29" s="14">
        <v>0.04</v>
      </c>
      <c r="D29" s="14">
        <v>0.04</v>
      </c>
      <c r="E29" s="14">
        <v>0.05</v>
      </c>
      <c r="F29" s="14">
        <v>0.04</v>
      </c>
      <c r="G29" s="14">
        <v>0.02</v>
      </c>
      <c r="H29" s="14">
        <v>0.03</v>
      </c>
      <c r="I29" s="14">
        <v>0.03</v>
      </c>
      <c r="J29" s="14">
        <v>0.02</v>
      </c>
      <c r="K29" s="14">
        <v>0.06</v>
      </c>
      <c r="L29" s="14">
        <v>0.04</v>
      </c>
      <c r="M29" s="14">
        <v>0.03</v>
      </c>
      <c r="N29" s="14">
        <v>0.02</v>
      </c>
      <c r="O29" s="14">
        <v>7.0000000000000007E-2</v>
      </c>
      <c r="P29" s="14">
        <v>0.04</v>
      </c>
      <c r="Q29" s="14">
        <v>0.03</v>
      </c>
      <c r="R29" s="14">
        <v>0.02</v>
      </c>
      <c r="S29" s="14">
        <v>0.04</v>
      </c>
      <c r="T29" s="14">
        <v>0.05</v>
      </c>
      <c r="U29" s="14">
        <v>0.06</v>
      </c>
      <c r="V29" s="14">
        <v>0.05</v>
      </c>
      <c r="W29" s="14">
        <v>0.05</v>
      </c>
      <c r="X29" s="14">
        <v>0.04</v>
      </c>
      <c r="Y29" s="14">
        <v>0.03</v>
      </c>
      <c r="Z29" s="14">
        <v>0.05</v>
      </c>
      <c r="AA29" s="14">
        <v>0.03</v>
      </c>
      <c r="AB29" s="14">
        <v>0.06</v>
      </c>
      <c r="AC29" s="14">
        <v>0.04</v>
      </c>
      <c r="AD29" s="14">
        <v>0.04</v>
      </c>
      <c r="AE29" s="14">
        <v>0.02</v>
      </c>
      <c r="AF29" s="14">
        <v>0.01</v>
      </c>
    </row>
    <row r="30" spans="1:32" ht="41.5" x14ac:dyDescent="0.35">
      <c r="A30" s="31"/>
      <c r="B30" s="11" t="s">
        <v>759</v>
      </c>
      <c r="C30" s="12">
        <v>3311</v>
      </c>
      <c r="D30" s="12">
        <v>116</v>
      </c>
      <c r="E30" s="12">
        <v>46</v>
      </c>
      <c r="F30" s="12">
        <v>66</v>
      </c>
      <c r="G30" s="12">
        <v>329</v>
      </c>
      <c r="H30" s="12">
        <v>205</v>
      </c>
      <c r="I30" s="12">
        <v>274</v>
      </c>
      <c r="J30" s="12">
        <v>69</v>
      </c>
      <c r="K30" s="12">
        <v>121</v>
      </c>
      <c r="L30" s="12">
        <v>155</v>
      </c>
      <c r="M30" s="12">
        <v>160</v>
      </c>
      <c r="N30" s="12">
        <v>98</v>
      </c>
      <c r="O30" s="12">
        <v>99</v>
      </c>
      <c r="P30" s="12">
        <v>51</v>
      </c>
      <c r="Q30" s="12">
        <v>100</v>
      </c>
      <c r="R30" s="12">
        <v>58</v>
      </c>
      <c r="S30" s="12">
        <v>60</v>
      </c>
      <c r="T30" s="12">
        <v>61</v>
      </c>
      <c r="U30" s="12">
        <v>40</v>
      </c>
      <c r="V30" s="12">
        <v>103</v>
      </c>
      <c r="W30" s="12">
        <v>45</v>
      </c>
      <c r="X30" s="12">
        <v>154</v>
      </c>
      <c r="Y30" s="12">
        <v>162</v>
      </c>
      <c r="Z30" s="12">
        <v>84</v>
      </c>
      <c r="AA30" s="12">
        <v>70</v>
      </c>
      <c r="AB30" s="12">
        <v>57</v>
      </c>
      <c r="AC30" s="12">
        <v>172</v>
      </c>
      <c r="AD30" s="12">
        <v>127</v>
      </c>
      <c r="AE30" s="12">
        <v>240</v>
      </c>
      <c r="AF30" s="12">
        <v>412</v>
      </c>
    </row>
    <row r="31" spans="1:32" ht="31.5" x14ac:dyDescent="0.35">
      <c r="A31" s="31"/>
      <c r="B31" s="13" t="s">
        <v>760</v>
      </c>
      <c r="C31" s="14">
        <v>0.13</v>
      </c>
      <c r="D31" s="14">
        <v>0.11</v>
      </c>
      <c r="E31" s="14">
        <v>0.04</v>
      </c>
      <c r="F31" s="14">
        <v>0.06</v>
      </c>
      <c r="G31" s="14">
        <v>0.32</v>
      </c>
      <c r="H31" s="14">
        <v>0.17</v>
      </c>
      <c r="I31" s="14">
        <v>0.18</v>
      </c>
      <c r="J31" s="14">
        <v>0.23</v>
      </c>
      <c r="K31" s="14">
        <v>0.12</v>
      </c>
      <c r="L31" s="14">
        <v>0.15</v>
      </c>
      <c r="M31" s="14">
        <v>0.16</v>
      </c>
      <c r="N31" s="14">
        <v>0.1</v>
      </c>
      <c r="O31" s="14">
        <v>0.1</v>
      </c>
      <c r="P31" s="14">
        <v>0.05</v>
      </c>
      <c r="Q31" s="14">
        <v>0.1</v>
      </c>
      <c r="R31" s="14">
        <v>0.12</v>
      </c>
      <c r="S31" s="14">
        <v>0.06</v>
      </c>
      <c r="T31" s="14">
        <v>0.06</v>
      </c>
      <c r="U31" s="14">
        <v>0.08</v>
      </c>
      <c r="V31" s="14">
        <v>0.1</v>
      </c>
      <c r="W31" s="14">
        <v>0.09</v>
      </c>
      <c r="X31" s="14">
        <v>0.15</v>
      </c>
      <c r="Y31" s="14">
        <v>0.16</v>
      </c>
      <c r="Z31" s="14">
        <v>0.08</v>
      </c>
      <c r="AA31" s="14">
        <v>7.0000000000000007E-2</v>
      </c>
      <c r="AB31" s="14">
        <v>0.06</v>
      </c>
      <c r="AC31" s="14">
        <v>0.17</v>
      </c>
      <c r="AD31" s="14">
        <v>0.13</v>
      </c>
      <c r="AE31" s="14">
        <v>0.24</v>
      </c>
      <c r="AF31" s="14">
        <v>0.4</v>
      </c>
    </row>
    <row r="32" spans="1:32" x14ac:dyDescent="0.35">
      <c r="A32" s="31"/>
      <c r="B32" s="11" t="s">
        <v>407</v>
      </c>
      <c r="C32" s="12">
        <v>104</v>
      </c>
      <c r="D32" s="12">
        <v>0</v>
      </c>
      <c r="E32" s="12">
        <v>7</v>
      </c>
      <c r="F32" s="12">
        <v>0</v>
      </c>
      <c r="G32" s="12">
        <v>1</v>
      </c>
      <c r="H32" s="12">
        <v>0</v>
      </c>
      <c r="I32" s="12">
        <v>0</v>
      </c>
      <c r="J32" s="12">
        <v>0</v>
      </c>
      <c r="K32" s="12">
        <v>5</v>
      </c>
      <c r="L32" s="12">
        <v>1</v>
      </c>
      <c r="M32" s="12">
        <v>1</v>
      </c>
      <c r="N32" s="12">
        <v>1</v>
      </c>
      <c r="O32" s="12">
        <v>21</v>
      </c>
      <c r="P32" s="12">
        <v>1</v>
      </c>
      <c r="Q32" s="12">
        <v>1</v>
      </c>
      <c r="R32" s="12">
        <v>2</v>
      </c>
      <c r="S32" s="12">
        <v>5</v>
      </c>
      <c r="T32" s="12">
        <v>1</v>
      </c>
      <c r="U32" s="12">
        <v>0</v>
      </c>
      <c r="V32" s="12">
        <v>0</v>
      </c>
      <c r="W32" s="12">
        <v>0</v>
      </c>
      <c r="X32" s="12">
        <v>0</v>
      </c>
      <c r="Y32" s="12">
        <v>4</v>
      </c>
      <c r="Z32" s="12">
        <v>0</v>
      </c>
      <c r="AA32" s="12">
        <v>6</v>
      </c>
      <c r="AB32" s="12">
        <v>3</v>
      </c>
      <c r="AC32" s="12">
        <v>3</v>
      </c>
      <c r="AD32" s="12">
        <v>2</v>
      </c>
      <c r="AE32" s="12">
        <v>3</v>
      </c>
      <c r="AF32" s="12">
        <v>1</v>
      </c>
    </row>
    <row r="33" spans="1:32" x14ac:dyDescent="0.35">
      <c r="A33" s="31"/>
      <c r="B33" s="13" t="s">
        <v>408</v>
      </c>
      <c r="C33" s="15" t="s">
        <v>333</v>
      </c>
      <c r="D33" s="15" t="s">
        <v>333</v>
      </c>
      <c r="E33" s="14">
        <v>0.01</v>
      </c>
      <c r="F33" s="15" t="s">
        <v>333</v>
      </c>
      <c r="G33" s="15" t="s">
        <v>333</v>
      </c>
      <c r="H33" s="15" t="s">
        <v>333</v>
      </c>
      <c r="I33" s="15" t="s">
        <v>333</v>
      </c>
      <c r="J33" s="15" t="s">
        <v>333</v>
      </c>
      <c r="K33" s="15" t="s">
        <v>333</v>
      </c>
      <c r="L33" s="15" t="s">
        <v>333</v>
      </c>
      <c r="M33" s="15" t="s">
        <v>333</v>
      </c>
      <c r="N33" s="15" t="s">
        <v>333</v>
      </c>
      <c r="O33" s="14">
        <v>0.02</v>
      </c>
      <c r="P33" s="15" t="s">
        <v>333</v>
      </c>
      <c r="Q33" s="15" t="s">
        <v>333</v>
      </c>
      <c r="R33" s="15" t="s">
        <v>333</v>
      </c>
      <c r="S33" s="14">
        <v>0.01</v>
      </c>
      <c r="T33" s="15" t="s">
        <v>333</v>
      </c>
      <c r="U33" s="15" t="s">
        <v>333</v>
      </c>
      <c r="V33" s="15" t="s">
        <v>333</v>
      </c>
      <c r="W33" s="15" t="s">
        <v>333</v>
      </c>
      <c r="X33" s="15" t="s">
        <v>333</v>
      </c>
      <c r="Y33" s="15" t="s">
        <v>333</v>
      </c>
      <c r="Z33" s="15" t="s">
        <v>333</v>
      </c>
      <c r="AA33" s="14">
        <v>0.01</v>
      </c>
      <c r="AB33" s="15" t="s">
        <v>333</v>
      </c>
      <c r="AC33" s="15" t="s">
        <v>333</v>
      </c>
      <c r="AD33" s="15" t="s">
        <v>333</v>
      </c>
      <c r="AE33" s="15" t="s">
        <v>333</v>
      </c>
      <c r="AF33" s="15" t="s">
        <v>333</v>
      </c>
    </row>
    <row r="34" spans="1:32" ht="71.5" x14ac:dyDescent="0.35">
      <c r="A34" s="31"/>
      <c r="B34" s="11" t="s">
        <v>761</v>
      </c>
      <c r="C34" s="12">
        <v>592</v>
      </c>
      <c r="D34" s="12">
        <v>9</v>
      </c>
      <c r="E34" s="12">
        <v>47</v>
      </c>
      <c r="F34" s="12">
        <v>20</v>
      </c>
      <c r="G34" s="12">
        <v>2</v>
      </c>
      <c r="H34" s="12">
        <v>26</v>
      </c>
      <c r="I34" s="12">
        <v>35</v>
      </c>
      <c r="J34" s="12">
        <v>9</v>
      </c>
      <c r="K34" s="12">
        <v>38</v>
      </c>
      <c r="L34" s="12">
        <v>8</v>
      </c>
      <c r="M34" s="12">
        <v>30</v>
      </c>
      <c r="N34" s="12">
        <v>23</v>
      </c>
      <c r="O34" s="12">
        <v>20</v>
      </c>
      <c r="P34" s="12">
        <v>18</v>
      </c>
      <c r="Q34" s="12">
        <v>32</v>
      </c>
      <c r="R34" s="12">
        <v>16</v>
      </c>
      <c r="S34" s="12">
        <v>12</v>
      </c>
      <c r="T34" s="12">
        <v>15</v>
      </c>
      <c r="U34" s="12">
        <v>3</v>
      </c>
      <c r="V34" s="12">
        <v>18</v>
      </c>
      <c r="W34" s="12">
        <v>0</v>
      </c>
      <c r="X34" s="12">
        <v>6</v>
      </c>
      <c r="Y34" s="12">
        <v>34</v>
      </c>
      <c r="Z34" s="12">
        <v>27</v>
      </c>
      <c r="AA34" s="12">
        <v>18</v>
      </c>
      <c r="AB34" s="12">
        <v>42</v>
      </c>
      <c r="AC34" s="12">
        <v>25</v>
      </c>
      <c r="AD34" s="12">
        <v>14</v>
      </c>
      <c r="AE34" s="12">
        <v>1</v>
      </c>
      <c r="AF34" s="12">
        <v>4</v>
      </c>
    </row>
    <row r="35" spans="1:32" ht="51.5" x14ac:dyDescent="0.35">
      <c r="A35" s="31"/>
      <c r="B35" s="13" t="s">
        <v>762</v>
      </c>
      <c r="C35" s="14">
        <v>0.02</v>
      </c>
      <c r="D35" s="14">
        <v>0.01</v>
      </c>
      <c r="E35" s="14">
        <v>0.05</v>
      </c>
      <c r="F35" s="14">
        <v>0.02</v>
      </c>
      <c r="G35" s="15" t="s">
        <v>333</v>
      </c>
      <c r="H35" s="14">
        <v>0.02</v>
      </c>
      <c r="I35" s="14">
        <v>0.02</v>
      </c>
      <c r="J35" s="14">
        <v>0.03</v>
      </c>
      <c r="K35" s="14">
        <v>0.04</v>
      </c>
      <c r="L35" s="14">
        <v>0.01</v>
      </c>
      <c r="M35" s="14">
        <v>0.03</v>
      </c>
      <c r="N35" s="14">
        <v>0.02</v>
      </c>
      <c r="O35" s="14">
        <v>0.02</v>
      </c>
      <c r="P35" s="14">
        <v>0.02</v>
      </c>
      <c r="Q35" s="14">
        <v>0.03</v>
      </c>
      <c r="R35" s="14">
        <v>0.03</v>
      </c>
      <c r="S35" s="14">
        <v>0.01</v>
      </c>
      <c r="T35" s="14">
        <v>0.01</v>
      </c>
      <c r="U35" s="14">
        <v>0.01</v>
      </c>
      <c r="V35" s="14">
        <v>0.02</v>
      </c>
      <c r="W35" s="15" t="s">
        <v>333</v>
      </c>
      <c r="X35" s="14">
        <v>0.01</v>
      </c>
      <c r="Y35" s="14">
        <v>0.03</v>
      </c>
      <c r="Z35" s="14">
        <v>0.03</v>
      </c>
      <c r="AA35" s="14">
        <v>0.02</v>
      </c>
      <c r="AB35" s="14">
        <v>0.04</v>
      </c>
      <c r="AC35" s="14">
        <v>0.02</v>
      </c>
      <c r="AD35" s="14">
        <v>0.01</v>
      </c>
      <c r="AE35" s="15" t="s">
        <v>333</v>
      </c>
      <c r="AF35" s="15" t="s">
        <v>333</v>
      </c>
    </row>
    <row r="36" spans="1:32" x14ac:dyDescent="0.35">
      <c r="A36" s="31"/>
      <c r="B36" s="11" t="s">
        <v>344</v>
      </c>
      <c r="C36" s="12">
        <v>1348</v>
      </c>
      <c r="D36" s="12">
        <v>11</v>
      </c>
      <c r="E36" s="12">
        <v>61</v>
      </c>
      <c r="F36" s="12">
        <v>9</v>
      </c>
      <c r="G36" s="12">
        <v>26</v>
      </c>
      <c r="H36" s="12">
        <v>78</v>
      </c>
      <c r="I36" s="12">
        <v>94</v>
      </c>
      <c r="J36" s="12">
        <v>16</v>
      </c>
      <c r="K36" s="12">
        <v>50</v>
      </c>
      <c r="L36" s="12">
        <v>35</v>
      </c>
      <c r="M36" s="12">
        <v>31</v>
      </c>
      <c r="N36" s="12">
        <v>79</v>
      </c>
      <c r="O36" s="12">
        <v>69</v>
      </c>
      <c r="P36" s="12">
        <v>44</v>
      </c>
      <c r="Q36" s="12">
        <v>40</v>
      </c>
      <c r="R36" s="12">
        <v>31</v>
      </c>
      <c r="S36" s="12">
        <v>106</v>
      </c>
      <c r="T36" s="12">
        <v>58</v>
      </c>
      <c r="U36" s="12">
        <v>18</v>
      </c>
      <c r="V36" s="12">
        <v>28</v>
      </c>
      <c r="W36" s="12">
        <v>3</v>
      </c>
      <c r="X36" s="12">
        <v>12</v>
      </c>
      <c r="Y36" s="12">
        <v>32</v>
      </c>
      <c r="Z36" s="12">
        <v>63</v>
      </c>
      <c r="AA36" s="12">
        <v>58</v>
      </c>
      <c r="AB36" s="12">
        <v>45</v>
      </c>
      <c r="AC36" s="12">
        <v>55</v>
      </c>
      <c r="AD36" s="12">
        <v>31</v>
      </c>
      <c r="AE36" s="12">
        <v>32</v>
      </c>
      <c r="AF36" s="12">
        <v>13</v>
      </c>
    </row>
    <row r="37" spans="1:32" x14ac:dyDescent="0.35">
      <c r="A37" s="31"/>
      <c r="B37" s="13" t="s">
        <v>357</v>
      </c>
      <c r="C37" s="14">
        <v>0.05</v>
      </c>
      <c r="D37" s="14">
        <v>0.01</v>
      </c>
      <c r="E37" s="14">
        <v>0.06</v>
      </c>
      <c r="F37" s="14">
        <v>0.01</v>
      </c>
      <c r="G37" s="14">
        <v>0.03</v>
      </c>
      <c r="H37" s="14">
        <v>0.06</v>
      </c>
      <c r="I37" s="14">
        <v>0.06</v>
      </c>
      <c r="J37" s="14">
        <v>0.05</v>
      </c>
      <c r="K37" s="14">
        <v>0.05</v>
      </c>
      <c r="L37" s="14">
        <v>0.04</v>
      </c>
      <c r="M37" s="14">
        <v>0.03</v>
      </c>
      <c r="N37" s="14">
        <v>0.08</v>
      </c>
      <c r="O37" s="14">
        <v>7.0000000000000007E-2</v>
      </c>
      <c r="P37" s="14">
        <v>0.04</v>
      </c>
      <c r="Q37" s="14">
        <v>0.04</v>
      </c>
      <c r="R37" s="14">
        <v>0.06</v>
      </c>
      <c r="S37" s="14">
        <v>0.1</v>
      </c>
      <c r="T37" s="14">
        <v>0.06</v>
      </c>
      <c r="U37" s="14">
        <v>0.03</v>
      </c>
      <c r="V37" s="14">
        <v>0.03</v>
      </c>
      <c r="W37" s="14">
        <v>0.01</v>
      </c>
      <c r="X37" s="14">
        <v>0.01</v>
      </c>
      <c r="Y37" s="14">
        <v>0.03</v>
      </c>
      <c r="Z37" s="14">
        <v>0.06</v>
      </c>
      <c r="AA37" s="14">
        <v>0.06</v>
      </c>
      <c r="AB37" s="14">
        <v>0.04</v>
      </c>
      <c r="AC37" s="14">
        <v>0.05</v>
      </c>
      <c r="AD37" s="14">
        <v>0.03</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101</v>
      </c>
      <c r="C3" s="30"/>
      <c r="D3" s="30"/>
      <c r="E3" s="30"/>
      <c r="F3" s="30"/>
      <c r="H3" s="30" t="s">
        <v>102</v>
      </c>
      <c r="I3" s="30"/>
      <c r="J3" s="30"/>
      <c r="K3" s="30"/>
      <c r="L3" s="30"/>
    </row>
    <row r="4" spans="1:32" ht="27" customHeight="1" x14ac:dyDescent="0.35">
      <c r="B4" s="30"/>
      <c r="C4" s="30"/>
      <c r="D4" s="30"/>
      <c r="E4" s="30"/>
      <c r="F4" s="30"/>
      <c r="H4" s="30"/>
      <c r="I4" s="30"/>
      <c r="J4" s="30"/>
      <c r="K4" s="30"/>
      <c r="L4" s="30"/>
    </row>
    <row r="5" spans="1:32" ht="12" customHeight="1" x14ac:dyDescent="0.35">
      <c r="B5" s="30" t="s">
        <v>763</v>
      </c>
      <c r="C5" s="30"/>
      <c r="D5" s="30"/>
      <c r="E5" s="30"/>
      <c r="F5" s="30"/>
      <c r="H5" s="30" t="s">
        <v>764</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24470</v>
      </c>
      <c r="D10" s="10">
        <v>1005</v>
      </c>
      <c r="E10" s="10">
        <v>931</v>
      </c>
      <c r="F10" s="10">
        <v>990</v>
      </c>
      <c r="G10" s="10">
        <v>989</v>
      </c>
      <c r="H10" s="10">
        <v>1128</v>
      </c>
      <c r="I10" s="10">
        <v>1401</v>
      </c>
      <c r="J10" s="10">
        <v>273</v>
      </c>
      <c r="K10" s="10">
        <v>921</v>
      </c>
      <c r="L10" s="10">
        <v>961</v>
      </c>
      <c r="M10" s="10">
        <v>943</v>
      </c>
      <c r="N10" s="10">
        <v>898</v>
      </c>
      <c r="O10" s="10">
        <v>911</v>
      </c>
      <c r="P10" s="10">
        <v>943</v>
      </c>
      <c r="Q10" s="10">
        <v>964</v>
      </c>
      <c r="R10" s="10">
        <v>454</v>
      </c>
      <c r="S10" s="10">
        <v>903</v>
      </c>
      <c r="T10" s="10">
        <v>944</v>
      </c>
      <c r="U10" s="10">
        <v>489</v>
      </c>
      <c r="V10" s="10">
        <v>967</v>
      </c>
      <c r="W10" s="10">
        <v>498</v>
      </c>
      <c r="X10" s="10">
        <v>992</v>
      </c>
      <c r="Y10" s="10">
        <v>937</v>
      </c>
      <c r="Z10" s="10">
        <v>930</v>
      </c>
      <c r="AA10" s="10">
        <v>954</v>
      </c>
      <c r="AB10" s="10">
        <v>969</v>
      </c>
      <c r="AC10" s="10">
        <v>933</v>
      </c>
      <c r="AD10" s="10">
        <v>959</v>
      </c>
      <c r="AE10" s="10">
        <v>974</v>
      </c>
      <c r="AF10" s="10">
        <v>1004</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741</v>
      </c>
      <c r="C12" s="12">
        <v>6756</v>
      </c>
      <c r="D12" s="12">
        <v>237</v>
      </c>
      <c r="E12" s="12">
        <v>293</v>
      </c>
      <c r="F12" s="12">
        <v>327</v>
      </c>
      <c r="G12" s="12">
        <v>221</v>
      </c>
      <c r="H12" s="12">
        <v>253</v>
      </c>
      <c r="I12" s="12">
        <v>323</v>
      </c>
      <c r="J12" s="12">
        <v>71</v>
      </c>
      <c r="K12" s="12">
        <v>300</v>
      </c>
      <c r="L12" s="12">
        <v>235</v>
      </c>
      <c r="M12" s="12">
        <v>417</v>
      </c>
      <c r="N12" s="12">
        <v>237</v>
      </c>
      <c r="O12" s="12">
        <v>235</v>
      </c>
      <c r="P12" s="12">
        <v>327</v>
      </c>
      <c r="Q12" s="12">
        <v>344</v>
      </c>
      <c r="R12" s="12">
        <v>141</v>
      </c>
      <c r="S12" s="12">
        <v>217</v>
      </c>
      <c r="T12" s="12">
        <v>271</v>
      </c>
      <c r="U12" s="12">
        <v>114</v>
      </c>
      <c r="V12" s="12">
        <v>278</v>
      </c>
      <c r="W12" s="12">
        <v>193</v>
      </c>
      <c r="X12" s="12">
        <v>241</v>
      </c>
      <c r="Y12" s="12">
        <v>338</v>
      </c>
      <c r="Z12" s="12">
        <v>183</v>
      </c>
      <c r="AA12" s="12">
        <v>314</v>
      </c>
      <c r="AB12" s="12">
        <v>271</v>
      </c>
      <c r="AC12" s="12">
        <v>279</v>
      </c>
      <c r="AD12" s="12">
        <v>314</v>
      </c>
      <c r="AE12" s="12">
        <v>265</v>
      </c>
      <c r="AF12" s="12">
        <v>292</v>
      </c>
    </row>
    <row r="13" spans="1:32" ht="41.5" x14ac:dyDescent="0.35">
      <c r="A13" s="31"/>
      <c r="B13" s="13" t="s">
        <v>742</v>
      </c>
      <c r="C13" s="14">
        <v>0.31</v>
      </c>
      <c r="D13" s="14">
        <v>0.26</v>
      </c>
      <c r="E13" s="14">
        <v>0.36</v>
      </c>
      <c r="F13" s="14">
        <v>0.36</v>
      </c>
      <c r="G13" s="14">
        <v>0.24</v>
      </c>
      <c r="H13" s="14">
        <v>0.24</v>
      </c>
      <c r="I13" s="14">
        <v>0.25</v>
      </c>
      <c r="J13" s="14">
        <v>0.28000000000000003</v>
      </c>
      <c r="K13" s="14">
        <v>0.37</v>
      </c>
      <c r="L13" s="14">
        <v>0.27</v>
      </c>
      <c r="M13" s="14">
        <v>0.53</v>
      </c>
      <c r="N13" s="14">
        <v>0.28999999999999998</v>
      </c>
      <c r="O13" s="14">
        <v>0.28999999999999998</v>
      </c>
      <c r="P13" s="14">
        <v>0.4</v>
      </c>
      <c r="Q13" s="14">
        <v>0.41</v>
      </c>
      <c r="R13" s="14">
        <v>0.33</v>
      </c>
      <c r="S13" s="14">
        <v>0.26</v>
      </c>
      <c r="T13" s="14">
        <v>0.31</v>
      </c>
      <c r="U13" s="14">
        <v>0.25</v>
      </c>
      <c r="V13" s="14">
        <v>0.32</v>
      </c>
      <c r="W13" s="14">
        <v>0.42</v>
      </c>
      <c r="X13" s="14">
        <v>0.26</v>
      </c>
      <c r="Y13" s="14">
        <v>0.39</v>
      </c>
      <c r="Z13" s="14">
        <v>0.22</v>
      </c>
      <c r="AA13" s="14">
        <v>0.36</v>
      </c>
      <c r="AB13" s="14">
        <v>0.34</v>
      </c>
      <c r="AC13" s="14">
        <v>0.35</v>
      </c>
      <c r="AD13" s="14">
        <v>0.36</v>
      </c>
      <c r="AE13" s="14">
        <v>0.31</v>
      </c>
      <c r="AF13" s="14">
        <v>0.31</v>
      </c>
    </row>
    <row r="14" spans="1:32" ht="41.5" x14ac:dyDescent="0.35">
      <c r="A14" s="31"/>
      <c r="B14" s="11" t="s">
        <v>743</v>
      </c>
      <c r="C14" s="12">
        <v>8225</v>
      </c>
      <c r="D14" s="12">
        <v>288</v>
      </c>
      <c r="E14" s="12">
        <v>292</v>
      </c>
      <c r="F14" s="12">
        <v>342</v>
      </c>
      <c r="G14" s="12">
        <v>365</v>
      </c>
      <c r="H14" s="12">
        <v>399</v>
      </c>
      <c r="I14" s="12">
        <v>492</v>
      </c>
      <c r="J14" s="12">
        <v>93</v>
      </c>
      <c r="K14" s="12">
        <v>329</v>
      </c>
      <c r="L14" s="12">
        <v>390</v>
      </c>
      <c r="M14" s="12">
        <v>403</v>
      </c>
      <c r="N14" s="12">
        <v>287</v>
      </c>
      <c r="O14" s="12">
        <v>336</v>
      </c>
      <c r="P14" s="12">
        <v>347</v>
      </c>
      <c r="Q14" s="12">
        <v>313</v>
      </c>
      <c r="R14" s="12">
        <v>187</v>
      </c>
      <c r="S14" s="12">
        <v>266</v>
      </c>
      <c r="T14" s="12">
        <v>296</v>
      </c>
      <c r="U14" s="12">
        <v>173</v>
      </c>
      <c r="V14" s="12">
        <v>267</v>
      </c>
      <c r="W14" s="12">
        <v>167</v>
      </c>
      <c r="X14" s="12">
        <v>362</v>
      </c>
      <c r="Y14" s="12">
        <v>338</v>
      </c>
      <c r="Z14" s="12">
        <v>228</v>
      </c>
      <c r="AA14" s="12">
        <v>336</v>
      </c>
      <c r="AB14" s="12">
        <v>288</v>
      </c>
      <c r="AC14" s="12">
        <v>271</v>
      </c>
      <c r="AD14" s="12">
        <v>392</v>
      </c>
      <c r="AE14" s="12">
        <v>322</v>
      </c>
      <c r="AF14" s="12">
        <v>378</v>
      </c>
    </row>
    <row r="15" spans="1:32" ht="31.5" x14ac:dyDescent="0.35">
      <c r="A15" s="31"/>
      <c r="B15" s="13" t="s">
        <v>744</v>
      </c>
      <c r="C15" s="14">
        <v>0.47</v>
      </c>
      <c r="D15" s="14">
        <v>0.41</v>
      </c>
      <c r="E15" s="14">
        <v>0.51</v>
      </c>
      <c r="F15" s="14">
        <v>0.55000000000000004</v>
      </c>
      <c r="G15" s="14">
        <v>0.51</v>
      </c>
      <c r="H15" s="14">
        <v>0.55000000000000004</v>
      </c>
      <c r="I15" s="14">
        <v>0.54</v>
      </c>
      <c r="J15" s="14">
        <v>0.49</v>
      </c>
      <c r="K15" s="14">
        <v>0.47</v>
      </c>
      <c r="L15" s="14">
        <v>0.51</v>
      </c>
      <c r="M15" s="14">
        <v>0.57000000000000006</v>
      </c>
      <c r="N15" s="14">
        <v>0.43</v>
      </c>
      <c r="O15" s="14">
        <v>0.47</v>
      </c>
      <c r="P15" s="14">
        <v>0.46</v>
      </c>
      <c r="Q15" s="14">
        <v>0.48</v>
      </c>
      <c r="R15" s="14">
        <v>0.61</v>
      </c>
      <c r="S15" s="14">
        <v>0.46</v>
      </c>
      <c r="T15" s="14">
        <v>0.55000000000000004</v>
      </c>
      <c r="U15" s="14">
        <v>0.47</v>
      </c>
      <c r="V15" s="14">
        <v>0.38</v>
      </c>
      <c r="W15" s="14">
        <v>0.47</v>
      </c>
      <c r="X15" s="14">
        <v>0.54</v>
      </c>
      <c r="Y15" s="14">
        <v>0.51</v>
      </c>
      <c r="Z15" s="14">
        <v>0.32</v>
      </c>
      <c r="AA15" s="14">
        <v>0.6</v>
      </c>
      <c r="AB15" s="14">
        <v>0.39</v>
      </c>
      <c r="AC15" s="14">
        <v>0.37</v>
      </c>
      <c r="AD15" s="14">
        <v>0.55000000000000004</v>
      </c>
      <c r="AE15" s="14">
        <v>0.48</v>
      </c>
      <c r="AF15" s="14">
        <v>0.52</v>
      </c>
    </row>
    <row r="16" spans="1:32" ht="31.5" x14ac:dyDescent="0.35">
      <c r="A16" s="31"/>
      <c r="B16" s="11" t="s">
        <v>745</v>
      </c>
      <c r="C16" s="12">
        <v>8645</v>
      </c>
      <c r="D16" s="12">
        <v>361</v>
      </c>
      <c r="E16" s="12">
        <v>340</v>
      </c>
      <c r="F16" s="12">
        <v>341</v>
      </c>
      <c r="G16" s="12">
        <v>430</v>
      </c>
      <c r="H16" s="12">
        <v>400</v>
      </c>
      <c r="I16" s="12">
        <v>499</v>
      </c>
      <c r="J16" s="12">
        <v>99</v>
      </c>
      <c r="K16" s="12">
        <v>356</v>
      </c>
      <c r="L16" s="12">
        <v>339</v>
      </c>
      <c r="M16" s="12">
        <v>430</v>
      </c>
      <c r="N16" s="12">
        <v>364</v>
      </c>
      <c r="O16" s="12">
        <v>292</v>
      </c>
      <c r="P16" s="12">
        <v>324</v>
      </c>
      <c r="Q16" s="12">
        <v>346</v>
      </c>
      <c r="R16" s="12">
        <v>215</v>
      </c>
      <c r="S16" s="12">
        <v>328</v>
      </c>
      <c r="T16" s="12">
        <v>390</v>
      </c>
      <c r="U16" s="12">
        <v>171</v>
      </c>
      <c r="V16" s="12">
        <v>298</v>
      </c>
      <c r="W16" s="12">
        <v>227</v>
      </c>
      <c r="X16" s="12">
        <v>390</v>
      </c>
      <c r="Y16" s="12">
        <v>386</v>
      </c>
      <c r="Z16" s="12">
        <v>198</v>
      </c>
      <c r="AA16" s="12">
        <v>380</v>
      </c>
      <c r="AB16" s="12">
        <v>294</v>
      </c>
      <c r="AC16" s="12">
        <v>290</v>
      </c>
      <c r="AD16" s="12">
        <v>317</v>
      </c>
      <c r="AE16" s="12">
        <v>384</v>
      </c>
      <c r="AF16" s="12">
        <v>510</v>
      </c>
    </row>
    <row r="17" spans="1:32" ht="21.5" x14ac:dyDescent="0.35">
      <c r="A17" s="31"/>
      <c r="B17" s="13" t="s">
        <v>746</v>
      </c>
      <c r="C17" s="14">
        <v>0.4</v>
      </c>
      <c r="D17" s="14">
        <v>0.4</v>
      </c>
      <c r="E17" s="14">
        <v>0.41</v>
      </c>
      <c r="F17" s="14">
        <v>0.37</v>
      </c>
      <c r="G17" s="14">
        <v>0.48</v>
      </c>
      <c r="H17" s="14">
        <v>0.4</v>
      </c>
      <c r="I17" s="14">
        <v>0.4</v>
      </c>
      <c r="J17" s="14">
        <v>0.4</v>
      </c>
      <c r="K17" s="14">
        <v>0.44</v>
      </c>
      <c r="L17" s="14">
        <v>0.41</v>
      </c>
      <c r="M17" s="14">
        <v>0.51</v>
      </c>
      <c r="N17" s="14">
        <v>0.5</v>
      </c>
      <c r="O17" s="14">
        <v>0.36</v>
      </c>
      <c r="P17" s="14">
        <v>0.38</v>
      </c>
      <c r="Q17" s="14">
        <v>0.4</v>
      </c>
      <c r="R17" s="14">
        <v>0.55000000000000004</v>
      </c>
      <c r="S17" s="14">
        <v>0.45</v>
      </c>
      <c r="T17" s="14">
        <v>0.48</v>
      </c>
      <c r="U17" s="14">
        <v>0.41</v>
      </c>
      <c r="V17" s="14">
        <v>0.34</v>
      </c>
      <c r="W17" s="14">
        <v>0.53</v>
      </c>
      <c r="X17" s="14">
        <v>0.44</v>
      </c>
      <c r="Y17" s="14">
        <v>0.45</v>
      </c>
      <c r="Z17" s="14">
        <v>0.24</v>
      </c>
      <c r="AA17" s="14">
        <v>0.45</v>
      </c>
      <c r="AB17" s="14">
        <v>0.35</v>
      </c>
      <c r="AC17" s="14">
        <v>0.35</v>
      </c>
      <c r="AD17" s="14">
        <v>0.37</v>
      </c>
      <c r="AE17" s="14">
        <v>0.46</v>
      </c>
      <c r="AF17" s="14">
        <v>0.56000000000000005</v>
      </c>
    </row>
    <row r="18" spans="1:32" ht="31.5" x14ac:dyDescent="0.35">
      <c r="A18" s="31"/>
      <c r="B18" s="11" t="s">
        <v>747</v>
      </c>
      <c r="C18" s="12">
        <v>6949</v>
      </c>
      <c r="D18" s="12">
        <v>318</v>
      </c>
      <c r="E18" s="12">
        <v>255</v>
      </c>
      <c r="F18" s="12">
        <v>395</v>
      </c>
      <c r="G18" s="12">
        <v>270</v>
      </c>
      <c r="H18" s="12">
        <v>357</v>
      </c>
      <c r="I18" s="12">
        <v>432</v>
      </c>
      <c r="J18" s="12">
        <v>75</v>
      </c>
      <c r="K18" s="12">
        <v>239</v>
      </c>
      <c r="L18" s="12">
        <v>295</v>
      </c>
      <c r="M18" s="12">
        <v>257</v>
      </c>
      <c r="N18" s="12">
        <v>267</v>
      </c>
      <c r="O18" s="12">
        <v>264</v>
      </c>
      <c r="P18" s="12">
        <v>297</v>
      </c>
      <c r="Q18" s="12">
        <v>204</v>
      </c>
      <c r="R18" s="12">
        <v>120</v>
      </c>
      <c r="S18" s="12">
        <v>184</v>
      </c>
      <c r="T18" s="12">
        <v>242</v>
      </c>
      <c r="U18" s="12">
        <v>134</v>
      </c>
      <c r="V18" s="12">
        <v>230</v>
      </c>
      <c r="W18" s="12">
        <v>174</v>
      </c>
      <c r="X18" s="12">
        <v>356</v>
      </c>
      <c r="Y18" s="12">
        <v>391</v>
      </c>
      <c r="Z18" s="12">
        <v>184</v>
      </c>
      <c r="AA18" s="12">
        <v>390</v>
      </c>
      <c r="AB18" s="12">
        <v>278</v>
      </c>
      <c r="AC18" s="12">
        <v>167</v>
      </c>
      <c r="AD18" s="12">
        <v>332</v>
      </c>
      <c r="AE18" s="12">
        <v>246</v>
      </c>
      <c r="AF18" s="12">
        <v>235</v>
      </c>
    </row>
    <row r="19" spans="1:32" ht="31.5" x14ac:dyDescent="0.35">
      <c r="A19" s="31"/>
      <c r="B19" s="13" t="s">
        <v>748</v>
      </c>
      <c r="C19" s="14">
        <v>0.31</v>
      </c>
      <c r="D19" s="14">
        <v>0.35</v>
      </c>
      <c r="E19" s="14">
        <v>0.28999999999999998</v>
      </c>
      <c r="F19" s="14">
        <v>0.5</v>
      </c>
      <c r="G19" s="14">
        <v>0.28000000000000003</v>
      </c>
      <c r="H19" s="14">
        <v>0.35</v>
      </c>
      <c r="I19" s="14">
        <v>0.34</v>
      </c>
      <c r="J19" s="14">
        <v>0.3</v>
      </c>
      <c r="K19" s="14">
        <v>0.28000000000000003</v>
      </c>
      <c r="L19" s="14">
        <v>0.37</v>
      </c>
      <c r="M19" s="14">
        <v>0.28999999999999998</v>
      </c>
      <c r="N19" s="14">
        <v>0.33</v>
      </c>
      <c r="O19" s="14">
        <v>0.33</v>
      </c>
      <c r="P19" s="14">
        <v>0.38</v>
      </c>
      <c r="Q19" s="14">
        <v>0.22</v>
      </c>
      <c r="R19" s="14">
        <v>0.28999999999999998</v>
      </c>
      <c r="S19" s="14">
        <v>0.22</v>
      </c>
      <c r="T19" s="14">
        <v>0.27</v>
      </c>
      <c r="U19" s="14">
        <v>0.34</v>
      </c>
      <c r="V19" s="14">
        <v>0.26</v>
      </c>
      <c r="W19" s="14">
        <v>0.38</v>
      </c>
      <c r="X19" s="14">
        <v>0.4</v>
      </c>
      <c r="Y19" s="14">
        <v>0.47</v>
      </c>
      <c r="Z19" s="14">
        <v>0.22</v>
      </c>
      <c r="AA19" s="14">
        <v>0.49</v>
      </c>
      <c r="AB19" s="14">
        <v>0.32</v>
      </c>
      <c r="AC19" s="14">
        <v>0.19</v>
      </c>
      <c r="AD19" s="14">
        <v>0.39</v>
      </c>
      <c r="AE19" s="14">
        <v>0.26</v>
      </c>
      <c r="AF19" s="14">
        <v>0.24</v>
      </c>
    </row>
    <row r="20" spans="1:32" ht="41.5" x14ac:dyDescent="0.35">
      <c r="A20" s="31"/>
      <c r="B20" s="11" t="s">
        <v>749</v>
      </c>
      <c r="C20" s="12">
        <v>5481</v>
      </c>
      <c r="D20" s="12">
        <v>191</v>
      </c>
      <c r="E20" s="12">
        <v>237</v>
      </c>
      <c r="F20" s="12">
        <v>214</v>
      </c>
      <c r="G20" s="12">
        <v>273</v>
      </c>
      <c r="H20" s="12">
        <v>226</v>
      </c>
      <c r="I20" s="12">
        <v>271</v>
      </c>
      <c r="J20" s="12">
        <v>45</v>
      </c>
      <c r="K20" s="12">
        <v>261</v>
      </c>
      <c r="L20" s="12">
        <v>241</v>
      </c>
      <c r="M20" s="12">
        <v>310</v>
      </c>
      <c r="N20" s="12">
        <v>139</v>
      </c>
      <c r="O20" s="12">
        <v>174</v>
      </c>
      <c r="P20" s="12">
        <v>283</v>
      </c>
      <c r="Q20" s="12">
        <v>313</v>
      </c>
      <c r="R20" s="12">
        <v>67</v>
      </c>
      <c r="S20" s="12">
        <v>110</v>
      </c>
      <c r="T20" s="12">
        <v>232</v>
      </c>
      <c r="U20" s="12">
        <v>78</v>
      </c>
      <c r="V20" s="12">
        <v>258</v>
      </c>
      <c r="W20" s="12">
        <v>124</v>
      </c>
      <c r="X20" s="12">
        <v>193</v>
      </c>
      <c r="Y20" s="12">
        <v>325</v>
      </c>
      <c r="Z20" s="12">
        <v>138</v>
      </c>
      <c r="AA20" s="12">
        <v>245</v>
      </c>
      <c r="AB20" s="12">
        <v>285</v>
      </c>
      <c r="AC20" s="12">
        <v>136</v>
      </c>
      <c r="AD20" s="12">
        <v>306</v>
      </c>
      <c r="AE20" s="12">
        <v>202</v>
      </c>
      <c r="AF20" s="12">
        <v>241</v>
      </c>
    </row>
    <row r="21" spans="1:32" ht="31.5" x14ac:dyDescent="0.35">
      <c r="A21" s="31"/>
      <c r="B21" s="13" t="s">
        <v>750</v>
      </c>
      <c r="C21" s="14">
        <v>0.24</v>
      </c>
      <c r="D21" s="14">
        <v>0.21</v>
      </c>
      <c r="E21" s="14">
        <v>0.27</v>
      </c>
      <c r="F21" s="14">
        <v>0.23</v>
      </c>
      <c r="G21" s="14">
        <v>0.28999999999999998</v>
      </c>
      <c r="H21" s="14">
        <v>0.21</v>
      </c>
      <c r="I21" s="14">
        <v>0.2</v>
      </c>
      <c r="J21" s="14">
        <v>0.17</v>
      </c>
      <c r="K21" s="14">
        <v>0.31</v>
      </c>
      <c r="L21" s="14">
        <v>0.27</v>
      </c>
      <c r="M21" s="14">
        <v>0.35</v>
      </c>
      <c r="N21" s="14">
        <v>0.16</v>
      </c>
      <c r="O21" s="14">
        <v>0.2</v>
      </c>
      <c r="P21" s="14">
        <v>0.33</v>
      </c>
      <c r="Q21" s="14">
        <v>0.35</v>
      </c>
      <c r="R21" s="14">
        <v>0.15</v>
      </c>
      <c r="S21" s="14">
        <v>0.13</v>
      </c>
      <c r="T21" s="14">
        <v>0.26</v>
      </c>
      <c r="U21" s="14">
        <v>0.17</v>
      </c>
      <c r="V21" s="14">
        <v>0.28999999999999998</v>
      </c>
      <c r="W21" s="14">
        <v>0.26</v>
      </c>
      <c r="X21" s="14">
        <v>0.2</v>
      </c>
      <c r="Y21" s="14">
        <v>0.37</v>
      </c>
      <c r="Z21" s="14">
        <v>0.16</v>
      </c>
      <c r="AA21" s="14">
        <v>0.26</v>
      </c>
      <c r="AB21" s="14">
        <v>0.32</v>
      </c>
      <c r="AC21" s="14">
        <v>0.16</v>
      </c>
      <c r="AD21" s="14">
        <v>0.33</v>
      </c>
      <c r="AE21" s="14">
        <v>0.22</v>
      </c>
      <c r="AF21" s="14">
        <v>0.25</v>
      </c>
    </row>
    <row r="22" spans="1:32" ht="31.5" x14ac:dyDescent="0.35">
      <c r="A22" s="31"/>
      <c r="B22" s="11" t="s">
        <v>751</v>
      </c>
      <c r="C22" s="12">
        <v>3676</v>
      </c>
      <c r="D22" s="12">
        <v>98</v>
      </c>
      <c r="E22" s="12">
        <v>177</v>
      </c>
      <c r="F22" s="12">
        <v>170</v>
      </c>
      <c r="G22" s="12">
        <v>112</v>
      </c>
      <c r="H22" s="12">
        <v>115</v>
      </c>
      <c r="I22" s="12">
        <v>137</v>
      </c>
      <c r="J22" s="12">
        <v>22</v>
      </c>
      <c r="K22" s="12">
        <v>154</v>
      </c>
      <c r="L22" s="12">
        <v>168</v>
      </c>
      <c r="M22" s="12">
        <v>259</v>
      </c>
      <c r="N22" s="12">
        <v>180</v>
      </c>
      <c r="O22" s="12">
        <v>60</v>
      </c>
      <c r="P22" s="12">
        <v>202</v>
      </c>
      <c r="Q22" s="12">
        <v>238</v>
      </c>
      <c r="R22" s="12">
        <v>107</v>
      </c>
      <c r="S22" s="12">
        <v>93</v>
      </c>
      <c r="T22" s="12">
        <v>126</v>
      </c>
      <c r="U22" s="12">
        <v>36</v>
      </c>
      <c r="V22" s="12">
        <v>183</v>
      </c>
      <c r="W22" s="12">
        <v>110</v>
      </c>
      <c r="X22" s="12">
        <v>82</v>
      </c>
      <c r="Y22" s="12">
        <v>205</v>
      </c>
      <c r="Z22" s="12">
        <v>142</v>
      </c>
      <c r="AA22" s="12">
        <v>101</v>
      </c>
      <c r="AB22" s="12">
        <v>205</v>
      </c>
      <c r="AC22" s="12">
        <v>122</v>
      </c>
      <c r="AD22" s="12">
        <v>210</v>
      </c>
      <c r="AE22" s="12">
        <v>76</v>
      </c>
      <c r="AF22" s="12">
        <v>133</v>
      </c>
    </row>
    <row r="23" spans="1:32" ht="31.5" x14ac:dyDescent="0.35">
      <c r="A23" s="31"/>
      <c r="B23" s="13" t="s">
        <v>752</v>
      </c>
      <c r="C23" s="14">
        <v>0.16</v>
      </c>
      <c r="D23" s="14">
        <v>0.1</v>
      </c>
      <c r="E23" s="14">
        <v>0.2</v>
      </c>
      <c r="F23" s="14">
        <v>0.18</v>
      </c>
      <c r="G23" s="14">
        <v>0.11</v>
      </c>
      <c r="H23" s="14">
        <v>0.1</v>
      </c>
      <c r="I23" s="14">
        <v>0.1</v>
      </c>
      <c r="J23" s="14">
        <v>0.08</v>
      </c>
      <c r="K23" s="14">
        <v>0.17</v>
      </c>
      <c r="L23" s="14">
        <v>0.18</v>
      </c>
      <c r="M23" s="14">
        <v>0.28000000000000003</v>
      </c>
      <c r="N23" s="14">
        <v>0.21</v>
      </c>
      <c r="O23" s="14">
        <v>7.0000000000000007E-2</v>
      </c>
      <c r="P23" s="14">
        <v>0.23</v>
      </c>
      <c r="Q23" s="14">
        <v>0.26</v>
      </c>
      <c r="R23" s="14">
        <v>0.26</v>
      </c>
      <c r="S23" s="14">
        <v>0.11</v>
      </c>
      <c r="T23" s="14">
        <v>0.14000000000000001</v>
      </c>
      <c r="U23" s="14">
        <v>7.0000000000000007E-2</v>
      </c>
      <c r="V23" s="14">
        <v>0.2</v>
      </c>
      <c r="W23" s="14">
        <v>0.23</v>
      </c>
      <c r="X23" s="14">
        <v>0.08</v>
      </c>
      <c r="Y23" s="14">
        <v>0.23</v>
      </c>
      <c r="Z23" s="14">
        <v>0.16</v>
      </c>
      <c r="AA23" s="14">
        <v>0.11</v>
      </c>
      <c r="AB23" s="14">
        <v>0.22</v>
      </c>
      <c r="AC23" s="14">
        <v>0.14000000000000001</v>
      </c>
      <c r="AD23" s="14">
        <v>0.23</v>
      </c>
      <c r="AE23" s="14">
        <v>0.08</v>
      </c>
      <c r="AF23" s="14">
        <v>0.13</v>
      </c>
    </row>
    <row r="24" spans="1:32" ht="51.5" x14ac:dyDescent="0.35">
      <c r="A24" s="31"/>
      <c r="B24" s="11" t="s">
        <v>753</v>
      </c>
      <c r="C24" s="12">
        <v>6977</v>
      </c>
      <c r="D24" s="12">
        <v>233</v>
      </c>
      <c r="E24" s="12">
        <v>240</v>
      </c>
      <c r="F24" s="12">
        <v>329</v>
      </c>
      <c r="G24" s="12">
        <v>368</v>
      </c>
      <c r="H24" s="12">
        <v>306</v>
      </c>
      <c r="I24" s="12">
        <v>386</v>
      </c>
      <c r="J24" s="12">
        <v>80</v>
      </c>
      <c r="K24" s="12">
        <v>255</v>
      </c>
      <c r="L24" s="12">
        <v>281</v>
      </c>
      <c r="M24" s="12">
        <v>372</v>
      </c>
      <c r="N24" s="12">
        <v>231</v>
      </c>
      <c r="O24" s="12">
        <v>229</v>
      </c>
      <c r="P24" s="12">
        <v>311</v>
      </c>
      <c r="Q24" s="12">
        <v>325</v>
      </c>
      <c r="R24" s="12">
        <v>161</v>
      </c>
      <c r="S24" s="12">
        <v>165</v>
      </c>
      <c r="T24" s="12">
        <v>233</v>
      </c>
      <c r="U24" s="12">
        <v>132</v>
      </c>
      <c r="V24" s="12">
        <v>276</v>
      </c>
      <c r="W24" s="12">
        <v>182</v>
      </c>
      <c r="X24" s="12">
        <v>358</v>
      </c>
      <c r="Y24" s="12">
        <v>328</v>
      </c>
      <c r="Z24" s="12">
        <v>168</v>
      </c>
      <c r="AA24" s="12">
        <v>220</v>
      </c>
      <c r="AB24" s="12">
        <v>250</v>
      </c>
      <c r="AC24" s="12">
        <v>216</v>
      </c>
      <c r="AD24" s="12">
        <v>372</v>
      </c>
      <c r="AE24" s="12">
        <v>338</v>
      </c>
      <c r="AF24" s="12">
        <v>444</v>
      </c>
    </row>
    <row r="25" spans="1:32" ht="41.5" x14ac:dyDescent="0.35">
      <c r="A25" s="31"/>
      <c r="B25" s="13" t="s">
        <v>754</v>
      </c>
      <c r="C25" s="14">
        <v>0.32</v>
      </c>
      <c r="D25" s="14">
        <v>0.26</v>
      </c>
      <c r="E25" s="14">
        <v>0.28000000000000003</v>
      </c>
      <c r="F25" s="14">
        <v>0.36</v>
      </c>
      <c r="G25" s="14">
        <v>0.42</v>
      </c>
      <c r="H25" s="14">
        <v>0.3</v>
      </c>
      <c r="I25" s="14">
        <v>0.3</v>
      </c>
      <c r="J25" s="14">
        <v>0.32</v>
      </c>
      <c r="K25" s="14">
        <v>0.3</v>
      </c>
      <c r="L25" s="14">
        <v>0.31</v>
      </c>
      <c r="M25" s="14">
        <v>0.44</v>
      </c>
      <c r="N25" s="14">
        <v>0.28000000000000003</v>
      </c>
      <c r="O25" s="14">
        <v>0.28999999999999998</v>
      </c>
      <c r="P25" s="14">
        <v>0.36</v>
      </c>
      <c r="Q25" s="14">
        <v>0.39</v>
      </c>
      <c r="R25" s="14">
        <v>0.38</v>
      </c>
      <c r="S25" s="14">
        <v>0.2</v>
      </c>
      <c r="T25" s="14">
        <v>0.26</v>
      </c>
      <c r="U25" s="14">
        <v>0.28999999999999998</v>
      </c>
      <c r="V25" s="14">
        <v>0.33</v>
      </c>
      <c r="W25" s="14">
        <v>0.42</v>
      </c>
      <c r="X25" s="14">
        <v>0.4</v>
      </c>
      <c r="Y25" s="14">
        <v>0.39</v>
      </c>
      <c r="Z25" s="14">
        <v>0.2</v>
      </c>
      <c r="AA25" s="14">
        <v>0.24</v>
      </c>
      <c r="AB25" s="14">
        <v>0.28000000000000003</v>
      </c>
      <c r="AC25" s="14">
        <v>0.25</v>
      </c>
      <c r="AD25" s="14">
        <v>0.46</v>
      </c>
      <c r="AE25" s="14">
        <v>0.38</v>
      </c>
      <c r="AF25" s="14">
        <v>0.5</v>
      </c>
    </row>
    <row r="26" spans="1:32" ht="31.5" x14ac:dyDescent="0.35">
      <c r="A26" s="31"/>
      <c r="B26" s="11" t="s">
        <v>755</v>
      </c>
      <c r="C26" s="12">
        <v>2989</v>
      </c>
      <c r="D26" s="12">
        <v>100</v>
      </c>
      <c r="E26" s="12">
        <v>123</v>
      </c>
      <c r="F26" s="12">
        <v>163</v>
      </c>
      <c r="G26" s="12">
        <v>99</v>
      </c>
      <c r="H26" s="12">
        <v>73</v>
      </c>
      <c r="I26" s="12">
        <v>93</v>
      </c>
      <c r="J26" s="12">
        <v>20</v>
      </c>
      <c r="K26" s="12">
        <v>84</v>
      </c>
      <c r="L26" s="12">
        <v>152</v>
      </c>
      <c r="M26" s="12">
        <v>154</v>
      </c>
      <c r="N26" s="12">
        <v>102</v>
      </c>
      <c r="O26" s="12">
        <v>67</v>
      </c>
      <c r="P26" s="12">
        <v>211</v>
      </c>
      <c r="Q26" s="12">
        <v>164</v>
      </c>
      <c r="R26" s="12">
        <v>51</v>
      </c>
      <c r="S26" s="12">
        <v>87</v>
      </c>
      <c r="T26" s="12">
        <v>97</v>
      </c>
      <c r="U26" s="12">
        <v>62</v>
      </c>
      <c r="V26" s="12">
        <v>163</v>
      </c>
      <c r="W26" s="12">
        <v>112</v>
      </c>
      <c r="X26" s="12">
        <v>158</v>
      </c>
      <c r="Y26" s="12">
        <v>218</v>
      </c>
      <c r="Z26" s="12">
        <v>145</v>
      </c>
      <c r="AA26" s="12">
        <v>112</v>
      </c>
      <c r="AB26" s="12">
        <v>170</v>
      </c>
      <c r="AC26" s="12">
        <v>62</v>
      </c>
      <c r="AD26" s="12">
        <v>140</v>
      </c>
      <c r="AE26" s="12">
        <v>101</v>
      </c>
      <c r="AF26" s="12">
        <v>120</v>
      </c>
    </row>
    <row r="27" spans="1:32" ht="31.5" x14ac:dyDescent="0.35">
      <c r="A27" s="31"/>
      <c r="B27" s="13" t="s">
        <v>756</v>
      </c>
      <c r="C27" s="14">
        <v>0.13</v>
      </c>
      <c r="D27" s="14">
        <v>0.1</v>
      </c>
      <c r="E27" s="14">
        <v>0.14000000000000001</v>
      </c>
      <c r="F27" s="14">
        <v>0.17</v>
      </c>
      <c r="G27" s="14">
        <v>0.1</v>
      </c>
      <c r="H27" s="14">
        <v>7.0000000000000007E-2</v>
      </c>
      <c r="I27" s="14">
        <v>7.0000000000000007E-2</v>
      </c>
      <c r="J27" s="14">
        <v>0.08</v>
      </c>
      <c r="K27" s="14">
        <v>0.09</v>
      </c>
      <c r="L27" s="14">
        <v>0.16</v>
      </c>
      <c r="M27" s="14">
        <v>0.17</v>
      </c>
      <c r="N27" s="14">
        <v>0.12</v>
      </c>
      <c r="O27" s="14">
        <v>0.08</v>
      </c>
      <c r="P27" s="14">
        <v>0.24</v>
      </c>
      <c r="Q27" s="14">
        <v>0.18</v>
      </c>
      <c r="R27" s="14">
        <v>0.12</v>
      </c>
      <c r="S27" s="14">
        <v>0.1</v>
      </c>
      <c r="T27" s="14">
        <v>0.11</v>
      </c>
      <c r="U27" s="14">
        <v>0.13</v>
      </c>
      <c r="V27" s="14">
        <v>0.18</v>
      </c>
      <c r="W27" s="14">
        <v>0.24</v>
      </c>
      <c r="X27" s="14">
        <v>0.17</v>
      </c>
      <c r="Y27" s="14">
        <v>0.24</v>
      </c>
      <c r="Z27" s="14">
        <v>0.17</v>
      </c>
      <c r="AA27" s="14">
        <v>0.12</v>
      </c>
      <c r="AB27" s="14">
        <v>0.19</v>
      </c>
      <c r="AC27" s="14">
        <v>7.0000000000000007E-2</v>
      </c>
      <c r="AD27" s="14">
        <v>0.15</v>
      </c>
      <c r="AE27" s="14">
        <v>0.11</v>
      </c>
      <c r="AF27" s="14">
        <v>0.12</v>
      </c>
    </row>
    <row r="28" spans="1:32" ht="41.5" x14ac:dyDescent="0.35">
      <c r="A28" s="31"/>
      <c r="B28" s="11" t="s">
        <v>757</v>
      </c>
      <c r="C28" s="12">
        <v>5430</v>
      </c>
      <c r="D28" s="12">
        <v>204</v>
      </c>
      <c r="E28" s="12">
        <v>204</v>
      </c>
      <c r="F28" s="12">
        <v>236</v>
      </c>
      <c r="G28" s="12">
        <v>161</v>
      </c>
      <c r="H28" s="12">
        <v>293</v>
      </c>
      <c r="I28" s="12">
        <v>347</v>
      </c>
      <c r="J28" s="12">
        <v>54</v>
      </c>
      <c r="K28" s="12">
        <v>273</v>
      </c>
      <c r="L28" s="12">
        <v>231</v>
      </c>
      <c r="M28" s="12">
        <v>293</v>
      </c>
      <c r="N28" s="12">
        <v>182</v>
      </c>
      <c r="O28" s="12">
        <v>180</v>
      </c>
      <c r="P28" s="12">
        <v>271</v>
      </c>
      <c r="Q28" s="12">
        <v>236</v>
      </c>
      <c r="R28" s="12">
        <v>105</v>
      </c>
      <c r="S28" s="12">
        <v>126</v>
      </c>
      <c r="T28" s="12">
        <v>225</v>
      </c>
      <c r="U28" s="12">
        <v>121</v>
      </c>
      <c r="V28" s="12">
        <v>219</v>
      </c>
      <c r="W28" s="12">
        <v>163</v>
      </c>
      <c r="X28" s="12">
        <v>246</v>
      </c>
      <c r="Y28" s="12">
        <v>262</v>
      </c>
      <c r="Z28" s="12">
        <v>133</v>
      </c>
      <c r="AA28" s="12">
        <v>295</v>
      </c>
      <c r="AB28" s="12">
        <v>200</v>
      </c>
      <c r="AC28" s="12">
        <v>145</v>
      </c>
      <c r="AD28" s="12">
        <v>254</v>
      </c>
      <c r="AE28" s="12">
        <v>165</v>
      </c>
      <c r="AF28" s="12">
        <v>161</v>
      </c>
    </row>
    <row r="29" spans="1:32" ht="31.5" x14ac:dyDescent="0.35">
      <c r="A29" s="31"/>
      <c r="B29" s="13" t="s">
        <v>758</v>
      </c>
      <c r="C29" s="14">
        <v>0.23</v>
      </c>
      <c r="D29" s="14">
        <v>0.21</v>
      </c>
      <c r="E29" s="14">
        <v>0.23</v>
      </c>
      <c r="F29" s="14">
        <v>0.25</v>
      </c>
      <c r="G29" s="14">
        <v>0.17</v>
      </c>
      <c r="H29" s="14">
        <v>0.27</v>
      </c>
      <c r="I29" s="14">
        <v>0.26</v>
      </c>
      <c r="J29" s="14">
        <v>0.2</v>
      </c>
      <c r="K29" s="14">
        <v>0.32</v>
      </c>
      <c r="L29" s="14">
        <v>0.25</v>
      </c>
      <c r="M29" s="14">
        <v>0.32</v>
      </c>
      <c r="N29" s="14">
        <v>0.21</v>
      </c>
      <c r="O29" s="14">
        <v>0.21</v>
      </c>
      <c r="P29" s="14">
        <v>0.3</v>
      </c>
      <c r="Q29" s="14">
        <v>0.25</v>
      </c>
      <c r="R29" s="14">
        <v>0.24</v>
      </c>
      <c r="S29" s="14">
        <v>0.15</v>
      </c>
      <c r="T29" s="14">
        <v>0.25</v>
      </c>
      <c r="U29" s="14">
        <v>0.26</v>
      </c>
      <c r="V29" s="14">
        <v>0.24</v>
      </c>
      <c r="W29" s="14">
        <v>0.34</v>
      </c>
      <c r="X29" s="14">
        <v>0.26</v>
      </c>
      <c r="Y29" s="14">
        <v>0.28999999999999998</v>
      </c>
      <c r="Z29" s="14">
        <v>0.15</v>
      </c>
      <c r="AA29" s="14">
        <v>0.32</v>
      </c>
      <c r="AB29" s="14">
        <v>0.22</v>
      </c>
      <c r="AC29" s="14">
        <v>0.16</v>
      </c>
      <c r="AD29" s="14">
        <v>0.28000000000000003</v>
      </c>
      <c r="AE29" s="14">
        <v>0.17</v>
      </c>
      <c r="AF29" s="14">
        <v>0.16</v>
      </c>
    </row>
    <row r="30" spans="1:32" ht="41.5" x14ac:dyDescent="0.35">
      <c r="A30" s="31"/>
      <c r="B30" s="11" t="s">
        <v>759</v>
      </c>
      <c r="C30" s="12">
        <v>7780</v>
      </c>
      <c r="D30" s="12">
        <v>303</v>
      </c>
      <c r="E30" s="12">
        <v>286</v>
      </c>
      <c r="F30" s="12">
        <v>307</v>
      </c>
      <c r="G30" s="12">
        <v>377</v>
      </c>
      <c r="H30" s="12">
        <v>397</v>
      </c>
      <c r="I30" s="12">
        <v>501</v>
      </c>
      <c r="J30" s="12">
        <v>104</v>
      </c>
      <c r="K30" s="12">
        <v>310</v>
      </c>
      <c r="L30" s="12">
        <v>330</v>
      </c>
      <c r="M30" s="12">
        <v>420</v>
      </c>
      <c r="N30" s="12">
        <v>280</v>
      </c>
      <c r="O30" s="12">
        <v>243</v>
      </c>
      <c r="P30" s="12">
        <v>313</v>
      </c>
      <c r="Q30" s="12">
        <v>323</v>
      </c>
      <c r="R30" s="12">
        <v>188</v>
      </c>
      <c r="S30" s="12">
        <v>222</v>
      </c>
      <c r="T30" s="12">
        <v>322</v>
      </c>
      <c r="U30" s="12">
        <v>124</v>
      </c>
      <c r="V30" s="12">
        <v>306</v>
      </c>
      <c r="W30" s="12">
        <v>164</v>
      </c>
      <c r="X30" s="12">
        <v>366</v>
      </c>
      <c r="Y30" s="12">
        <v>395</v>
      </c>
      <c r="Z30" s="12">
        <v>193</v>
      </c>
      <c r="AA30" s="12">
        <v>299</v>
      </c>
      <c r="AB30" s="12">
        <v>227</v>
      </c>
      <c r="AC30" s="12">
        <v>247</v>
      </c>
      <c r="AD30" s="12">
        <v>372</v>
      </c>
      <c r="AE30" s="12">
        <v>338</v>
      </c>
      <c r="AF30" s="12">
        <v>401</v>
      </c>
    </row>
    <row r="31" spans="1:32" ht="31.5" x14ac:dyDescent="0.35">
      <c r="A31" s="31"/>
      <c r="B31" s="13" t="s">
        <v>760</v>
      </c>
      <c r="C31" s="14">
        <v>0.37</v>
      </c>
      <c r="D31" s="14">
        <v>0.34</v>
      </c>
      <c r="E31" s="14">
        <v>0.32</v>
      </c>
      <c r="F31" s="14">
        <v>0.33</v>
      </c>
      <c r="G31" s="14">
        <v>0.57000000000000006</v>
      </c>
      <c r="H31" s="14">
        <v>0.43</v>
      </c>
      <c r="I31" s="14">
        <v>0.44</v>
      </c>
      <c r="J31" s="14">
        <v>0.51</v>
      </c>
      <c r="K31" s="14">
        <v>0.39</v>
      </c>
      <c r="L31" s="14">
        <v>0.41</v>
      </c>
      <c r="M31" s="14">
        <v>0.54</v>
      </c>
      <c r="N31" s="14">
        <v>0.35</v>
      </c>
      <c r="O31" s="14">
        <v>0.3</v>
      </c>
      <c r="P31" s="14">
        <v>0.35</v>
      </c>
      <c r="Q31" s="14">
        <v>0.37</v>
      </c>
      <c r="R31" s="14">
        <v>0.48</v>
      </c>
      <c r="S31" s="14">
        <v>0.26</v>
      </c>
      <c r="T31" s="14">
        <v>0.36</v>
      </c>
      <c r="U31" s="14">
        <v>0.28000000000000003</v>
      </c>
      <c r="V31" s="14">
        <v>0.35</v>
      </c>
      <c r="W31" s="14">
        <v>0.36</v>
      </c>
      <c r="X31" s="14">
        <v>0.44</v>
      </c>
      <c r="Y31" s="14">
        <v>0.51</v>
      </c>
      <c r="Z31" s="14">
        <v>0.23</v>
      </c>
      <c r="AA31" s="14">
        <v>0.34</v>
      </c>
      <c r="AB31" s="14">
        <v>0.25</v>
      </c>
      <c r="AC31" s="14">
        <v>0.32</v>
      </c>
      <c r="AD31" s="14">
        <v>0.45</v>
      </c>
      <c r="AE31" s="14">
        <v>0.46</v>
      </c>
      <c r="AF31" s="14">
        <v>0.68</v>
      </c>
    </row>
    <row r="32" spans="1:32" x14ac:dyDescent="0.35">
      <c r="A32" s="31"/>
      <c r="B32" s="11" t="s">
        <v>407</v>
      </c>
      <c r="C32" s="12">
        <v>116</v>
      </c>
      <c r="D32" s="12">
        <v>3</v>
      </c>
      <c r="E32" s="12">
        <v>5</v>
      </c>
      <c r="F32" s="12">
        <v>1</v>
      </c>
      <c r="G32" s="12">
        <v>5</v>
      </c>
      <c r="H32" s="12">
        <v>3</v>
      </c>
      <c r="I32" s="12">
        <v>7</v>
      </c>
      <c r="J32" s="12">
        <v>4</v>
      </c>
      <c r="K32" s="12">
        <v>9</v>
      </c>
      <c r="L32" s="12">
        <v>1</v>
      </c>
      <c r="M32" s="12">
        <v>2</v>
      </c>
      <c r="N32" s="12">
        <v>1</v>
      </c>
      <c r="O32" s="12">
        <v>15</v>
      </c>
      <c r="P32" s="12">
        <v>0</v>
      </c>
      <c r="Q32" s="12">
        <v>1</v>
      </c>
      <c r="R32" s="12">
        <v>6</v>
      </c>
      <c r="S32" s="12">
        <v>6</v>
      </c>
      <c r="T32" s="12">
        <v>12</v>
      </c>
      <c r="U32" s="12">
        <v>3</v>
      </c>
      <c r="V32" s="12">
        <v>0</v>
      </c>
      <c r="W32" s="12">
        <v>1</v>
      </c>
      <c r="X32" s="12">
        <v>1</v>
      </c>
      <c r="Y32" s="12">
        <v>5</v>
      </c>
      <c r="Z32" s="12">
        <v>1</v>
      </c>
      <c r="AA32" s="12">
        <v>5</v>
      </c>
      <c r="AB32" s="12">
        <v>2</v>
      </c>
      <c r="AC32" s="12">
        <v>6</v>
      </c>
      <c r="AD32" s="12">
        <v>1</v>
      </c>
      <c r="AE32" s="12">
        <v>1</v>
      </c>
      <c r="AF32" s="12">
        <v>0</v>
      </c>
    </row>
    <row r="33" spans="1:32" x14ac:dyDescent="0.35">
      <c r="A33" s="31"/>
      <c r="B33" s="13" t="s">
        <v>408</v>
      </c>
      <c r="C33" s="15" t="s">
        <v>333</v>
      </c>
      <c r="D33" s="15" t="s">
        <v>333</v>
      </c>
      <c r="E33" s="14">
        <v>0.01</v>
      </c>
      <c r="F33" s="15" t="s">
        <v>333</v>
      </c>
      <c r="G33" s="14">
        <v>0.01</v>
      </c>
      <c r="H33" s="15" t="s">
        <v>333</v>
      </c>
      <c r="I33" s="14">
        <v>0.01</v>
      </c>
      <c r="J33" s="14">
        <v>0.01</v>
      </c>
      <c r="K33" s="14">
        <v>0.01</v>
      </c>
      <c r="L33" s="15" t="s">
        <v>333</v>
      </c>
      <c r="M33" s="15" t="s">
        <v>333</v>
      </c>
      <c r="N33" s="15" t="s">
        <v>333</v>
      </c>
      <c r="O33" s="14">
        <v>0.02</v>
      </c>
      <c r="P33" s="15" t="s">
        <v>333</v>
      </c>
      <c r="Q33" s="15" t="s">
        <v>333</v>
      </c>
      <c r="R33" s="14">
        <v>0.01</v>
      </c>
      <c r="S33" s="14">
        <v>0.01</v>
      </c>
      <c r="T33" s="14">
        <v>0.01</v>
      </c>
      <c r="U33" s="14">
        <v>0.01</v>
      </c>
      <c r="V33" s="15" t="s">
        <v>333</v>
      </c>
      <c r="W33" s="15" t="s">
        <v>333</v>
      </c>
      <c r="X33" s="15" t="s">
        <v>333</v>
      </c>
      <c r="Y33" s="14">
        <v>0.01</v>
      </c>
      <c r="Z33" s="15" t="s">
        <v>333</v>
      </c>
      <c r="AA33" s="14">
        <v>0.01</v>
      </c>
      <c r="AB33" s="15" t="s">
        <v>333</v>
      </c>
      <c r="AC33" s="14">
        <v>0.01</v>
      </c>
      <c r="AD33" s="15" t="s">
        <v>333</v>
      </c>
      <c r="AE33" s="15" t="s">
        <v>333</v>
      </c>
      <c r="AF33" s="15" t="s">
        <v>333</v>
      </c>
    </row>
    <row r="34" spans="1:32" ht="71.5" x14ac:dyDescent="0.35">
      <c r="A34" s="31"/>
      <c r="B34" s="11" t="s">
        <v>761</v>
      </c>
      <c r="C34" s="12">
        <v>315</v>
      </c>
      <c r="D34" s="12">
        <v>7</v>
      </c>
      <c r="E34" s="12">
        <v>4</v>
      </c>
      <c r="F34" s="12">
        <v>5</v>
      </c>
      <c r="G34" s="12">
        <v>7</v>
      </c>
      <c r="H34" s="12">
        <v>2</v>
      </c>
      <c r="I34" s="12">
        <v>6</v>
      </c>
      <c r="J34" s="12">
        <v>4</v>
      </c>
      <c r="K34" s="12">
        <v>10</v>
      </c>
      <c r="L34" s="12">
        <v>4</v>
      </c>
      <c r="M34" s="12">
        <v>6</v>
      </c>
      <c r="N34" s="12">
        <v>23</v>
      </c>
      <c r="O34" s="12">
        <v>28</v>
      </c>
      <c r="P34" s="12">
        <v>4</v>
      </c>
      <c r="Q34" s="12">
        <v>10</v>
      </c>
      <c r="R34" s="12">
        <v>8</v>
      </c>
      <c r="S34" s="12">
        <v>11</v>
      </c>
      <c r="T34" s="12">
        <v>12</v>
      </c>
      <c r="U34" s="12">
        <v>5</v>
      </c>
      <c r="V34" s="12">
        <v>3</v>
      </c>
      <c r="W34" s="12">
        <v>5</v>
      </c>
      <c r="X34" s="12">
        <v>9</v>
      </c>
      <c r="Y34" s="12">
        <v>15</v>
      </c>
      <c r="Z34" s="12">
        <v>3</v>
      </c>
      <c r="AA34" s="12">
        <v>4</v>
      </c>
      <c r="AB34" s="12">
        <v>7</v>
      </c>
      <c r="AC34" s="12">
        <v>12</v>
      </c>
      <c r="AD34" s="12">
        <v>5</v>
      </c>
      <c r="AE34" s="12">
        <v>11</v>
      </c>
      <c r="AF34" s="12">
        <v>35</v>
      </c>
    </row>
    <row r="35" spans="1:32" ht="51.5" x14ac:dyDescent="0.35">
      <c r="A35" s="31"/>
      <c r="B35" s="13" t="s">
        <v>762</v>
      </c>
      <c r="C35" s="14">
        <v>0.01</v>
      </c>
      <c r="D35" s="14">
        <v>0.01</v>
      </c>
      <c r="E35" s="15" t="s">
        <v>333</v>
      </c>
      <c r="F35" s="15" t="s">
        <v>333</v>
      </c>
      <c r="G35" s="14">
        <v>0.01</v>
      </c>
      <c r="H35" s="15" t="s">
        <v>333</v>
      </c>
      <c r="I35" s="15" t="s">
        <v>333</v>
      </c>
      <c r="J35" s="14">
        <v>0.02</v>
      </c>
      <c r="K35" s="14">
        <v>0.01</v>
      </c>
      <c r="L35" s="15" t="s">
        <v>333</v>
      </c>
      <c r="M35" s="14">
        <v>0.01</v>
      </c>
      <c r="N35" s="14">
        <v>0.03</v>
      </c>
      <c r="O35" s="14">
        <v>0.03</v>
      </c>
      <c r="P35" s="15" t="s">
        <v>333</v>
      </c>
      <c r="Q35" s="14">
        <v>0.01</v>
      </c>
      <c r="R35" s="14">
        <v>0.02</v>
      </c>
      <c r="S35" s="14">
        <v>0.01</v>
      </c>
      <c r="T35" s="14">
        <v>0.01</v>
      </c>
      <c r="U35" s="14">
        <v>0.01</v>
      </c>
      <c r="V35" s="15" t="s">
        <v>333</v>
      </c>
      <c r="W35" s="14">
        <v>0.01</v>
      </c>
      <c r="X35" s="14">
        <v>0.01</v>
      </c>
      <c r="Y35" s="14">
        <v>0.02</v>
      </c>
      <c r="Z35" s="15" t="s">
        <v>333</v>
      </c>
      <c r="AA35" s="15" t="s">
        <v>333</v>
      </c>
      <c r="AB35" s="14">
        <v>0.01</v>
      </c>
      <c r="AC35" s="14">
        <v>0.01</v>
      </c>
      <c r="AD35" s="14">
        <v>0.01</v>
      </c>
      <c r="AE35" s="14">
        <v>0.01</v>
      </c>
      <c r="AF35" s="14">
        <v>0.04</v>
      </c>
    </row>
    <row r="36" spans="1:32" x14ac:dyDescent="0.35">
      <c r="A36" s="31"/>
      <c r="B36" s="11" t="s">
        <v>344</v>
      </c>
      <c r="C36" s="12">
        <v>348</v>
      </c>
      <c r="D36" s="12">
        <v>5</v>
      </c>
      <c r="E36" s="12">
        <v>26</v>
      </c>
      <c r="F36" s="12">
        <v>5</v>
      </c>
      <c r="G36" s="12">
        <v>12</v>
      </c>
      <c r="H36" s="12">
        <v>11</v>
      </c>
      <c r="I36" s="12">
        <v>18</v>
      </c>
      <c r="J36" s="12">
        <v>6</v>
      </c>
      <c r="K36" s="12">
        <v>34</v>
      </c>
      <c r="L36" s="12">
        <v>4</v>
      </c>
      <c r="M36" s="12">
        <v>9</v>
      </c>
      <c r="N36" s="12">
        <v>21</v>
      </c>
      <c r="O36" s="12">
        <v>19</v>
      </c>
      <c r="P36" s="12">
        <v>3</v>
      </c>
      <c r="Q36" s="12">
        <v>11</v>
      </c>
      <c r="R36" s="12">
        <v>4</v>
      </c>
      <c r="S36" s="12">
        <v>48</v>
      </c>
      <c r="T36" s="12">
        <v>19</v>
      </c>
      <c r="U36" s="12">
        <v>1</v>
      </c>
      <c r="V36" s="12">
        <v>13</v>
      </c>
      <c r="W36" s="12">
        <v>2</v>
      </c>
      <c r="X36" s="12">
        <v>0</v>
      </c>
      <c r="Y36" s="12">
        <v>26</v>
      </c>
      <c r="Z36" s="12">
        <v>7</v>
      </c>
      <c r="AA36" s="12">
        <v>8</v>
      </c>
      <c r="AB36" s="12">
        <v>7</v>
      </c>
      <c r="AC36" s="12">
        <v>28</v>
      </c>
      <c r="AD36" s="12">
        <v>9</v>
      </c>
      <c r="AE36" s="12">
        <v>34</v>
      </c>
      <c r="AF36" s="12">
        <v>19</v>
      </c>
    </row>
    <row r="37" spans="1:32" x14ac:dyDescent="0.35">
      <c r="A37" s="31"/>
      <c r="B37" s="13" t="s">
        <v>357</v>
      </c>
      <c r="C37" s="14">
        <v>0.01</v>
      </c>
      <c r="D37" s="14">
        <v>0.01</v>
      </c>
      <c r="E37" s="14">
        <v>0.03</v>
      </c>
      <c r="F37" s="14">
        <v>0.01</v>
      </c>
      <c r="G37" s="14">
        <v>0.01</v>
      </c>
      <c r="H37" s="14">
        <v>0.01</v>
      </c>
      <c r="I37" s="14">
        <v>0.01</v>
      </c>
      <c r="J37" s="14">
        <v>0.02</v>
      </c>
      <c r="K37" s="14">
        <v>0.04</v>
      </c>
      <c r="L37" s="15" t="s">
        <v>333</v>
      </c>
      <c r="M37" s="14">
        <v>0.01</v>
      </c>
      <c r="N37" s="14">
        <v>0.02</v>
      </c>
      <c r="O37" s="14">
        <v>0.02</v>
      </c>
      <c r="P37" s="15" t="s">
        <v>333</v>
      </c>
      <c r="Q37" s="14">
        <v>0.01</v>
      </c>
      <c r="R37" s="14">
        <v>0.01</v>
      </c>
      <c r="S37" s="14">
        <v>0.05</v>
      </c>
      <c r="T37" s="14">
        <v>0.02</v>
      </c>
      <c r="U37" s="15" t="s">
        <v>333</v>
      </c>
      <c r="V37" s="14">
        <v>0.01</v>
      </c>
      <c r="W37" s="15" t="s">
        <v>333</v>
      </c>
      <c r="X37" s="15" t="s">
        <v>333</v>
      </c>
      <c r="Y37" s="14">
        <v>0.03</v>
      </c>
      <c r="Z37" s="14">
        <v>0.01</v>
      </c>
      <c r="AA37" s="14">
        <v>0.01</v>
      </c>
      <c r="AB37" s="14">
        <v>0.01</v>
      </c>
      <c r="AC37" s="14">
        <v>0.03</v>
      </c>
      <c r="AD37" s="14">
        <v>0.01</v>
      </c>
      <c r="AE37" s="14">
        <v>0.04</v>
      </c>
      <c r="AF37" s="14">
        <v>0.02</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103</v>
      </c>
      <c r="C3" s="30"/>
      <c r="D3" s="30"/>
      <c r="E3" s="30"/>
      <c r="F3" s="30"/>
      <c r="H3" s="30" t="s">
        <v>104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741</v>
      </c>
      <c r="C12" s="12">
        <v>9155</v>
      </c>
      <c r="D12" s="12">
        <v>321</v>
      </c>
      <c r="E12" s="12">
        <v>401</v>
      </c>
      <c r="F12" s="12">
        <v>413</v>
      </c>
      <c r="G12" s="12">
        <v>281</v>
      </c>
      <c r="H12" s="12">
        <v>318</v>
      </c>
      <c r="I12" s="12">
        <v>413</v>
      </c>
      <c r="J12" s="12">
        <v>95</v>
      </c>
      <c r="K12" s="12">
        <v>410</v>
      </c>
      <c r="L12" s="12">
        <v>315</v>
      </c>
      <c r="M12" s="12">
        <v>579</v>
      </c>
      <c r="N12" s="12">
        <v>329</v>
      </c>
      <c r="O12" s="12">
        <v>324</v>
      </c>
      <c r="P12" s="12">
        <v>454</v>
      </c>
      <c r="Q12" s="12">
        <v>466</v>
      </c>
      <c r="R12" s="12">
        <v>172</v>
      </c>
      <c r="S12" s="12">
        <v>302</v>
      </c>
      <c r="T12" s="12">
        <v>345</v>
      </c>
      <c r="U12" s="12">
        <v>155</v>
      </c>
      <c r="V12" s="12">
        <v>371</v>
      </c>
      <c r="W12" s="12">
        <v>235</v>
      </c>
      <c r="X12" s="12">
        <v>316</v>
      </c>
      <c r="Y12" s="12">
        <v>403</v>
      </c>
      <c r="Z12" s="12">
        <v>285</v>
      </c>
      <c r="AA12" s="12">
        <v>399</v>
      </c>
      <c r="AB12" s="12">
        <v>433</v>
      </c>
      <c r="AC12" s="12">
        <v>408</v>
      </c>
      <c r="AD12" s="12">
        <v>405</v>
      </c>
      <c r="AE12" s="12">
        <v>371</v>
      </c>
      <c r="AF12" s="12">
        <v>347</v>
      </c>
    </row>
    <row r="13" spans="1:32" ht="41.5" x14ac:dyDescent="0.35">
      <c r="A13" s="31"/>
      <c r="B13" s="13" t="s">
        <v>742</v>
      </c>
      <c r="C13" s="14">
        <v>0.35</v>
      </c>
      <c r="D13" s="14">
        <v>0.31</v>
      </c>
      <c r="E13" s="14">
        <v>0.39</v>
      </c>
      <c r="F13" s="14">
        <v>0.41</v>
      </c>
      <c r="G13" s="14">
        <v>0.28000000000000003</v>
      </c>
      <c r="H13" s="14">
        <v>0.26</v>
      </c>
      <c r="I13" s="14">
        <v>0.27</v>
      </c>
      <c r="J13" s="14">
        <v>0.32</v>
      </c>
      <c r="K13" s="14">
        <v>0.41</v>
      </c>
      <c r="L13" s="14">
        <v>0.31</v>
      </c>
      <c r="M13" s="14">
        <v>0.57999999999999996</v>
      </c>
      <c r="N13" s="14">
        <v>0.33</v>
      </c>
      <c r="O13" s="14">
        <v>0.32</v>
      </c>
      <c r="P13" s="14">
        <v>0.45</v>
      </c>
      <c r="Q13" s="14">
        <v>0.45</v>
      </c>
      <c r="R13" s="14">
        <v>0.34</v>
      </c>
      <c r="S13" s="14">
        <v>0.3</v>
      </c>
      <c r="T13" s="14">
        <v>0.34</v>
      </c>
      <c r="U13" s="14">
        <v>0.3</v>
      </c>
      <c r="V13" s="14">
        <v>0.37</v>
      </c>
      <c r="W13" s="14">
        <v>0.47</v>
      </c>
      <c r="X13" s="14">
        <v>0.31</v>
      </c>
      <c r="Y13" s="14">
        <v>0.4</v>
      </c>
      <c r="Z13" s="14">
        <v>0.28000000000000003</v>
      </c>
      <c r="AA13" s="14">
        <v>0.39</v>
      </c>
      <c r="AB13" s="14">
        <v>0.41</v>
      </c>
      <c r="AC13" s="14">
        <v>0.4</v>
      </c>
      <c r="AD13" s="14">
        <v>0.4</v>
      </c>
      <c r="AE13" s="14">
        <v>0.37</v>
      </c>
      <c r="AF13" s="14">
        <v>0.34</v>
      </c>
    </row>
    <row r="14" spans="1:32" ht="41.5" x14ac:dyDescent="0.35">
      <c r="A14" s="31"/>
      <c r="B14" s="11" t="s">
        <v>743</v>
      </c>
      <c r="C14" s="12">
        <v>15332</v>
      </c>
      <c r="D14" s="12">
        <v>590</v>
      </c>
      <c r="E14" s="12">
        <v>654</v>
      </c>
      <c r="F14" s="12">
        <v>706</v>
      </c>
      <c r="G14" s="12">
        <v>637</v>
      </c>
      <c r="H14" s="12">
        <v>806</v>
      </c>
      <c r="I14" s="12">
        <v>981</v>
      </c>
      <c r="J14" s="12">
        <v>176</v>
      </c>
      <c r="K14" s="12">
        <v>549</v>
      </c>
      <c r="L14" s="12">
        <v>583</v>
      </c>
      <c r="M14" s="12">
        <v>641</v>
      </c>
      <c r="N14" s="12">
        <v>521</v>
      </c>
      <c r="O14" s="12">
        <v>536</v>
      </c>
      <c r="P14" s="12">
        <v>539</v>
      </c>
      <c r="Q14" s="12">
        <v>625</v>
      </c>
      <c r="R14" s="12">
        <v>335</v>
      </c>
      <c r="S14" s="12">
        <v>595</v>
      </c>
      <c r="T14" s="12">
        <v>707</v>
      </c>
      <c r="U14" s="12">
        <v>292</v>
      </c>
      <c r="V14" s="12">
        <v>540</v>
      </c>
      <c r="W14" s="12">
        <v>313</v>
      </c>
      <c r="X14" s="12">
        <v>678</v>
      </c>
      <c r="Y14" s="12">
        <v>613</v>
      </c>
      <c r="Z14" s="12">
        <v>447</v>
      </c>
      <c r="AA14" s="12">
        <v>733</v>
      </c>
      <c r="AB14" s="12">
        <v>516</v>
      </c>
      <c r="AC14" s="12">
        <v>478</v>
      </c>
      <c r="AD14" s="12">
        <v>638</v>
      </c>
      <c r="AE14" s="12">
        <v>624</v>
      </c>
      <c r="AF14" s="12">
        <v>650</v>
      </c>
    </row>
    <row r="15" spans="1:32" ht="31.5" x14ac:dyDescent="0.35">
      <c r="A15" s="31"/>
      <c r="B15" s="13" t="s">
        <v>744</v>
      </c>
      <c r="C15" s="14">
        <v>0.57999999999999996</v>
      </c>
      <c r="D15" s="14">
        <v>0.57999999999999996</v>
      </c>
      <c r="E15" s="14">
        <v>0.63</v>
      </c>
      <c r="F15" s="14">
        <v>0.69000000000000006</v>
      </c>
      <c r="G15" s="14">
        <v>0.63</v>
      </c>
      <c r="H15" s="14">
        <v>0.65</v>
      </c>
      <c r="I15" s="14">
        <v>0.64</v>
      </c>
      <c r="J15" s="14">
        <v>0.59</v>
      </c>
      <c r="K15" s="14">
        <v>0.54</v>
      </c>
      <c r="L15" s="14">
        <v>0.57999999999999996</v>
      </c>
      <c r="M15" s="14">
        <v>0.64</v>
      </c>
      <c r="N15" s="14">
        <v>0.52</v>
      </c>
      <c r="O15" s="14">
        <v>0.54</v>
      </c>
      <c r="P15" s="14">
        <v>0.54</v>
      </c>
      <c r="Q15" s="14">
        <v>0.6</v>
      </c>
      <c r="R15" s="14">
        <v>0.67</v>
      </c>
      <c r="S15" s="14">
        <v>0.57999999999999996</v>
      </c>
      <c r="T15" s="14">
        <v>0.70000000000000007</v>
      </c>
      <c r="U15" s="14">
        <v>0.57000000000000006</v>
      </c>
      <c r="V15" s="14">
        <v>0.53</v>
      </c>
      <c r="W15" s="14">
        <v>0.63</v>
      </c>
      <c r="X15" s="14">
        <v>0.67</v>
      </c>
      <c r="Y15" s="14">
        <v>0.61</v>
      </c>
      <c r="Z15" s="14">
        <v>0.44</v>
      </c>
      <c r="AA15" s="14">
        <v>0.71</v>
      </c>
      <c r="AB15" s="14">
        <v>0.49</v>
      </c>
      <c r="AC15" s="14">
        <v>0.47</v>
      </c>
      <c r="AD15" s="14">
        <v>0.64</v>
      </c>
      <c r="AE15" s="14">
        <v>0.62</v>
      </c>
      <c r="AF15" s="14">
        <v>0.64</v>
      </c>
    </row>
    <row r="16" spans="1:32" ht="31.5" x14ac:dyDescent="0.35">
      <c r="A16" s="31"/>
      <c r="B16" s="11" t="s">
        <v>745</v>
      </c>
      <c r="C16" s="12">
        <v>11527</v>
      </c>
      <c r="D16" s="12">
        <v>473</v>
      </c>
      <c r="E16" s="12">
        <v>433</v>
      </c>
      <c r="F16" s="12">
        <v>421</v>
      </c>
      <c r="G16" s="12">
        <v>526</v>
      </c>
      <c r="H16" s="12">
        <v>524</v>
      </c>
      <c r="I16" s="12">
        <v>650</v>
      </c>
      <c r="J16" s="12">
        <v>126</v>
      </c>
      <c r="K16" s="12">
        <v>476</v>
      </c>
      <c r="L16" s="12">
        <v>477</v>
      </c>
      <c r="M16" s="12">
        <v>536</v>
      </c>
      <c r="N16" s="12">
        <v>534</v>
      </c>
      <c r="O16" s="12">
        <v>404</v>
      </c>
      <c r="P16" s="12">
        <v>421</v>
      </c>
      <c r="Q16" s="12">
        <v>439</v>
      </c>
      <c r="R16" s="12">
        <v>281</v>
      </c>
      <c r="S16" s="12">
        <v>501</v>
      </c>
      <c r="T16" s="12">
        <v>522</v>
      </c>
      <c r="U16" s="12">
        <v>245</v>
      </c>
      <c r="V16" s="12">
        <v>394</v>
      </c>
      <c r="W16" s="12">
        <v>297</v>
      </c>
      <c r="X16" s="12">
        <v>495</v>
      </c>
      <c r="Y16" s="12">
        <v>465</v>
      </c>
      <c r="Z16" s="12">
        <v>297</v>
      </c>
      <c r="AA16" s="12">
        <v>498</v>
      </c>
      <c r="AB16" s="12">
        <v>417</v>
      </c>
      <c r="AC16" s="12">
        <v>402</v>
      </c>
      <c r="AD16" s="12">
        <v>407</v>
      </c>
      <c r="AE16" s="12">
        <v>516</v>
      </c>
      <c r="AF16" s="12">
        <v>598</v>
      </c>
    </row>
    <row r="17" spans="1:32" ht="21.5" x14ac:dyDescent="0.35">
      <c r="A17" s="31"/>
      <c r="B17" s="13" t="s">
        <v>746</v>
      </c>
      <c r="C17" s="14">
        <v>0.44</v>
      </c>
      <c r="D17" s="14">
        <v>0.46</v>
      </c>
      <c r="E17" s="14">
        <v>0.42</v>
      </c>
      <c r="F17" s="14">
        <v>0.41</v>
      </c>
      <c r="G17" s="14">
        <v>0.52</v>
      </c>
      <c r="H17" s="14">
        <v>0.43</v>
      </c>
      <c r="I17" s="14">
        <v>0.42</v>
      </c>
      <c r="J17" s="14">
        <v>0.42</v>
      </c>
      <c r="K17" s="14">
        <v>0.47</v>
      </c>
      <c r="L17" s="14">
        <v>0.48</v>
      </c>
      <c r="M17" s="14">
        <v>0.53</v>
      </c>
      <c r="N17" s="14">
        <v>0.53</v>
      </c>
      <c r="O17" s="14">
        <v>0.4</v>
      </c>
      <c r="P17" s="14">
        <v>0.42</v>
      </c>
      <c r="Q17" s="14">
        <v>0.42</v>
      </c>
      <c r="R17" s="14">
        <v>0.56000000000000005</v>
      </c>
      <c r="S17" s="14">
        <v>0.49</v>
      </c>
      <c r="T17" s="14">
        <v>0.51</v>
      </c>
      <c r="U17" s="14">
        <v>0.48</v>
      </c>
      <c r="V17" s="14">
        <v>0.39</v>
      </c>
      <c r="W17" s="14">
        <v>0.59</v>
      </c>
      <c r="X17" s="14">
        <v>0.49</v>
      </c>
      <c r="Y17" s="14">
        <v>0.46</v>
      </c>
      <c r="Z17" s="14">
        <v>0.28999999999999998</v>
      </c>
      <c r="AA17" s="14">
        <v>0.48</v>
      </c>
      <c r="AB17" s="14">
        <v>0.4</v>
      </c>
      <c r="AC17" s="14">
        <v>0.4</v>
      </c>
      <c r="AD17" s="14">
        <v>0.41</v>
      </c>
      <c r="AE17" s="14">
        <v>0.51</v>
      </c>
      <c r="AF17" s="14">
        <v>0.59</v>
      </c>
    </row>
    <row r="18" spans="1:32" ht="31.5" x14ac:dyDescent="0.35">
      <c r="A18" s="31"/>
      <c r="B18" s="11" t="s">
        <v>747</v>
      </c>
      <c r="C18" s="12">
        <v>9194</v>
      </c>
      <c r="D18" s="12">
        <v>428</v>
      </c>
      <c r="E18" s="12">
        <v>308</v>
      </c>
      <c r="F18" s="12">
        <v>591</v>
      </c>
      <c r="G18" s="12">
        <v>310</v>
      </c>
      <c r="H18" s="12">
        <v>468</v>
      </c>
      <c r="I18" s="12">
        <v>564</v>
      </c>
      <c r="J18" s="12">
        <v>97</v>
      </c>
      <c r="K18" s="12">
        <v>314</v>
      </c>
      <c r="L18" s="12">
        <v>449</v>
      </c>
      <c r="M18" s="12">
        <v>311</v>
      </c>
      <c r="N18" s="12">
        <v>362</v>
      </c>
      <c r="O18" s="12">
        <v>366</v>
      </c>
      <c r="P18" s="12">
        <v>459</v>
      </c>
      <c r="Q18" s="12">
        <v>228</v>
      </c>
      <c r="R18" s="12">
        <v>162</v>
      </c>
      <c r="S18" s="12">
        <v>234</v>
      </c>
      <c r="T18" s="12">
        <v>299</v>
      </c>
      <c r="U18" s="12">
        <v>224</v>
      </c>
      <c r="V18" s="12">
        <v>313</v>
      </c>
      <c r="W18" s="12">
        <v>210</v>
      </c>
      <c r="X18" s="12">
        <v>464</v>
      </c>
      <c r="Y18" s="12">
        <v>492</v>
      </c>
      <c r="Z18" s="12">
        <v>287</v>
      </c>
      <c r="AA18" s="12">
        <v>543</v>
      </c>
      <c r="AB18" s="12">
        <v>366</v>
      </c>
      <c r="AC18" s="12">
        <v>229</v>
      </c>
      <c r="AD18" s="12">
        <v>440</v>
      </c>
      <c r="AE18" s="12">
        <v>281</v>
      </c>
      <c r="AF18" s="12">
        <v>256</v>
      </c>
    </row>
    <row r="19" spans="1:32" ht="31.5" x14ac:dyDescent="0.35">
      <c r="A19" s="31"/>
      <c r="B19" s="13" t="s">
        <v>748</v>
      </c>
      <c r="C19" s="14">
        <v>0.35</v>
      </c>
      <c r="D19" s="14">
        <v>0.42</v>
      </c>
      <c r="E19" s="14">
        <v>0.3</v>
      </c>
      <c r="F19" s="14">
        <v>0.57999999999999996</v>
      </c>
      <c r="G19" s="14">
        <v>0.31</v>
      </c>
      <c r="H19" s="14">
        <v>0.38</v>
      </c>
      <c r="I19" s="14">
        <v>0.37</v>
      </c>
      <c r="J19" s="14">
        <v>0.32</v>
      </c>
      <c r="K19" s="14">
        <v>0.31</v>
      </c>
      <c r="L19" s="14">
        <v>0.45</v>
      </c>
      <c r="M19" s="14">
        <v>0.31</v>
      </c>
      <c r="N19" s="14">
        <v>0.36</v>
      </c>
      <c r="O19" s="14">
        <v>0.37</v>
      </c>
      <c r="P19" s="14">
        <v>0.46</v>
      </c>
      <c r="Q19" s="14">
        <v>0.22</v>
      </c>
      <c r="R19" s="14">
        <v>0.32</v>
      </c>
      <c r="S19" s="14">
        <v>0.23</v>
      </c>
      <c r="T19" s="14">
        <v>0.28999999999999998</v>
      </c>
      <c r="U19" s="14">
        <v>0.44</v>
      </c>
      <c r="V19" s="14">
        <v>0.31</v>
      </c>
      <c r="W19" s="14">
        <v>0.42</v>
      </c>
      <c r="X19" s="14">
        <v>0.46</v>
      </c>
      <c r="Y19" s="14">
        <v>0.49</v>
      </c>
      <c r="Z19" s="14">
        <v>0.28000000000000003</v>
      </c>
      <c r="AA19" s="14">
        <v>0.53</v>
      </c>
      <c r="AB19" s="14">
        <v>0.35</v>
      </c>
      <c r="AC19" s="14">
        <v>0.23</v>
      </c>
      <c r="AD19" s="14">
        <v>0.44</v>
      </c>
      <c r="AE19" s="14">
        <v>0.28000000000000003</v>
      </c>
      <c r="AF19" s="14">
        <v>0.25</v>
      </c>
    </row>
    <row r="20" spans="1:32" ht="41.5" x14ac:dyDescent="0.35">
      <c r="A20" s="31"/>
      <c r="B20" s="11" t="s">
        <v>749</v>
      </c>
      <c r="C20" s="12">
        <v>6848</v>
      </c>
      <c r="D20" s="12">
        <v>269</v>
      </c>
      <c r="E20" s="12">
        <v>299</v>
      </c>
      <c r="F20" s="12">
        <v>253</v>
      </c>
      <c r="G20" s="12">
        <v>304</v>
      </c>
      <c r="H20" s="12">
        <v>262</v>
      </c>
      <c r="I20" s="12">
        <v>314</v>
      </c>
      <c r="J20" s="12">
        <v>52</v>
      </c>
      <c r="K20" s="12">
        <v>327</v>
      </c>
      <c r="L20" s="12">
        <v>313</v>
      </c>
      <c r="M20" s="12">
        <v>358</v>
      </c>
      <c r="N20" s="12">
        <v>181</v>
      </c>
      <c r="O20" s="12">
        <v>234</v>
      </c>
      <c r="P20" s="12">
        <v>362</v>
      </c>
      <c r="Q20" s="12">
        <v>393</v>
      </c>
      <c r="R20" s="12">
        <v>73</v>
      </c>
      <c r="S20" s="12">
        <v>156</v>
      </c>
      <c r="T20" s="12">
        <v>276</v>
      </c>
      <c r="U20" s="12">
        <v>104</v>
      </c>
      <c r="V20" s="12">
        <v>328</v>
      </c>
      <c r="W20" s="12">
        <v>143</v>
      </c>
      <c r="X20" s="12">
        <v>217</v>
      </c>
      <c r="Y20" s="12">
        <v>395</v>
      </c>
      <c r="Z20" s="12">
        <v>211</v>
      </c>
      <c r="AA20" s="12">
        <v>274</v>
      </c>
      <c r="AB20" s="12">
        <v>362</v>
      </c>
      <c r="AC20" s="12">
        <v>193</v>
      </c>
      <c r="AD20" s="12">
        <v>345</v>
      </c>
      <c r="AE20" s="12">
        <v>241</v>
      </c>
      <c r="AF20" s="12">
        <v>262</v>
      </c>
    </row>
    <row r="21" spans="1:32" ht="31.5" x14ac:dyDescent="0.35">
      <c r="A21" s="31"/>
      <c r="B21" s="13" t="s">
        <v>750</v>
      </c>
      <c r="C21" s="14">
        <v>0.26</v>
      </c>
      <c r="D21" s="14">
        <v>0.26</v>
      </c>
      <c r="E21" s="14">
        <v>0.28999999999999998</v>
      </c>
      <c r="F21" s="14">
        <v>0.25</v>
      </c>
      <c r="G21" s="14">
        <v>0.3</v>
      </c>
      <c r="H21" s="14">
        <v>0.21</v>
      </c>
      <c r="I21" s="14">
        <v>0.21</v>
      </c>
      <c r="J21" s="14">
        <v>0.18</v>
      </c>
      <c r="K21" s="14">
        <v>0.32</v>
      </c>
      <c r="L21" s="14">
        <v>0.31</v>
      </c>
      <c r="M21" s="14">
        <v>0.36</v>
      </c>
      <c r="N21" s="14">
        <v>0.18</v>
      </c>
      <c r="O21" s="14">
        <v>0.23</v>
      </c>
      <c r="P21" s="14">
        <v>0.36</v>
      </c>
      <c r="Q21" s="14">
        <v>0.38</v>
      </c>
      <c r="R21" s="14">
        <v>0.15</v>
      </c>
      <c r="S21" s="14">
        <v>0.15</v>
      </c>
      <c r="T21" s="14">
        <v>0.27</v>
      </c>
      <c r="U21" s="14">
        <v>0.2</v>
      </c>
      <c r="V21" s="14">
        <v>0.32</v>
      </c>
      <c r="W21" s="14">
        <v>0.28999999999999998</v>
      </c>
      <c r="X21" s="14">
        <v>0.22</v>
      </c>
      <c r="Y21" s="14">
        <v>0.39</v>
      </c>
      <c r="Z21" s="14">
        <v>0.21</v>
      </c>
      <c r="AA21" s="14">
        <v>0.27</v>
      </c>
      <c r="AB21" s="14">
        <v>0.34</v>
      </c>
      <c r="AC21" s="14">
        <v>0.19</v>
      </c>
      <c r="AD21" s="14">
        <v>0.34</v>
      </c>
      <c r="AE21" s="14">
        <v>0.24</v>
      </c>
      <c r="AF21" s="14">
        <v>0.26</v>
      </c>
    </row>
    <row r="22" spans="1:32" ht="31.5" x14ac:dyDescent="0.35">
      <c r="A22" s="31"/>
      <c r="B22" s="11" t="s">
        <v>751</v>
      </c>
      <c r="C22" s="12">
        <v>4457</v>
      </c>
      <c r="D22" s="12">
        <v>124</v>
      </c>
      <c r="E22" s="12">
        <v>221</v>
      </c>
      <c r="F22" s="12">
        <v>196</v>
      </c>
      <c r="G22" s="12">
        <v>122</v>
      </c>
      <c r="H22" s="12">
        <v>136</v>
      </c>
      <c r="I22" s="12">
        <v>165</v>
      </c>
      <c r="J22" s="12">
        <v>28</v>
      </c>
      <c r="K22" s="12">
        <v>185</v>
      </c>
      <c r="L22" s="12">
        <v>205</v>
      </c>
      <c r="M22" s="12">
        <v>283</v>
      </c>
      <c r="N22" s="12">
        <v>226</v>
      </c>
      <c r="O22" s="12">
        <v>78</v>
      </c>
      <c r="P22" s="12">
        <v>249</v>
      </c>
      <c r="Q22" s="12">
        <v>282</v>
      </c>
      <c r="R22" s="12">
        <v>148</v>
      </c>
      <c r="S22" s="12">
        <v>113</v>
      </c>
      <c r="T22" s="12">
        <v>163</v>
      </c>
      <c r="U22" s="12">
        <v>42</v>
      </c>
      <c r="V22" s="12">
        <v>221</v>
      </c>
      <c r="W22" s="12">
        <v>127</v>
      </c>
      <c r="X22" s="12">
        <v>92</v>
      </c>
      <c r="Y22" s="12">
        <v>239</v>
      </c>
      <c r="Z22" s="12">
        <v>187</v>
      </c>
      <c r="AA22" s="12">
        <v>118</v>
      </c>
      <c r="AB22" s="12">
        <v>258</v>
      </c>
      <c r="AC22" s="12">
        <v>169</v>
      </c>
      <c r="AD22" s="12">
        <v>242</v>
      </c>
      <c r="AE22" s="12">
        <v>79</v>
      </c>
      <c r="AF22" s="12">
        <v>141</v>
      </c>
    </row>
    <row r="23" spans="1:32" ht="31.5" x14ac:dyDescent="0.35">
      <c r="A23" s="31"/>
      <c r="B23" s="13" t="s">
        <v>752</v>
      </c>
      <c r="C23" s="14">
        <v>0.17</v>
      </c>
      <c r="D23" s="14">
        <v>0.12</v>
      </c>
      <c r="E23" s="14">
        <v>0.21</v>
      </c>
      <c r="F23" s="14">
        <v>0.19</v>
      </c>
      <c r="G23" s="14">
        <v>0.12</v>
      </c>
      <c r="H23" s="14">
        <v>0.11</v>
      </c>
      <c r="I23" s="14">
        <v>0.11</v>
      </c>
      <c r="J23" s="14">
        <v>0.09</v>
      </c>
      <c r="K23" s="14">
        <v>0.18</v>
      </c>
      <c r="L23" s="14">
        <v>0.2</v>
      </c>
      <c r="M23" s="14">
        <v>0.28000000000000003</v>
      </c>
      <c r="N23" s="14">
        <v>0.23</v>
      </c>
      <c r="O23" s="14">
        <v>0.08</v>
      </c>
      <c r="P23" s="14">
        <v>0.25</v>
      </c>
      <c r="Q23" s="14">
        <v>0.27</v>
      </c>
      <c r="R23" s="14">
        <v>0.28999999999999998</v>
      </c>
      <c r="S23" s="14">
        <v>0.11</v>
      </c>
      <c r="T23" s="14">
        <v>0.16</v>
      </c>
      <c r="U23" s="14">
        <v>0.08</v>
      </c>
      <c r="V23" s="14">
        <v>0.22</v>
      </c>
      <c r="W23" s="14">
        <v>0.25</v>
      </c>
      <c r="X23" s="14">
        <v>0.09</v>
      </c>
      <c r="Y23" s="14">
        <v>0.24</v>
      </c>
      <c r="Z23" s="14">
        <v>0.18</v>
      </c>
      <c r="AA23" s="14">
        <v>0.11</v>
      </c>
      <c r="AB23" s="14">
        <v>0.24</v>
      </c>
      <c r="AC23" s="14">
        <v>0.17</v>
      </c>
      <c r="AD23" s="14">
        <v>0.24</v>
      </c>
      <c r="AE23" s="14">
        <v>0.08</v>
      </c>
      <c r="AF23" s="14">
        <v>0.14000000000000001</v>
      </c>
    </row>
    <row r="24" spans="1:32" ht="51.5" x14ac:dyDescent="0.35">
      <c r="A24" s="31"/>
      <c r="B24" s="11" t="s">
        <v>753</v>
      </c>
      <c r="C24" s="12">
        <v>9401</v>
      </c>
      <c r="D24" s="12">
        <v>332</v>
      </c>
      <c r="E24" s="12">
        <v>314</v>
      </c>
      <c r="F24" s="12">
        <v>407</v>
      </c>
      <c r="G24" s="12">
        <v>478</v>
      </c>
      <c r="H24" s="12">
        <v>406</v>
      </c>
      <c r="I24" s="12">
        <v>507</v>
      </c>
      <c r="J24" s="12">
        <v>102</v>
      </c>
      <c r="K24" s="12">
        <v>339</v>
      </c>
      <c r="L24" s="12">
        <v>335</v>
      </c>
      <c r="M24" s="12">
        <v>469</v>
      </c>
      <c r="N24" s="12">
        <v>296</v>
      </c>
      <c r="O24" s="12">
        <v>342</v>
      </c>
      <c r="P24" s="12">
        <v>385</v>
      </c>
      <c r="Q24" s="12">
        <v>448</v>
      </c>
      <c r="R24" s="12">
        <v>196</v>
      </c>
      <c r="S24" s="12">
        <v>232</v>
      </c>
      <c r="T24" s="12">
        <v>291</v>
      </c>
      <c r="U24" s="12">
        <v>170</v>
      </c>
      <c r="V24" s="12">
        <v>399</v>
      </c>
      <c r="W24" s="12">
        <v>249</v>
      </c>
      <c r="X24" s="12">
        <v>465</v>
      </c>
      <c r="Y24" s="12">
        <v>414</v>
      </c>
      <c r="Z24" s="12">
        <v>266</v>
      </c>
      <c r="AA24" s="12">
        <v>251</v>
      </c>
      <c r="AB24" s="12">
        <v>316</v>
      </c>
      <c r="AC24" s="12">
        <v>292</v>
      </c>
      <c r="AD24" s="12">
        <v>521</v>
      </c>
      <c r="AE24" s="12">
        <v>417</v>
      </c>
      <c r="AF24" s="12">
        <v>555</v>
      </c>
    </row>
    <row r="25" spans="1:32" ht="41.5" x14ac:dyDescent="0.35">
      <c r="A25" s="31"/>
      <c r="B25" s="13" t="s">
        <v>754</v>
      </c>
      <c r="C25" s="14">
        <v>0.36</v>
      </c>
      <c r="D25" s="14">
        <v>0.32</v>
      </c>
      <c r="E25" s="14">
        <v>0.3</v>
      </c>
      <c r="F25" s="14">
        <v>0.4</v>
      </c>
      <c r="G25" s="14">
        <v>0.47</v>
      </c>
      <c r="H25" s="14">
        <v>0.33</v>
      </c>
      <c r="I25" s="14">
        <v>0.33</v>
      </c>
      <c r="J25" s="14">
        <v>0.34</v>
      </c>
      <c r="K25" s="14">
        <v>0.34</v>
      </c>
      <c r="L25" s="14">
        <v>0.33</v>
      </c>
      <c r="M25" s="14">
        <v>0.47</v>
      </c>
      <c r="N25" s="14">
        <v>0.3</v>
      </c>
      <c r="O25" s="14">
        <v>0.34</v>
      </c>
      <c r="P25" s="14">
        <v>0.38</v>
      </c>
      <c r="Q25" s="14">
        <v>0.43</v>
      </c>
      <c r="R25" s="14">
        <v>0.39</v>
      </c>
      <c r="S25" s="14">
        <v>0.23</v>
      </c>
      <c r="T25" s="14">
        <v>0.28999999999999998</v>
      </c>
      <c r="U25" s="14">
        <v>0.33</v>
      </c>
      <c r="V25" s="14">
        <v>0.39</v>
      </c>
      <c r="W25" s="14">
        <v>0.5</v>
      </c>
      <c r="X25" s="14">
        <v>0.46</v>
      </c>
      <c r="Y25" s="14">
        <v>0.41</v>
      </c>
      <c r="Z25" s="14">
        <v>0.26</v>
      </c>
      <c r="AA25" s="14">
        <v>0.24</v>
      </c>
      <c r="AB25" s="14">
        <v>0.3</v>
      </c>
      <c r="AC25" s="14">
        <v>0.28999999999999998</v>
      </c>
      <c r="AD25" s="14">
        <v>0.52</v>
      </c>
      <c r="AE25" s="14">
        <v>0.41</v>
      </c>
      <c r="AF25" s="14">
        <v>0.54</v>
      </c>
    </row>
    <row r="26" spans="1:32" ht="31.5" x14ac:dyDescent="0.35">
      <c r="A26" s="31"/>
      <c r="B26" s="11" t="s">
        <v>755</v>
      </c>
      <c r="C26" s="12">
        <v>3788</v>
      </c>
      <c r="D26" s="12">
        <v>137</v>
      </c>
      <c r="E26" s="12">
        <v>157</v>
      </c>
      <c r="F26" s="12">
        <v>178</v>
      </c>
      <c r="G26" s="12">
        <v>122</v>
      </c>
      <c r="H26" s="12">
        <v>93</v>
      </c>
      <c r="I26" s="12">
        <v>120</v>
      </c>
      <c r="J26" s="12">
        <v>27</v>
      </c>
      <c r="K26" s="12">
        <v>115</v>
      </c>
      <c r="L26" s="12">
        <v>181</v>
      </c>
      <c r="M26" s="12">
        <v>173</v>
      </c>
      <c r="N26" s="12">
        <v>131</v>
      </c>
      <c r="O26" s="12">
        <v>96</v>
      </c>
      <c r="P26" s="12">
        <v>282</v>
      </c>
      <c r="Q26" s="12">
        <v>194</v>
      </c>
      <c r="R26" s="12">
        <v>66</v>
      </c>
      <c r="S26" s="12">
        <v>122</v>
      </c>
      <c r="T26" s="12">
        <v>120</v>
      </c>
      <c r="U26" s="12">
        <v>87</v>
      </c>
      <c r="V26" s="12">
        <v>205</v>
      </c>
      <c r="W26" s="12">
        <v>142</v>
      </c>
      <c r="X26" s="12">
        <v>211</v>
      </c>
      <c r="Y26" s="12">
        <v>253</v>
      </c>
      <c r="Z26" s="12">
        <v>201</v>
      </c>
      <c r="AA26" s="12">
        <v>126</v>
      </c>
      <c r="AB26" s="12">
        <v>220</v>
      </c>
      <c r="AC26" s="12">
        <v>88</v>
      </c>
      <c r="AD26" s="12">
        <v>174</v>
      </c>
      <c r="AE26" s="12">
        <v>119</v>
      </c>
      <c r="AF26" s="12">
        <v>130</v>
      </c>
    </row>
    <row r="27" spans="1:32" ht="31.5" x14ac:dyDescent="0.35">
      <c r="A27" s="31"/>
      <c r="B27" s="13" t="s">
        <v>756</v>
      </c>
      <c r="C27" s="14">
        <v>0.14000000000000001</v>
      </c>
      <c r="D27" s="14">
        <v>0.13</v>
      </c>
      <c r="E27" s="14">
        <v>0.15</v>
      </c>
      <c r="F27" s="14">
        <v>0.17</v>
      </c>
      <c r="G27" s="14">
        <v>0.12</v>
      </c>
      <c r="H27" s="14">
        <v>0.08</v>
      </c>
      <c r="I27" s="14">
        <v>0.08</v>
      </c>
      <c r="J27" s="14">
        <v>0.09</v>
      </c>
      <c r="K27" s="14">
        <v>0.11</v>
      </c>
      <c r="L27" s="14">
        <v>0.18</v>
      </c>
      <c r="M27" s="14">
        <v>0.17</v>
      </c>
      <c r="N27" s="14">
        <v>0.13</v>
      </c>
      <c r="O27" s="14">
        <v>0.1</v>
      </c>
      <c r="P27" s="14">
        <v>0.28000000000000003</v>
      </c>
      <c r="Q27" s="14">
        <v>0.19</v>
      </c>
      <c r="R27" s="14">
        <v>0.13</v>
      </c>
      <c r="S27" s="14">
        <v>0.12</v>
      </c>
      <c r="T27" s="14">
        <v>0.12</v>
      </c>
      <c r="U27" s="14">
        <v>0.17</v>
      </c>
      <c r="V27" s="14">
        <v>0.2</v>
      </c>
      <c r="W27" s="14">
        <v>0.28000000000000003</v>
      </c>
      <c r="X27" s="14">
        <v>0.21</v>
      </c>
      <c r="Y27" s="14">
        <v>0.25</v>
      </c>
      <c r="Z27" s="14">
        <v>0.2</v>
      </c>
      <c r="AA27" s="14">
        <v>0.12</v>
      </c>
      <c r="AB27" s="14">
        <v>0.21</v>
      </c>
      <c r="AC27" s="14">
        <v>0.09</v>
      </c>
      <c r="AD27" s="14">
        <v>0.17</v>
      </c>
      <c r="AE27" s="14">
        <v>0.12</v>
      </c>
      <c r="AF27" s="14">
        <v>0.13</v>
      </c>
    </row>
    <row r="28" spans="1:32" ht="41.5" x14ac:dyDescent="0.35">
      <c r="A28" s="31"/>
      <c r="B28" s="11" t="s">
        <v>757</v>
      </c>
      <c r="C28" s="12">
        <v>6481</v>
      </c>
      <c r="D28" s="12">
        <v>246</v>
      </c>
      <c r="E28" s="12">
        <v>252</v>
      </c>
      <c r="F28" s="12">
        <v>276</v>
      </c>
      <c r="G28" s="12">
        <v>179</v>
      </c>
      <c r="H28" s="12">
        <v>332</v>
      </c>
      <c r="I28" s="12">
        <v>392</v>
      </c>
      <c r="J28" s="12">
        <v>60</v>
      </c>
      <c r="K28" s="12">
        <v>330</v>
      </c>
      <c r="L28" s="12">
        <v>275</v>
      </c>
      <c r="M28" s="12">
        <v>328</v>
      </c>
      <c r="N28" s="12">
        <v>206</v>
      </c>
      <c r="O28" s="12">
        <v>248</v>
      </c>
      <c r="P28" s="12">
        <v>314</v>
      </c>
      <c r="Q28" s="12">
        <v>272</v>
      </c>
      <c r="R28" s="12">
        <v>116</v>
      </c>
      <c r="S28" s="12">
        <v>162</v>
      </c>
      <c r="T28" s="12">
        <v>274</v>
      </c>
      <c r="U28" s="12">
        <v>151</v>
      </c>
      <c r="V28" s="12">
        <v>267</v>
      </c>
      <c r="W28" s="12">
        <v>186</v>
      </c>
      <c r="X28" s="12">
        <v>286</v>
      </c>
      <c r="Y28" s="12">
        <v>290</v>
      </c>
      <c r="Z28" s="12">
        <v>182</v>
      </c>
      <c r="AA28" s="12">
        <v>328</v>
      </c>
      <c r="AB28" s="12">
        <v>262</v>
      </c>
      <c r="AC28" s="12">
        <v>186</v>
      </c>
      <c r="AD28" s="12">
        <v>296</v>
      </c>
      <c r="AE28" s="12">
        <v>181</v>
      </c>
      <c r="AF28" s="12">
        <v>167</v>
      </c>
    </row>
    <row r="29" spans="1:32" ht="31.5" x14ac:dyDescent="0.35">
      <c r="A29" s="31"/>
      <c r="B29" s="13" t="s">
        <v>758</v>
      </c>
      <c r="C29" s="14">
        <v>0.25</v>
      </c>
      <c r="D29" s="14">
        <v>0.24</v>
      </c>
      <c r="E29" s="14">
        <v>0.24</v>
      </c>
      <c r="F29" s="14">
        <v>0.27</v>
      </c>
      <c r="G29" s="14">
        <v>0.18</v>
      </c>
      <c r="H29" s="14">
        <v>0.27</v>
      </c>
      <c r="I29" s="14">
        <v>0.26</v>
      </c>
      <c r="J29" s="14">
        <v>0.2</v>
      </c>
      <c r="K29" s="14">
        <v>0.33</v>
      </c>
      <c r="L29" s="14">
        <v>0.27</v>
      </c>
      <c r="M29" s="14">
        <v>0.33</v>
      </c>
      <c r="N29" s="14">
        <v>0.21</v>
      </c>
      <c r="O29" s="14">
        <v>0.25</v>
      </c>
      <c r="P29" s="14">
        <v>0.31</v>
      </c>
      <c r="Q29" s="14">
        <v>0.26</v>
      </c>
      <c r="R29" s="14">
        <v>0.23</v>
      </c>
      <c r="S29" s="14">
        <v>0.16</v>
      </c>
      <c r="T29" s="14">
        <v>0.27</v>
      </c>
      <c r="U29" s="14">
        <v>0.3</v>
      </c>
      <c r="V29" s="14">
        <v>0.26</v>
      </c>
      <c r="W29" s="14">
        <v>0.37</v>
      </c>
      <c r="X29" s="14">
        <v>0.28000000000000003</v>
      </c>
      <c r="Y29" s="14">
        <v>0.28999999999999998</v>
      </c>
      <c r="Z29" s="14">
        <v>0.18</v>
      </c>
      <c r="AA29" s="14">
        <v>0.32</v>
      </c>
      <c r="AB29" s="14">
        <v>0.25</v>
      </c>
      <c r="AC29" s="14">
        <v>0.18</v>
      </c>
      <c r="AD29" s="14">
        <v>0.28999999999999998</v>
      </c>
      <c r="AE29" s="14">
        <v>0.18</v>
      </c>
      <c r="AF29" s="14">
        <v>0.16</v>
      </c>
    </row>
    <row r="30" spans="1:32" ht="41.5" x14ac:dyDescent="0.35">
      <c r="A30" s="31"/>
      <c r="B30" s="11" t="s">
        <v>759</v>
      </c>
      <c r="C30" s="12">
        <v>11091</v>
      </c>
      <c r="D30" s="12">
        <v>419</v>
      </c>
      <c r="E30" s="12">
        <v>332</v>
      </c>
      <c r="F30" s="12">
        <v>373</v>
      </c>
      <c r="G30" s="12">
        <v>706</v>
      </c>
      <c r="H30" s="12">
        <v>601</v>
      </c>
      <c r="I30" s="12">
        <v>775</v>
      </c>
      <c r="J30" s="12">
        <v>174</v>
      </c>
      <c r="K30" s="12">
        <v>431</v>
      </c>
      <c r="L30" s="12">
        <v>485</v>
      </c>
      <c r="M30" s="12">
        <v>580</v>
      </c>
      <c r="N30" s="12">
        <v>378</v>
      </c>
      <c r="O30" s="12">
        <v>341</v>
      </c>
      <c r="P30" s="12">
        <v>364</v>
      </c>
      <c r="Q30" s="12">
        <v>423</v>
      </c>
      <c r="R30" s="12">
        <v>246</v>
      </c>
      <c r="S30" s="12">
        <v>281</v>
      </c>
      <c r="T30" s="12">
        <v>382</v>
      </c>
      <c r="U30" s="12">
        <v>165</v>
      </c>
      <c r="V30" s="12">
        <v>409</v>
      </c>
      <c r="W30" s="12">
        <v>208</v>
      </c>
      <c r="X30" s="12">
        <v>520</v>
      </c>
      <c r="Y30" s="12">
        <v>556</v>
      </c>
      <c r="Z30" s="12">
        <v>277</v>
      </c>
      <c r="AA30" s="12">
        <v>369</v>
      </c>
      <c r="AB30" s="12">
        <v>285</v>
      </c>
      <c r="AC30" s="12">
        <v>419</v>
      </c>
      <c r="AD30" s="12">
        <v>499</v>
      </c>
      <c r="AE30" s="12">
        <v>578</v>
      </c>
      <c r="AF30" s="12">
        <v>813</v>
      </c>
    </row>
    <row r="31" spans="1:32" ht="31.5" x14ac:dyDescent="0.35">
      <c r="A31" s="31"/>
      <c r="B31" s="13" t="s">
        <v>760</v>
      </c>
      <c r="C31" s="14">
        <v>0.42</v>
      </c>
      <c r="D31" s="14">
        <v>0.41</v>
      </c>
      <c r="E31" s="14">
        <v>0.32</v>
      </c>
      <c r="F31" s="14">
        <v>0.37</v>
      </c>
      <c r="G31" s="14">
        <v>0.69000000000000006</v>
      </c>
      <c r="H31" s="14">
        <v>0.49</v>
      </c>
      <c r="I31" s="14">
        <v>0.51</v>
      </c>
      <c r="J31" s="14">
        <v>0.57999999999999996</v>
      </c>
      <c r="K31" s="14">
        <v>0.43</v>
      </c>
      <c r="L31" s="14">
        <v>0.48</v>
      </c>
      <c r="M31" s="14">
        <v>0.57999999999999996</v>
      </c>
      <c r="N31" s="14">
        <v>0.38</v>
      </c>
      <c r="O31" s="14">
        <v>0.34</v>
      </c>
      <c r="P31" s="14">
        <v>0.36</v>
      </c>
      <c r="Q31" s="14">
        <v>0.41</v>
      </c>
      <c r="R31" s="14">
        <v>0.49</v>
      </c>
      <c r="S31" s="14">
        <v>0.28000000000000003</v>
      </c>
      <c r="T31" s="14">
        <v>0.38</v>
      </c>
      <c r="U31" s="14">
        <v>0.32</v>
      </c>
      <c r="V31" s="14">
        <v>0.4</v>
      </c>
      <c r="W31" s="14">
        <v>0.42</v>
      </c>
      <c r="X31" s="14">
        <v>0.52</v>
      </c>
      <c r="Y31" s="14">
        <v>0.55000000000000004</v>
      </c>
      <c r="Z31" s="14">
        <v>0.27</v>
      </c>
      <c r="AA31" s="14">
        <v>0.36</v>
      </c>
      <c r="AB31" s="14">
        <v>0.27</v>
      </c>
      <c r="AC31" s="14">
        <v>0.41</v>
      </c>
      <c r="AD31" s="14">
        <v>0.5</v>
      </c>
      <c r="AE31" s="14">
        <v>0.57000000000000006</v>
      </c>
      <c r="AF31" s="14">
        <v>0.8</v>
      </c>
    </row>
    <row r="32" spans="1:32" x14ac:dyDescent="0.35">
      <c r="A32" s="31"/>
      <c r="B32" s="11" t="s">
        <v>407</v>
      </c>
      <c r="C32" s="12">
        <v>188</v>
      </c>
      <c r="D32" s="12">
        <v>3</v>
      </c>
      <c r="E32" s="12">
        <v>8</v>
      </c>
      <c r="F32" s="12">
        <v>1</v>
      </c>
      <c r="G32" s="12">
        <v>6</v>
      </c>
      <c r="H32" s="12">
        <v>3</v>
      </c>
      <c r="I32" s="12">
        <v>8</v>
      </c>
      <c r="J32" s="12">
        <v>4</v>
      </c>
      <c r="K32" s="12">
        <v>14</v>
      </c>
      <c r="L32" s="12">
        <v>1</v>
      </c>
      <c r="M32" s="12">
        <v>2</v>
      </c>
      <c r="N32" s="12">
        <v>2</v>
      </c>
      <c r="O32" s="12">
        <v>30</v>
      </c>
      <c r="P32" s="12">
        <v>1</v>
      </c>
      <c r="Q32" s="12">
        <v>2</v>
      </c>
      <c r="R32" s="12">
        <v>6</v>
      </c>
      <c r="S32" s="12">
        <v>9</v>
      </c>
      <c r="T32" s="12">
        <v>13</v>
      </c>
      <c r="U32" s="12">
        <v>3</v>
      </c>
      <c r="V32" s="12">
        <v>0</v>
      </c>
      <c r="W32" s="12">
        <v>1</v>
      </c>
      <c r="X32" s="12">
        <v>1</v>
      </c>
      <c r="Y32" s="12">
        <v>8</v>
      </c>
      <c r="Z32" s="12">
        <v>1</v>
      </c>
      <c r="AA32" s="12">
        <v>6</v>
      </c>
      <c r="AB32" s="12">
        <v>4</v>
      </c>
      <c r="AC32" s="12">
        <v>8</v>
      </c>
      <c r="AD32" s="12">
        <v>3</v>
      </c>
      <c r="AE32" s="12">
        <v>4</v>
      </c>
      <c r="AF32" s="12">
        <v>1</v>
      </c>
    </row>
    <row r="33" spans="1:32" x14ac:dyDescent="0.35">
      <c r="A33" s="31"/>
      <c r="B33" s="13" t="s">
        <v>408</v>
      </c>
      <c r="C33" s="14">
        <v>0.01</v>
      </c>
      <c r="D33" s="15" t="s">
        <v>333</v>
      </c>
      <c r="E33" s="14">
        <v>0.01</v>
      </c>
      <c r="F33" s="15" t="s">
        <v>333</v>
      </c>
      <c r="G33" s="14">
        <v>0.01</v>
      </c>
      <c r="H33" s="15" t="s">
        <v>333</v>
      </c>
      <c r="I33" s="15" t="s">
        <v>333</v>
      </c>
      <c r="J33" s="14">
        <v>0.01</v>
      </c>
      <c r="K33" s="14">
        <v>0.01</v>
      </c>
      <c r="L33" s="15" t="s">
        <v>333</v>
      </c>
      <c r="M33" s="15" t="s">
        <v>333</v>
      </c>
      <c r="N33" s="15" t="s">
        <v>333</v>
      </c>
      <c r="O33" s="14">
        <v>0.03</v>
      </c>
      <c r="P33" s="15" t="s">
        <v>333</v>
      </c>
      <c r="Q33" s="15" t="s">
        <v>333</v>
      </c>
      <c r="R33" s="14">
        <v>0.01</v>
      </c>
      <c r="S33" s="14">
        <v>0.01</v>
      </c>
      <c r="T33" s="14">
        <v>0.01</v>
      </c>
      <c r="U33" s="14">
        <v>0.01</v>
      </c>
      <c r="V33" s="15" t="s">
        <v>333</v>
      </c>
      <c r="W33" s="15" t="s">
        <v>333</v>
      </c>
      <c r="X33" s="15" t="s">
        <v>333</v>
      </c>
      <c r="Y33" s="14">
        <v>0.01</v>
      </c>
      <c r="Z33" s="15" t="s">
        <v>333</v>
      </c>
      <c r="AA33" s="14">
        <v>0.01</v>
      </c>
      <c r="AB33" s="15" t="s">
        <v>333</v>
      </c>
      <c r="AC33" s="14">
        <v>0.01</v>
      </c>
      <c r="AD33" s="15" t="s">
        <v>333</v>
      </c>
      <c r="AE33" s="15" t="s">
        <v>333</v>
      </c>
      <c r="AF33" s="15" t="s">
        <v>333</v>
      </c>
    </row>
    <row r="34" spans="1:32" ht="71.5" x14ac:dyDescent="0.35">
      <c r="A34" s="31"/>
      <c r="B34" s="11" t="s">
        <v>761</v>
      </c>
      <c r="C34" s="12">
        <v>592</v>
      </c>
      <c r="D34" s="12">
        <v>9</v>
      </c>
      <c r="E34" s="12">
        <v>47</v>
      </c>
      <c r="F34" s="12">
        <v>20</v>
      </c>
      <c r="G34" s="12">
        <v>2</v>
      </c>
      <c r="H34" s="12">
        <v>26</v>
      </c>
      <c r="I34" s="12">
        <v>35</v>
      </c>
      <c r="J34" s="12">
        <v>9</v>
      </c>
      <c r="K34" s="12">
        <v>38</v>
      </c>
      <c r="L34" s="12">
        <v>8</v>
      </c>
      <c r="M34" s="12">
        <v>30</v>
      </c>
      <c r="N34" s="12">
        <v>23</v>
      </c>
      <c r="O34" s="12">
        <v>20</v>
      </c>
      <c r="P34" s="12">
        <v>18</v>
      </c>
      <c r="Q34" s="12">
        <v>32</v>
      </c>
      <c r="R34" s="12">
        <v>16</v>
      </c>
      <c r="S34" s="12">
        <v>12</v>
      </c>
      <c r="T34" s="12">
        <v>15</v>
      </c>
      <c r="U34" s="12">
        <v>3</v>
      </c>
      <c r="V34" s="12">
        <v>18</v>
      </c>
      <c r="W34" s="12">
        <v>0</v>
      </c>
      <c r="X34" s="12">
        <v>6</v>
      </c>
      <c r="Y34" s="12">
        <v>34</v>
      </c>
      <c r="Z34" s="12">
        <v>27</v>
      </c>
      <c r="AA34" s="12">
        <v>18</v>
      </c>
      <c r="AB34" s="12">
        <v>42</v>
      </c>
      <c r="AC34" s="12">
        <v>25</v>
      </c>
      <c r="AD34" s="12">
        <v>14</v>
      </c>
      <c r="AE34" s="12">
        <v>1</v>
      </c>
      <c r="AF34" s="12">
        <v>4</v>
      </c>
    </row>
    <row r="35" spans="1:32" ht="51.5" x14ac:dyDescent="0.35">
      <c r="A35" s="31"/>
      <c r="B35" s="13" t="s">
        <v>762</v>
      </c>
      <c r="C35" s="14">
        <v>0.02</v>
      </c>
      <c r="D35" s="14">
        <v>0.01</v>
      </c>
      <c r="E35" s="14">
        <v>0.04</v>
      </c>
      <c r="F35" s="14">
        <v>0.02</v>
      </c>
      <c r="G35" s="15" t="s">
        <v>333</v>
      </c>
      <c r="H35" s="14">
        <v>0.02</v>
      </c>
      <c r="I35" s="14">
        <v>0.02</v>
      </c>
      <c r="J35" s="14">
        <v>0.03</v>
      </c>
      <c r="K35" s="14">
        <v>0.04</v>
      </c>
      <c r="L35" s="14">
        <v>0.01</v>
      </c>
      <c r="M35" s="14">
        <v>0.03</v>
      </c>
      <c r="N35" s="14">
        <v>0.02</v>
      </c>
      <c r="O35" s="14">
        <v>0.02</v>
      </c>
      <c r="P35" s="14">
        <v>0.02</v>
      </c>
      <c r="Q35" s="14">
        <v>0.03</v>
      </c>
      <c r="R35" s="14">
        <v>0.03</v>
      </c>
      <c r="S35" s="14">
        <v>0.01</v>
      </c>
      <c r="T35" s="14">
        <v>0.01</v>
      </c>
      <c r="U35" s="14">
        <v>0.01</v>
      </c>
      <c r="V35" s="14">
        <v>0.02</v>
      </c>
      <c r="W35" s="15" t="s">
        <v>333</v>
      </c>
      <c r="X35" s="14">
        <v>0.01</v>
      </c>
      <c r="Y35" s="14">
        <v>0.03</v>
      </c>
      <c r="Z35" s="14">
        <v>0.03</v>
      </c>
      <c r="AA35" s="14">
        <v>0.02</v>
      </c>
      <c r="AB35" s="14">
        <v>0.04</v>
      </c>
      <c r="AC35" s="14">
        <v>0.02</v>
      </c>
      <c r="AD35" s="14">
        <v>0.01</v>
      </c>
      <c r="AE35" s="15" t="s">
        <v>333</v>
      </c>
      <c r="AF35" s="15" t="s">
        <v>333</v>
      </c>
    </row>
    <row r="36" spans="1:32" x14ac:dyDescent="0.35">
      <c r="A36" s="31"/>
      <c r="B36" s="11" t="s">
        <v>344</v>
      </c>
      <c r="C36" s="12">
        <v>1348</v>
      </c>
      <c r="D36" s="12">
        <v>11</v>
      </c>
      <c r="E36" s="12">
        <v>61</v>
      </c>
      <c r="F36" s="12">
        <v>9</v>
      </c>
      <c r="G36" s="12">
        <v>26</v>
      </c>
      <c r="H36" s="12">
        <v>78</v>
      </c>
      <c r="I36" s="12">
        <v>94</v>
      </c>
      <c r="J36" s="12">
        <v>16</v>
      </c>
      <c r="K36" s="12">
        <v>50</v>
      </c>
      <c r="L36" s="12">
        <v>35</v>
      </c>
      <c r="M36" s="12">
        <v>31</v>
      </c>
      <c r="N36" s="12">
        <v>79</v>
      </c>
      <c r="O36" s="12">
        <v>69</v>
      </c>
      <c r="P36" s="12">
        <v>44</v>
      </c>
      <c r="Q36" s="12">
        <v>40</v>
      </c>
      <c r="R36" s="12">
        <v>31</v>
      </c>
      <c r="S36" s="12">
        <v>106</v>
      </c>
      <c r="T36" s="12">
        <v>58</v>
      </c>
      <c r="U36" s="12">
        <v>18</v>
      </c>
      <c r="V36" s="12">
        <v>28</v>
      </c>
      <c r="W36" s="12">
        <v>3</v>
      </c>
      <c r="X36" s="12">
        <v>12</v>
      </c>
      <c r="Y36" s="12">
        <v>32</v>
      </c>
      <c r="Z36" s="12">
        <v>63</v>
      </c>
      <c r="AA36" s="12">
        <v>58</v>
      </c>
      <c r="AB36" s="12">
        <v>45</v>
      </c>
      <c r="AC36" s="12">
        <v>55</v>
      </c>
      <c r="AD36" s="12">
        <v>31</v>
      </c>
      <c r="AE36" s="12">
        <v>32</v>
      </c>
      <c r="AF36" s="12">
        <v>13</v>
      </c>
    </row>
    <row r="37" spans="1:32" x14ac:dyDescent="0.35">
      <c r="A37" s="31"/>
      <c r="B37" s="13" t="s">
        <v>357</v>
      </c>
      <c r="C37" s="14">
        <v>0.05</v>
      </c>
      <c r="D37" s="14">
        <v>0.01</v>
      </c>
      <c r="E37" s="14">
        <v>0.06</v>
      </c>
      <c r="F37" s="14">
        <v>0.01</v>
      </c>
      <c r="G37" s="14">
        <v>0.03</v>
      </c>
      <c r="H37" s="14">
        <v>0.06</v>
      </c>
      <c r="I37" s="14">
        <v>0.06</v>
      </c>
      <c r="J37" s="14">
        <v>0.05</v>
      </c>
      <c r="K37" s="14">
        <v>0.05</v>
      </c>
      <c r="L37" s="14">
        <v>0.03</v>
      </c>
      <c r="M37" s="14">
        <v>0.03</v>
      </c>
      <c r="N37" s="14">
        <v>0.08</v>
      </c>
      <c r="O37" s="14">
        <v>7.0000000000000007E-2</v>
      </c>
      <c r="P37" s="14">
        <v>0.04</v>
      </c>
      <c r="Q37" s="14">
        <v>0.04</v>
      </c>
      <c r="R37" s="14">
        <v>0.06</v>
      </c>
      <c r="S37" s="14">
        <v>0.1</v>
      </c>
      <c r="T37" s="14">
        <v>0.06</v>
      </c>
      <c r="U37" s="14">
        <v>0.03</v>
      </c>
      <c r="V37" s="14">
        <v>0.03</v>
      </c>
      <c r="W37" s="14">
        <v>0.01</v>
      </c>
      <c r="X37" s="14">
        <v>0.01</v>
      </c>
      <c r="Y37" s="14">
        <v>0.03</v>
      </c>
      <c r="Z37" s="14">
        <v>0.06</v>
      </c>
      <c r="AA37" s="14">
        <v>0.06</v>
      </c>
      <c r="AB37" s="14">
        <v>0.04</v>
      </c>
      <c r="AC37" s="14">
        <v>0.05</v>
      </c>
      <c r="AD37" s="14">
        <v>0.03</v>
      </c>
      <c r="AE37" s="14">
        <v>0.03</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105</v>
      </c>
      <c r="C3" s="30"/>
      <c r="D3" s="30"/>
      <c r="E3" s="30"/>
      <c r="F3" s="30"/>
      <c r="H3" s="30" t="s">
        <v>106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765</v>
      </c>
      <c r="C12" s="12">
        <v>1683</v>
      </c>
      <c r="D12" s="12">
        <v>95</v>
      </c>
      <c r="E12" s="12">
        <v>93</v>
      </c>
      <c r="F12" s="12">
        <v>99</v>
      </c>
      <c r="G12" s="12">
        <v>20</v>
      </c>
      <c r="H12" s="12">
        <v>36</v>
      </c>
      <c r="I12" s="12">
        <v>48</v>
      </c>
      <c r="J12" s="12">
        <v>12</v>
      </c>
      <c r="K12" s="12">
        <v>85</v>
      </c>
      <c r="L12" s="12">
        <v>78</v>
      </c>
      <c r="M12" s="12">
        <v>52</v>
      </c>
      <c r="N12" s="12">
        <v>57</v>
      </c>
      <c r="O12" s="12">
        <v>68</v>
      </c>
      <c r="P12" s="12">
        <v>85</v>
      </c>
      <c r="Q12" s="12">
        <v>93</v>
      </c>
      <c r="R12" s="12">
        <v>35</v>
      </c>
      <c r="S12" s="12">
        <v>72</v>
      </c>
      <c r="T12" s="12">
        <v>64</v>
      </c>
      <c r="U12" s="12">
        <v>39</v>
      </c>
      <c r="V12" s="12">
        <v>61</v>
      </c>
      <c r="W12" s="12">
        <v>47</v>
      </c>
      <c r="X12" s="12">
        <v>31</v>
      </c>
      <c r="Y12" s="12">
        <v>54</v>
      </c>
      <c r="Z12" s="12">
        <v>91</v>
      </c>
      <c r="AA12" s="12">
        <v>65</v>
      </c>
      <c r="AB12" s="12">
        <v>113</v>
      </c>
      <c r="AC12" s="12">
        <v>77</v>
      </c>
      <c r="AD12" s="12">
        <v>46</v>
      </c>
      <c r="AE12" s="12">
        <v>27</v>
      </c>
      <c r="AF12" s="12">
        <v>41</v>
      </c>
    </row>
    <row r="13" spans="1:32" x14ac:dyDescent="0.35">
      <c r="A13" s="31"/>
      <c r="B13" s="13" t="s">
        <v>766</v>
      </c>
      <c r="C13" s="14">
        <v>0.06</v>
      </c>
      <c r="D13" s="14">
        <v>0.09</v>
      </c>
      <c r="E13" s="14">
        <v>0.09</v>
      </c>
      <c r="F13" s="14">
        <v>0.1</v>
      </c>
      <c r="G13" s="14">
        <v>0.02</v>
      </c>
      <c r="H13" s="14">
        <v>0.03</v>
      </c>
      <c r="I13" s="14">
        <v>0.03</v>
      </c>
      <c r="J13" s="14">
        <v>0.04</v>
      </c>
      <c r="K13" s="14">
        <v>0.08</v>
      </c>
      <c r="L13" s="14">
        <v>0.08</v>
      </c>
      <c r="M13" s="14">
        <v>0.05</v>
      </c>
      <c r="N13" s="14">
        <v>0.06</v>
      </c>
      <c r="O13" s="14">
        <v>7.0000000000000007E-2</v>
      </c>
      <c r="P13" s="14">
        <v>0.09</v>
      </c>
      <c r="Q13" s="14">
        <v>0.09</v>
      </c>
      <c r="R13" s="14">
        <v>7.0000000000000007E-2</v>
      </c>
      <c r="S13" s="14">
        <v>7.0000000000000007E-2</v>
      </c>
      <c r="T13" s="14">
        <v>0.06</v>
      </c>
      <c r="U13" s="14">
        <v>0.08</v>
      </c>
      <c r="V13" s="14">
        <v>0.06</v>
      </c>
      <c r="W13" s="14">
        <v>0.09</v>
      </c>
      <c r="X13" s="14">
        <v>0.03</v>
      </c>
      <c r="Y13" s="14">
        <v>0.05</v>
      </c>
      <c r="Z13" s="14">
        <v>0.09</v>
      </c>
      <c r="AA13" s="14">
        <v>0.06</v>
      </c>
      <c r="AB13" s="14">
        <v>0.11</v>
      </c>
      <c r="AC13" s="14">
        <v>7.0000000000000007E-2</v>
      </c>
      <c r="AD13" s="14">
        <v>0.05</v>
      </c>
      <c r="AE13" s="14">
        <v>0.03</v>
      </c>
      <c r="AF13" s="14">
        <v>0.04</v>
      </c>
    </row>
    <row r="14" spans="1:32" ht="61.5" x14ac:dyDescent="0.35">
      <c r="A14" s="31"/>
      <c r="B14" s="11" t="s">
        <v>767</v>
      </c>
      <c r="C14" s="12">
        <v>2872</v>
      </c>
      <c r="D14" s="12">
        <v>102</v>
      </c>
      <c r="E14" s="12">
        <v>109</v>
      </c>
      <c r="F14" s="12">
        <v>76</v>
      </c>
      <c r="G14" s="12">
        <v>186</v>
      </c>
      <c r="H14" s="12">
        <v>158</v>
      </c>
      <c r="I14" s="12">
        <v>186</v>
      </c>
      <c r="J14" s="12">
        <v>28</v>
      </c>
      <c r="K14" s="12">
        <v>69</v>
      </c>
      <c r="L14" s="12">
        <v>114</v>
      </c>
      <c r="M14" s="12">
        <v>131</v>
      </c>
      <c r="N14" s="12">
        <v>143</v>
      </c>
      <c r="O14" s="12">
        <v>89</v>
      </c>
      <c r="P14" s="12">
        <v>139</v>
      </c>
      <c r="Q14" s="12">
        <v>84</v>
      </c>
      <c r="R14" s="12">
        <v>40</v>
      </c>
      <c r="S14" s="12">
        <v>58</v>
      </c>
      <c r="T14" s="12">
        <v>108</v>
      </c>
      <c r="U14" s="12">
        <v>60</v>
      </c>
      <c r="V14" s="12">
        <v>81</v>
      </c>
      <c r="W14" s="12">
        <v>75</v>
      </c>
      <c r="X14" s="12">
        <v>150</v>
      </c>
      <c r="Y14" s="12">
        <v>95</v>
      </c>
      <c r="Z14" s="12">
        <v>86</v>
      </c>
      <c r="AA14" s="12">
        <v>85</v>
      </c>
      <c r="AB14" s="12">
        <v>90</v>
      </c>
      <c r="AC14" s="12">
        <v>115</v>
      </c>
      <c r="AD14" s="12">
        <v>83</v>
      </c>
      <c r="AE14" s="12">
        <v>128</v>
      </c>
      <c r="AF14" s="12">
        <v>260</v>
      </c>
    </row>
    <row r="15" spans="1:32" ht="41.5" x14ac:dyDescent="0.35">
      <c r="A15" s="31"/>
      <c r="B15" s="13" t="s">
        <v>768</v>
      </c>
      <c r="C15" s="14">
        <v>0.11</v>
      </c>
      <c r="D15" s="14">
        <v>0.1</v>
      </c>
      <c r="E15" s="14">
        <v>0.1</v>
      </c>
      <c r="F15" s="14">
        <v>7.0000000000000007E-2</v>
      </c>
      <c r="G15" s="14">
        <v>0.18</v>
      </c>
      <c r="H15" s="14">
        <v>0.13</v>
      </c>
      <c r="I15" s="14">
        <v>0.12</v>
      </c>
      <c r="J15" s="14">
        <v>0.09</v>
      </c>
      <c r="K15" s="14">
        <v>7.0000000000000007E-2</v>
      </c>
      <c r="L15" s="14">
        <v>0.11</v>
      </c>
      <c r="M15" s="14">
        <v>0.13</v>
      </c>
      <c r="N15" s="14">
        <v>0.14000000000000001</v>
      </c>
      <c r="O15" s="14">
        <v>0.09</v>
      </c>
      <c r="P15" s="14">
        <v>0.14000000000000001</v>
      </c>
      <c r="Q15" s="14">
        <v>0.08</v>
      </c>
      <c r="R15" s="14">
        <v>0.08</v>
      </c>
      <c r="S15" s="14">
        <v>0.06</v>
      </c>
      <c r="T15" s="14">
        <v>0.1</v>
      </c>
      <c r="U15" s="14">
        <v>0.12</v>
      </c>
      <c r="V15" s="14">
        <v>0.08</v>
      </c>
      <c r="W15" s="14">
        <v>0.15</v>
      </c>
      <c r="X15" s="14">
        <v>0.15</v>
      </c>
      <c r="Y15" s="14">
        <v>0.09</v>
      </c>
      <c r="Z15" s="14">
        <v>0.08</v>
      </c>
      <c r="AA15" s="14">
        <v>0.08</v>
      </c>
      <c r="AB15" s="14">
        <v>0.08</v>
      </c>
      <c r="AC15" s="14">
        <v>0.11</v>
      </c>
      <c r="AD15" s="14">
        <v>0.08</v>
      </c>
      <c r="AE15" s="14">
        <v>0.13</v>
      </c>
      <c r="AF15" s="14">
        <v>0.25</v>
      </c>
    </row>
    <row r="16" spans="1:32" ht="51.5" x14ac:dyDescent="0.35">
      <c r="A16" s="31"/>
      <c r="B16" s="11" t="s">
        <v>769</v>
      </c>
      <c r="C16" s="12">
        <v>4714</v>
      </c>
      <c r="D16" s="12">
        <v>175</v>
      </c>
      <c r="E16" s="12">
        <v>174</v>
      </c>
      <c r="F16" s="12">
        <v>155</v>
      </c>
      <c r="G16" s="12">
        <v>155</v>
      </c>
      <c r="H16" s="12">
        <v>250</v>
      </c>
      <c r="I16" s="12">
        <v>308</v>
      </c>
      <c r="J16" s="12">
        <v>58</v>
      </c>
      <c r="K16" s="12">
        <v>173</v>
      </c>
      <c r="L16" s="12">
        <v>151</v>
      </c>
      <c r="M16" s="12">
        <v>165</v>
      </c>
      <c r="N16" s="12">
        <v>163</v>
      </c>
      <c r="O16" s="12">
        <v>207</v>
      </c>
      <c r="P16" s="12">
        <v>190</v>
      </c>
      <c r="Q16" s="12">
        <v>170</v>
      </c>
      <c r="R16" s="12">
        <v>85</v>
      </c>
      <c r="S16" s="12">
        <v>158</v>
      </c>
      <c r="T16" s="12">
        <v>210</v>
      </c>
      <c r="U16" s="12">
        <v>100</v>
      </c>
      <c r="V16" s="12">
        <v>158</v>
      </c>
      <c r="W16" s="12">
        <v>63</v>
      </c>
      <c r="X16" s="12">
        <v>237</v>
      </c>
      <c r="Y16" s="12">
        <v>196</v>
      </c>
      <c r="Z16" s="12">
        <v>126</v>
      </c>
      <c r="AA16" s="12">
        <v>244</v>
      </c>
      <c r="AB16" s="12">
        <v>143</v>
      </c>
      <c r="AC16" s="12">
        <v>164</v>
      </c>
      <c r="AD16" s="12">
        <v>229</v>
      </c>
      <c r="AE16" s="12">
        <v>209</v>
      </c>
      <c r="AF16" s="12">
        <v>139</v>
      </c>
    </row>
    <row r="17" spans="1:32" ht="41.5" x14ac:dyDescent="0.35">
      <c r="A17" s="31"/>
      <c r="B17" s="13" t="s">
        <v>770</v>
      </c>
      <c r="C17" s="14">
        <v>0.18</v>
      </c>
      <c r="D17" s="14">
        <v>0.17</v>
      </c>
      <c r="E17" s="14">
        <v>0.17</v>
      </c>
      <c r="F17" s="14">
        <v>0.15</v>
      </c>
      <c r="G17" s="14">
        <v>0.15</v>
      </c>
      <c r="H17" s="14">
        <v>0.2</v>
      </c>
      <c r="I17" s="14">
        <v>0.2</v>
      </c>
      <c r="J17" s="14">
        <v>0.19</v>
      </c>
      <c r="K17" s="14">
        <v>0.17</v>
      </c>
      <c r="L17" s="14">
        <v>0.15</v>
      </c>
      <c r="M17" s="14">
        <v>0.16</v>
      </c>
      <c r="N17" s="14">
        <v>0.16</v>
      </c>
      <c r="O17" s="14">
        <v>0.21</v>
      </c>
      <c r="P17" s="14">
        <v>0.19</v>
      </c>
      <c r="Q17" s="14">
        <v>0.16</v>
      </c>
      <c r="R17" s="14">
        <v>0.17</v>
      </c>
      <c r="S17" s="14">
        <v>0.15</v>
      </c>
      <c r="T17" s="14">
        <v>0.21</v>
      </c>
      <c r="U17" s="14">
        <v>0.2</v>
      </c>
      <c r="V17" s="14">
        <v>0.16</v>
      </c>
      <c r="W17" s="14">
        <v>0.13</v>
      </c>
      <c r="X17" s="14">
        <v>0.23</v>
      </c>
      <c r="Y17" s="14">
        <v>0.2</v>
      </c>
      <c r="Z17" s="14">
        <v>0.12</v>
      </c>
      <c r="AA17" s="14">
        <v>0.24</v>
      </c>
      <c r="AB17" s="14">
        <v>0.14000000000000001</v>
      </c>
      <c r="AC17" s="14">
        <v>0.16</v>
      </c>
      <c r="AD17" s="14">
        <v>0.23</v>
      </c>
      <c r="AE17" s="14">
        <v>0.21</v>
      </c>
      <c r="AF17" s="14">
        <v>0.14000000000000001</v>
      </c>
    </row>
    <row r="18" spans="1:32" ht="41.5" x14ac:dyDescent="0.35">
      <c r="A18" s="31"/>
      <c r="B18" s="11" t="s">
        <v>771</v>
      </c>
      <c r="C18" s="12">
        <v>1607</v>
      </c>
      <c r="D18" s="12">
        <v>76</v>
      </c>
      <c r="E18" s="12">
        <v>71</v>
      </c>
      <c r="F18" s="12">
        <v>40</v>
      </c>
      <c r="G18" s="12">
        <v>76</v>
      </c>
      <c r="H18" s="12">
        <v>73</v>
      </c>
      <c r="I18" s="12">
        <v>95</v>
      </c>
      <c r="J18" s="12">
        <v>22</v>
      </c>
      <c r="K18" s="12">
        <v>77</v>
      </c>
      <c r="L18" s="12">
        <v>98</v>
      </c>
      <c r="M18" s="12">
        <v>79</v>
      </c>
      <c r="N18" s="12">
        <v>69</v>
      </c>
      <c r="O18" s="12">
        <v>34</v>
      </c>
      <c r="P18" s="12">
        <v>62</v>
      </c>
      <c r="Q18" s="12">
        <v>57</v>
      </c>
      <c r="R18" s="12">
        <v>25</v>
      </c>
      <c r="S18" s="12">
        <v>103</v>
      </c>
      <c r="T18" s="12">
        <v>61</v>
      </c>
      <c r="U18" s="12">
        <v>48</v>
      </c>
      <c r="V18" s="12">
        <v>78</v>
      </c>
      <c r="W18" s="12">
        <v>46</v>
      </c>
      <c r="X18" s="12">
        <v>78</v>
      </c>
      <c r="Y18" s="12">
        <v>58</v>
      </c>
      <c r="Z18" s="12">
        <v>68</v>
      </c>
      <c r="AA18" s="12">
        <v>48</v>
      </c>
      <c r="AB18" s="12">
        <v>93</v>
      </c>
      <c r="AC18" s="12">
        <v>47</v>
      </c>
      <c r="AD18" s="12">
        <v>41</v>
      </c>
      <c r="AE18" s="12">
        <v>61</v>
      </c>
      <c r="AF18" s="12">
        <v>84</v>
      </c>
    </row>
    <row r="19" spans="1:32" ht="41.5" x14ac:dyDescent="0.35">
      <c r="A19" s="31"/>
      <c r="B19" s="13" t="s">
        <v>772</v>
      </c>
      <c r="C19" s="14">
        <v>0.06</v>
      </c>
      <c r="D19" s="14">
        <v>7.0000000000000007E-2</v>
      </c>
      <c r="E19" s="14">
        <v>7.0000000000000007E-2</v>
      </c>
      <c r="F19" s="14">
        <v>0.04</v>
      </c>
      <c r="G19" s="14">
        <v>0.08</v>
      </c>
      <c r="H19" s="14">
        <v>0.06</v>
      </c>
      <c r="I19" s="14">
        <v>0.06</v>
      </c>
      <c r="J19" s="14">
        <v>7.0000000000000007E-2</v>
      </c>
      <c r="K19" s="14">
        <v>0.08</v>
      </c>
      <c r="L19" s="14">
        <v>0.1</v>
      </c>
      <c r="M19" s="14">
        <v>0.08</v>
      </c>
      <c r="N19" s="14">
        <v>7.0000000000000007E-2</v>
      </c>
      <c r="O19" s="14">
        <v>0.04</v>
      </c>
      <c r="P19" s="14">
        <v>0.06</v>
      </c>
      <c r="Q19" s="14">
        <v>0.05</v>
      </c>
      <c r="R19" s="14">
        <v>0.05</v>
      </c>
      <c r="S19" s="14">
        <v>0.1</v>
      </c>
      <c r="T19" s="14">
        <v>0.06</v>
      </c>
      <c r="U19" s="14">
        <v>0.09</v>
      </c>
      <c r="V19" s="14">
        <v>0.08</v>
      </c>
      <c r="W19" s="14">
        <v>0.09</v>
      </c>
      <c r="X19" s="14">
        <v>0.08</v>
      </c>
      <c r="Y19" s="14">
        <v>0.06</v>
      </c>
      <c r="Z19" s="14">
        <v>7.0000000000000007E-2</v>
      </c>
      <c r="AA19" s="14">
        <v>0.05</v>
      </c>
      <c r="AB19" s="14">
        <v>0.09</v>
      </c>
      <c r="AC19" s="14">
        <v>0.05</v>
      </c>
      <c r="AD19" s="14">
        <v>0.04</v>
      </c>
      <c r="AE19" s="14">
        <v>0.06</v>
      </c>
      <c r="AF19" s="14">
        <v>0.08</v>
      </c>
    </row>
    <row r="20" spans="1:32" x14ac:dyDescent="0.35">
      <c r="A20" s="31"/>
      <c r="B20" s="11" t="s">
        <v>773</v>
      </c>
      <c r="C20" s="12">
        <v>2276</v>
      </c>
      <c r="D20" s="12">
        <v>94</v>
      </c>
      <c r="E20" s="12">
        <v>81</v>
      </c>
      <c r="F20" s="12">
        <v>117</v>
      </c>
      <c r="G20" s="12">
        <v>34</v>
      </c>
      <c r="H20" s="12">
        <v>57</v>
      </c>
      <c r="I20" s="12">
        <v>70</v>
      </c>
      <c r="J20" s="12">
        <v>14</v>
      </c>
      <c r="K20" s="12">
        <v>83</v>
      </c>
      <c r="L20" s="12">
        <v>125</v>
      </c>
      <c r="M20" s="12">
        <v>57</v>
      </c>
      <c r="N20" s="12">
        <v>117</v>
      </c>
      <c r="O20" s="12">
        <v>63</v>
      </c>
      <c r="P20" s="12">
        <v>128</v>
      </c>
      <c r="Q20" s="12">
        <v>126</v>
      </c>
      <c r="R20" s="12">
        <v>52</v>
      </c>
      <c r="S20" s="12">
        <v>131</v>
      </c>
      <c r="T20" s="12">
        <v>79</v>
      </c>
      <c r="U20" s="12">
        <v>48</v>
      </c>
      <c r="V20" s="12">
        <v>88</v>
      </c>
      <c r="W20" s="12">
        <v>43</v>
      </c>
      <c r="X20" s="12">
        <v>33</v>
      </c>
      <c r="Y20" s="12">
        <v>46</v>
      </c>
      <c r="Z20" s="12">
        <v>135</v>
      </c>
      <c r="AA20" s="12">
        <v>125</v>
      </c>
      <c r="AB20" s="12">
        <v>131</v>
      </c>
      <c r="AC20" s="12">
        <v>88</v>
      </c>
      <c r="AD20" s="12">
        <v>104</v>
      </c>
      <c r="AE20" s="12">
        <v>91</v>
      </c>
      <c r="AF20" s="12">
        <v>42</v>
      </c>
    </row>
    <row r="21" spans="1:32" x14ac:dyDescent="0.35">
      <c r="A21" s="31"/>
      <c r="B21" s="13" t="s">
        <v>774</v>
      </c>
      <c r="C21" s="14">
        <v>0.09</v>
      </c>
      <c r="D21" s="14">
        <v>0.09</v>
      </c>
      <c r="E21" s="14">
        <v>0.08</v>
      </c>
      <c r="F21" s="14">
        <v>0.12</v>
      </c>
      <c r="G21" s="14">
        <v>0.03</v>
      </c>
      <c r="H21" s="14">
        <v>0.05</v>
      </c>
      <c r="I21" s="14">
        <v>0.05</v>
      </c>
      <c r="J21" s="14">
        <v>0.05</v>
      </c>
      <c r="K21" s="14">
        <v>0.08</v>
      </c>
      <c r="L21" s="14">
        <v>0.12</v>
      </c>
      <c r="M21" s="14">
        <v>0.06</v>
      </c>
      <c r="N21" s="14">
        <v>0.12</v>
      </c>
      <c r="O21" s="14">
        <v>0.06</v>
      </c>
      <c r="P21" s="14">
        <v>0.13</v>
      </c>
      <c r="Q21" s="14">
        <v>0.12</v>
      </c>
      <c r="R21" s="14">
        <v>0.1</v>
      </c>
      <c r="S21" s="14">
        <v>0.13</v>
      </c>
      <c r="T21" s="14">
        <v>0.08</v>
      </c>
      <c r="U21" s="14">
        <v>0.09</v>
      </c>
      <c r="V21" s="14">
        <v>0.09</v>
      </c>
      <c r="W21" s="14">
        <v>0.09</v>
      </c>
      <c r="X21" s="14">
        <v>0.03</v>
      </c>
      <c r="Y21" s="14">
        <v>0.05</v>
      </c>
      <c r="Z21" s="14">
        <v>0.13</v>
      </c>
      <c r="AA21" s="14">
        <v>0.12</v>
      </c>
      <c r="AB21" s="14">
        <v>0.12</v>
      </c>
      <c r="AC21" s="14">
        <v>0.09</v>
      </c>
      <c r="AD21" s="14">
        <v>0.1</v>
      </c>
      <c r="AE21" s="14">
        <v>0.09</v>
      </c>
      <c r="AF21" s="14">
        <v>0.04</v>
      </c>
    </row>
    <row r="22" spans="1:32" ht="21.5" x14ac:dyDescent="0.35">
      <c r="A22" s="31"/>
      <c r="B22" s="11" t="s">
        <v>775</v>
      </c>
      <c r="C22" s="12">
        <v>4140</v>
      </c>
      <c r="D22" s="12">
        <v>212</v>
      </c>
      <c r="E22" s="12">
        <v>151</v>
      </c>
      <c r="F22" s="12">
        <v>265</v>
      </c>
      <c r="G22" s="12">
        <v>113</v>
      </c>
      <c r="H22" s="12">
        <v>276</v>
      </c>
      <c r="I22" s="12">
        <v>331</v>
      </c>
      <c r="J22" s="12">
        <v>54</v>
      </c>
      <c r="K22" s="12">
        <v>129</v>
      </c>
      <c r="L22" s="12">
        <v>98</v>
      </c>
      <c r="M22" s="12">
        <v>100</v>
      </c>
      <c r="N22" s="12">
        <v>149</v>
      </c>
      <c r="O22" s="12">
        <v>152</v>
      </c>
      <c r="P22" s="12">
        <v>95</v>
      </c>
      <c r="Q22" s="12">
        <v>119</v>
      </c>
      <c r="R22" s="12">
        <v>56</v>
      </c>
      <c r="S22" s="12">
        <v>156</v>
      </c>
      <c r="T22" s="12">
        <v>194</v>
      </c>
      <c r="U22" s="12">
        <v>76</v>
      </c>
      <c r="V22" s="12">
        <v>153</v>
      </c>
      <c r="W22" s="12">
        <v>96</v>
      </c>
      <c r="X22" s="12">
        <v>172</v>
      </c>
      <c r="Y22" s="12">
        <v>200</v>
      </c>
      <c r="Z22" s="12">
        <v>107</v>
      </c>
      <c r="AA22" s="12">
        <v>245</v>
      </c>
      <c r="AB22" s="12">
        <v>82</v>
      </c>
      <c r="AC22" s="12">
        <v>141</v>
      </c>
      <c r="AD22" s="12">
        <v>175</v>
      </c>
      <c r="AE22" s="12">
        <v>155</v>
      </c>
      <c r="AF22" s="12">
        <v>142</v>
      </c>
    </row>
    <row r="23" spans="1:32" ht="21.5" x14ac:dyDescent="0.35">
      <c r="A23" s="31"/>
      <c r="B23" s="13" t="s">
        <v>776</v>
      </c>
      <c r="C23" s="14">
        <v>0.16</v>
      </c>
      <c r="D23" s="14">
        <v>0.21</v>
      </c>
      <c r="E23" s="14">
        <v>0.14000000000000001</v>
      </c>
      <c r="F23" s="14">
        <v>0.26</v>
      </c>
      <c r="G23" s="14">
        <v>0.11</v>
      </c>
      <c r="H23" s="14">
        <v>0.22</v>
      </c>
      <c r="I23" s="14">
        <v>0.22</v>
      </c>
      <c r="J23" s="14">
        <v>0.18</v>
      </c>
      <c r="K23" s="14">
        <v>0.13</v>
      </c>
      <c r="L23" s="14">
        <v>0.1</v>
      </c>
      <c r="M23" s="14">
        <v>0.1</v>
      </c>
      <c r="N23" s="14">
        <v>0.15</v>
      </c>
      <c r="O23" s="14">
        <v>0.15</v>
      </c>
      <c r="P23" s="14">
        <v>0.09</v>
      </c>
      <c r="Q23" s="14">
        <v>0.12</v>
      </c>
      <c r="R23" s="14">
        <v>0.11</v>
      </c>
      <c r="S23" s="14">
        <v>0.15</v>
      </c>
      <c r="T23" s="14">
        <v>0.19</v>
      </c>
      <c r="U23" s="14">
        <v>0.15</v>
      </c>
      <c r="V23" s="14">
        <v>0.15</v>
      </c>
      <c r="W23" s="14">
        <v>0.19</v>
      </c>
      <c r="X23" s="14">
        <v>0.17</v>
      </c>
      <c r="Y23" s="14">
        <v>0.2</v>
      </c>
      <c r="Z23" s="14">
        <v>0.11</v>
      </c>
      <c r="AA23" s="14">
        <v>0.24</v>
      </c>
      <c r="AB23" s="14">
        <v>0.08</v>
      </c>
      <c r="AC23" s="14">
        <v>0.14000000000000001</v>
      </c>
      <c r="AD23" s="14">
        <v>0.17</v>
      </c>
      <c r="AE23" s="14">
        <v>0.15</v>
      </c>
      <c r="AF23" s="14">
        <v>0.14000000000000001</v>
      </c>
    </row>
    <row r="24" spans="1:32" ht="51.5" x14ac:dyDescent="0.35">
      <c r="A24" s="31"/>
      <c r="B24" s="11" t="s">
        <v>777</v>
      </c>
      <c r="C24" s="12">
        <v>1112</v>
      </c>
      <c r="D24" s="12">
        <v>47</v>
      </c>
      <c r="E24" s="12">
        <v>35</v>
      </c>
      <c r="F24" s="12">
        <v>36</v>
      </c>
      <c r="G24" s="12">
        <v>16</v>
      </c>
      <c r="H24" s="12">
        <v>26</v>
      </c>
      <c r="I24" s="12">
        <v>31</v>
      </c>
      <c r="J24" s="12">
        <v>6</v>
      </c>
      <c r="K24" s="12">
        <v>36</v>
      </c>
      <c r="L24" s="12">
        <v>21</v>
      </c>
      <c r="M24" s="12">
        <v>44</v>
      </c>
      <c r="N24" s="12">
        <v>38</v>
      </c>
      <c r="O24" s="12">
        <v>33</v>
      </c>
      <c r="P24" s="12">
        <v>48</v>
      </c>
      <c r="Q24" s="12">
        <v>73</v>
      </c>
      <c r="R24" s="12">
        <v>14</v>
      </c>
      <c r="S24" s="12">
        <v>33</v>
      </c>
      <c r="T24" s="12">
        <v>27</v>
      </c>
      <c r="U24" s="12">
        <v>17</v>
      </c>
      <c r="V24" s="12">
        <v>87</v>
      </c>
      <c r="W24" s="12">
        <v>37</v>
      </c>
      <c r="X24" s="12">
        <v>41</v>
      </c>
      <c r="Y24" s="12">
        <v>32</v>
      </c>
      <c r="Z24" s="12">
        <v>70</v>
      </c>
      <c r="AA24" s="12">
        <v>30</v>
      </c>
      <c r="AB24" s="12">
        <v>78</v>
      </c>
      <c r="AC24" s="12">
        <v>48</v>
      </c>
      <c r="AD24" s="12">
        <v>45</v>
      </c>
      <c r="AE24" s="12">
        <v>11</v>
      </c>
      <c r="AF24" s="12">
        <v>12</v>
      </c>
    </row>
    <row r="25" spans="1:32" ht="41.5" x14ac:dyDescent="0.35">
      <c r="A25" s="31"/>
      <c r="B25" s="13" t="s">
        <v>778</v>
      </c>
      <c r="C25" s="14">
        <v>0.04</v>
      </c>
      <c r="D25" s="14">
        <v>0.05</v>
      </c>
      <c r="E25" s="14">
        <v>0.03</v>
      </c>
      <c r="F25" s="14">
        <v>0.04</v>
      </c>
      <c r="G25" s="14">
        <v>0.02</v>
      </c>
      <c r="H25" s="14">
        <v>0.02</v>
      </c>
      <c r="I25" s="14">
        <v>0.02</v>
      </c>
      <c r="J25" s="14">
        <v>0.02</v>
      </c>
      <c r="K25" s="14">
        <v>0.04</v>
      </c>
      <c r="L25" s="14">
        <v>0.02</v>
      </c>
      <c r="M25" s="14">
        <v>0.04</v>
      </c>
      <c r="N25" s="14">
        <v>0.04</v>
      </c>
      <c r="O25" s="14">
        <v>0.03</v>
      </c>
      <c r="P25" s="14">
        <v>0.05</v>
      </c>
      <c r="Q25" s="14">
        <v>7.0000000000000007E-2</v>
      </c>
      <c r="R25" s="14">
        <v>0.03</v>
      </c>
      <c r="S25" s="14">
        <v>0.03</v>
      </c>
      <c r="T25" s="14">
        <v>0.03</v>
      </c>
      <c r="U25" s="14">
        <v>0.03</v>
      </c>
      <c r="V25" s="14">
        <v>0.08</v>
      </c>
      <c r="W25" s="14">
        <v>7.0000000000000007E-2</v>
      </c>
      <c r="X25" s="14">
        <v>0.04</v>
      </c>
      <c r="Y25" s="14">
        <v>0.03</v>
      </c>
      <c r="Z25" s="14">
        <v>7.0000000000000007E-2</v>
      </c>
      <c r="AA25" s="14">
        <v>0.03</v>
      </c>
      <c r="AB25" s="14">
        <v>7.0000000000000007E-2</v>
      </c>
      <c r="AC25" s="14">
        <v>0.05</v>
      </c>
      <c r="AD25" s="14">
        <v>0.05</v>
      </c>
      <c r="AE25" s="14">
        <v>0.01</v>
      </c>
      <c r="AF25" s="14">
        <v>0.01</v>
      </c>
    </row>
    <row r="26" spans="1:32" ht="51.5" x14ac:dyDescent="0.35">
      <c r="A26" s="31"/>
      <c r="B26" s="11" t="s">
        <v>779</v>
      </c>
      <c r="C26" s="12">
        <v>1961</v>
      </c>
      <c r="D26" s="12">
        <v>74</v>
      </c>
      <c r="E26" s="12">
        <v>65</v>
      </c>
      <c r="F26" s="12">
        <v>72</v>
      </c>
      <c r="G26" s="12">
        <v>86</v>
      </c>
      <c r="H26" s="12">
        <v>82</v>
      </c>
      <c r="I26" s="12">
        <v>100</v>
      </c>
      <c r="J26" s="12">
        <v>18</v>
      </c>
      <c r="K26" s="12">
        <v>88</v>
      </c>
      <c r="L26" s="12">
        <v>61</v>
      </c>
      <c r="M26" s="12">
        <v>88</v>
      </c>
      <c r="N26" s="12">
        <v>42</v>
      </c>
      <c r="O26" s="12">
        <v>81</v>
      </c>
      <c r="P26" s="12">
        <v>63</v>
      </c>
      <c r="Q26" s="12">
        <v>88</v>
      </c>
      <c r="R26" s="12">
        <v>48</v>
      </c>
      <c r="S26" s="12">
        <v>71</v>
      </c>
      <c r="T26" s="12">
        <v>54</v>
      </c>
      <c r="U26" s="12">
        <v>31</v>
      </c>
      <c r="V26" s="12">
        <v>107</v>
      </c>
      <c r="W26" s="12">
        <v>53</v>
      </c>
      <c r="X26" s="12">
        <v>87</v>
      </c>
      <c r="Y26" s="12">
        <v>79</v>
      </c>
      <c r="Z26" s="12">
        <v>100</v>
      </c>
      <c r="AA26" s="12">
        <v>40</v>
      </c>
      <c r="AB26" s="12">
        <v>70</v>
      </c>
      <c r="AC26" s="12">
        <v>99</v>
      </c>
      <c r="AD26" s="12">
        <v>118</v>
      </c>
      <c r="AE26" s="12">
        <v>99</v>
      </c>
      <c r="AF26" s="12">
        <v>79</v>
      </c>
    </row>
    <row r="27" spans="1:32" ht="41.5" x14ac:dyDescent="0.35">
      <c r="A27" s="31"/>
      <c r="B27" s="13" t="s">
        <v>780</v>
      </c>
      <c r="C27" s="14">
        <v>0.08</v>
      </c>
      <c r="D27" s="14">
        <v>7.0000000000000007E-2</v>
      </c>
      <c r="E27" s="14">
        <v>0.06</v>
      </c>
      <c r="F27" s="14">
        <v>7.0000000000000007E-2</v>
      </c>
      <c r="G27" s="14">
        <v>0.09</v>
      </c>
      <c r="H27" s="14">
        <v>7.0000000000000007E-2</v>
      </c>
      <c r="I27" s="14">
        <v>7.0000000000000007E-2</v>
      </c>
      <c r="J27" s="14">
        <v>0.06</v>
      </c>
      <c r="K27" s="14">
        <v>0.09</v>
      </c>
      <c r="L27" s="14">
        <v>0.06</v>
      </c>
      <c r="M27" s="14">
        <v>0.09</v>
      </c>
      <c r="N27" s="14">
        <v>0.04</v>
      </c>
      <c r="O27" s="14">
        <v>0.08</v>
      </c>
      <c r="P27" s="14">
        <v>0.06</v>
      </c>
      <c r="Q27" s="14">
        <v>0.09</v>
      </c>
      <c r="R27" s="14">
        <v>0.1</v>
      </c>
      <c r="S27" s="14">
        <v>7.0000000000000007E-2</v>
      </c>
      <c r="T27" s="14">
        <v>0.05</v>
      </c>
      <c r="U27" s="14">
        <v>0.06</v>
      </c>
      <c r="V27" s="14">
        <v>0.1</v>
      </c>
      <c r="W27" s="14">
        <v>0.11</v>
      </c>
      <c r="X27" s="14">
        <v>0.09</v>
      </c>
      <c r="Y27" s="14">
        <v>0.08</v>
      </c>
      <c r="Z27" s="14">
        <v>0.1</v>
      </c>
      <c r="AA27" s="14">
        <v>0.04</v>
      </c>
      <c r="AB27" s="14">
        <v>7.0000000000000007E-2</v>
      </c>
      <c r="AC27" s="14">
        <v>0.1</v>
      </c>
      <c r="AD27" s="14">
        <v>0.12</v>
      </c>
      <c r="AE27" s="14">
        <v>0.1</v>
      </c>
      <c r="AF27" s="14">
        <v>0.08</v>
      </c>
    </row>
    <row r="28" spans="1:32" ht="21.5" x14ac:dyDescent="0.35">
      <c r="A28" s="31"/>
      <c r="B28" s="11" t="s">
        <v>781</v>
      </c>
      <c r="C28" s="12">
        <v>1474</v>
      </c>
      <c r="D28" s="12">
        <v>50</v>
      </c>
      <c r="E28" s="12">
        <v>28</v>
      </c>
      <c r="F28" s="12">
        <v>55</v>
      </c>
      <c r="G28" s="12">
        <v>51</v>
      </c>
      <c r="H28" s="12">
        <v>64</v>
      </c>
      <c r="I28" s="12">
        <v>81</v>
      </c>
      <c r="J28" s="12">
        <v>17</v>
      </c>
      <c r="K28" s="12">
        <v>35</v>
      </c>
      <c r="L28" s="12">
        <v>43</v>
      </c>
      <c r="M28" s="12">
        <v>81</v>
      </c>
      <c r="N28" s="12">
        <v>60</v>
      </c>
      <c r="O28" s="12">
        <v>66</v>
      </c>
      <c r="P28" s="12">
        <v>60</v>
      </c>
      <c r="Q28" s="12">
        <v>76</v>
      </c>
      <c r="R28" s="12">
        <v>34</v>
      </c>
      <c r="S28" s="12">
        <v>37</v>
      </c>
      <c r="T28" s="12">
        <v>37</v>
      </c>
      <c r="U28" s="12">
        <v>35</v>
      </c>
      <c r="V28" s="12">
        <v>62</v>
      </c>
      <c r="W28" s="12">
        <v>17</v>
      </c>
      <c r="X28" s="12">
        <v>45</v>
      </c>
      <c r="Y28" s="12">
        <v>42</v>
      </c>
      <c r="Z28" s="12">
        <v>54</v>
      </c>
      <c r="AA28" s="12">
        <v>25</v>
      </c>
      <c r="AB28" s="12">
        <v>48</v>
      </c>
      <c r="AC28" s="12">
        <v>69</v>
      </c>
      <c r="AD28" s="12">
        <v>55</v>
      </c>
      <c r="AE28" s="12">
        <v>15</v>
      </c>
      <c r="AF28" s="12">
        <v>18</v>
      </c>
    </row>
    <row r="29" spans="1:32" ht="21.5" x14ac:dyDescent="0.35">
      <c r="A29" s="31"/>
      <c r="B29" s="13" t="s">
        <v>782</v>
      </c>
      <c r="C29" s="14">
        <v>0.06</v>
      </c>
      <c r="D29" s="14">
        <v>0.05</v>
      </c>
      <c r="E29" s="14">
        <v>0.03</v>
      </c>
      <c r="F29" s="14">
        <v>0.05</v>
      </c>
      <c r="G29" s="14">
        <v>0.05</v>
      </c>
      <c r="H29" s="14">
        <v>0.05</v>
      </c>
      <c r="I29" s="14">
        <v>0.05</v>
      </c>
      <c r="J29" s="14">
        <v>0.06</v>
      </c>
      <c r="K29" s="14">
        <v>0.03</v>
      </c>
      <c r="L29" s="14">
        <v>0.04</v>
      </c>
      <c r="M29" s="14">
        <v>0.08</v>
      </c>
      <c r="N29" s="14">
        <v>0.06</v>
      </c>
      <c r="O29" s="14">
        <v>7.0000000000000007E-2</v>
      </c>
      <c r="P29" s="14">
        <v>0.06</v>
      </c>
      <c r="Q29" s="14">
        <v>7.0000000000000007E-2</v>
      </c>
      <c r="R29" s="14">
        <v>7.0000000000000007E-2</v>
      </c>
      <c r="S29" s="14">
        <v>0.04</v>
      </c>
      <c r="T29" s="14">
        <v>0.04</v>
      </c>
      <c r="U29" s="14">
        <v>7.0000000000000007E-2</v>
      </c>
      <c r="V29" s="14">
        <v>0.06</v>
      </c>
      <c r="W29" s="14">
        <v>0.03</v>
      </c>
      <c r="X29" s="14">
        <v>0.04</v>
      </c>
      <c r="Y29" s="14">
        <v>0.04</v>
      </c>
      <c r="Z29" s="14">
        <v>0.05</v>
      </c>
      <c r="AA29" s="14">
        <v>0.02</v>
      </c>
      <c r="AB29" s="14">
        <v>0.05</v>
      </c>
      <c r="AC29" s="14">
        <v>7.0000000000000007E-2</v>
      </c>
      <c r="AD29" s="14">
        <v>0.06</v>
      </c>
      <c r="AE29" s="14">
        <v>0.01</v>
      </c>
      <c r="AF29" s="14">
        <v>0.02</v>
      </c>
    </row>
    <row r="30" spans="1:32" ht="51.5" x14ac:dyDescent="0.35">
      <c r="A30" s="31"/>
      <c r="B30" s="11" t="s">
        <v>783</v>
      </c>
      <c r="C30" s="12">
        <v>2210</v>
      </c>
      <c r="D30" s="12">
        <v>81</v>
      </c>
      <c r="E30" s="12">
        <v>82</v>
      </c>
      <c r="F30" s="12">
        <v>62</v>
      </c>
      <c r="G30" s="12">
        <v>216</v>
      </c>
      <c r="H30" s="12">
        <v>91</v>
      </c>
      <c r="I30" s="12">
        <v>125</v>
      </c>
      <c r="J30" s="12">
        <v>35</v>
      </c>
      <c r="K30" s="12">
        <v>102</v>
      </c>
      <c r="L30" s="12">
        <v>157</v>
      </c>
      <c r="M30" s="12">
        <v>116</v>
      </c>
      <c r="N30" s="12">
        <v>44</v>
      </c>
      <c r="O30" s="12">
        <v>61</v>
      </c>
      <c r="P30" s="12">
        <v>70</v>
      </c>
      <c r="Q30" s="12">
        <v>89</v>
      </c>
      <c r="R30" s="12">
        <v>43</v>
      </c>
      <c r="S30" s="12">
        <v>63</v>
      </c>
      <c r="T30" s="12">
        <v>79</v>
      </c>
      <c r="U30" s="12">
        <v>28</v>
      </c>
      <c r="V30" s="12">
        <v>88</v>
      </c>
      <c r="W30" s="12">
        <v>19</v>
      </c>
      <c r="X30" s="12">
        <v>112</v>
      </c>
      <c r="Y30" s="12">
        <v>113</v>
      </c>
      <c r="Z30" s="12">
        <v>92</v>
      </c>
      <c r="AA30" s="12">
        <v>54</v>
      </c>
      <c r="AB30" s="12">
        <v>112</v>
      </c>
      <c r="AC30" s="12">
        <v>109</v>
      </c>
      <c r="AD30" s="12">
        <v>85</v>
      </c>
      <c r="AE30" s="12">
        <v>148</v>
      </c>
      <c r="AF30" s="12">
        <v>177</v>
      </c>
    </row>
    <row r="31" spans="1:32" ht="41.5" x14ac:dyDescent="0.35">
      <c r="A31" s="31"/>
      <c r="B31" s="13" t="s">
        <v>784</v>
      </c>
      <c r="C31" s="14">
        <v>0.08</v>
      </c>
      <c r="D31" s="14">
        <v>0.08</v>
      </c>
      <c r="E31" s="14">
        <v>0.08</v>
      </c>
      <c r="F31" s="14">
        <v>0.06</v>
      </c>
      <c r="G31" s="14">
        <v>0.21</v>
      </c>
      <c r="H31" s="14">
        <v>7.0000000000000007E-2</v>
      </c>
      <c r="I31" s="14">
        <v>0.08</v>
      </c>
      <c r="J31" s="14">
        <v>0.12</v>
      </c>
      <c r="K31" s="14">
        <v>0.1</v>
      </c>
      <c r="L31" s="14">
        <v>0.16</v>
      </c>
      <c r="M31" s="14">
        <v>0.12</v>
      </c>
      <c r="N31" s="14">
        <v>0.04</v>
      </c>
      <c r="O31" s="14">
        <v>0.06</v>
      </c>
      <c r="P31" s="14">
        <v>7.0000000000000007E-2</v>
      </c>
      <c r="Q31" s="14">
        <v>0.09</v>
      </c>
      <c r="R31" s="14">
        <v>0.09</v>
      </c>
      <c r="S31" s="14">
        <v>0.06</v>
      </c>
      <c r="T31" s="14">
        <v>0.08</v>
      </c>
      <c r="U31" s="14">
        <v>0.06</v>
      </c>
      <c r="V31" s="14">
        <v>0.09</v>
      </c>
      <c r="W31" s="14">
        <v>0.04</v>
      </c>
      <c r="X31" s="14">
        <v>0.11</v>
      </c>
      <c r="Y31" s="14">
        <v>0.11</v>
      </c>
      <c r="Z31" s="14">
        <v>0.09</v>
      </c>
      <c r="AA31" s="14">
        <v>0.05</v>
      </c>
      <c r="AB31" s="14">
        <v>0.11</v>
      </c>
      <c r="AC31" s="14">
        <v>0.11</v>
      </c>
      <c r="AD31" s="14">
        <v>0.08</v>
      </c>
      <c r="AE31" s="14">
        <v>0.15</v>
      </c>
      <c r="AF31" s="14">
        <v>0.17</v>
      </c>
    </row>
    <row r="32" spans="1:32" x14ac:dyDescent="0.35">
      <c r="A32" s="31"/>
      <c r="B32" s="11" t="s">
        <v>407</v>
      </c>
      <c r="C32" s="12">
        <v>80</v>
      </c>
      <c r="D32" s="12">
        <v>0</v>
      </c>
      <c r="E32" s="12">
        <v>0</v>
      </c>
      <c r="F32" s="12">
        <v>0</v>
      </c>
      <c r="G32" s="12">
        <v>3</v>
      </c>
      <c r="H32" s="12">
        <v>3</v>
      </c>
      <c r="I32" s="12">
        <v>4</v>
      </c>
      <c r="J32" s="12">
        <v>1</v>
      </c>
      <c r="K32" s="12">
        <v>6</v>
      </c>
      <c r="L32" s="12">
        <v>2</v>
      </c>
      <c r="M32" s="12">
        <v>2</v>
      </c>
      <c r="N32" s="12">
        <v>3</v>
      </c>
      <c r="O32" s="12">
        <v>11</v>
      </c>
      <c r="P32" s="12">
        <v>2</v>
      </c>
      <c r="Q32" s="12">
        <v>0</v>
      </c>
      <c r="R32" s="12">
        <v>0</v>
      </c>
      <c r="S32" s="12">
        <v>7</v>
      </c>
      <c r="T32" s="12">
        <v>4</v>
      </c>
      <c r="U32" s="12">
        <v>2</v>
      </c>
      <c r="V32" s="12">
        <v>0</v>
      </c>
      <c r="W32" s="12">
        <v>0</v>
      </c>
      <c r="X32" s="12">
        <v>2</v>
      </c>
      <c r="Y32" s="12">
        <v>4</v>
      </c>
      <c r="Z32" s="12">
        <v>0</v>
      </c>
      <c r="AA32" s="12">
        <v>1</v>
      </c>
      <c r="AB32" s="12">
        <v>3</v>
      </c>
      <c r="AC32" s="12">
        <v>3</v>
      </c>
      <c r="AD32" s="12">
        <v>0</v>
      </c>
      <c r="AE32" s="12">
        <v>3</v>
      </c>
      <c r="AF32" s="12">
        <v>5</v>
      </c>
    </row>
    <row r="33" spans="1:32" x14ac:dyDescent="0.35">
      <c r="A33" s="31"/>
      <c r="B33" s="13" t="s">
        <v>408</v>
      </c>
      <c r="C33" s="15" t="s">
        <v>333</v>
      </c>
      <c r="D33" s="15" t="s">
        <v>333</v>
      </c>
      <c r="E33" s="15" t="s">
        <v>333</v>
      </c>
      <c r="F33" s="15" t="s">
        <v>333</v>
      </c>
      <c r="G33" s="15" t="s">
        <v>333</v>
      </c>
      <c r="H33" s="15" t="s">
        <v>333</v>
      </c>
      <c r="I33" s="15" t="s">
        <v>333</v>
      </c>
      <c r="J33" s="14">
        <v>0.01</v>
      </c>
      <c r="K33" s="14">
        <v>0.01</v>
      </c>
      <c r="L33" s="15" t="s">
        <v>333</v>
      </c>
      <c r="M33" s="15" t="s">
        <v>333</v>
      </c>
      <c r="N33" s="15" t="s">
        <v>333</v>
      </c>
      <c r="O33" s="14">
        <v>0.01</v>
      </c>
      <c r="P33" s="15" t="s">
        <v>333</v>
      </c>
      <c r="Q33" s="15" t="s">
        <v>333</v>
      </c>
      <c r="R33" s="15" t="s">
        <v>333</v>
      </c>
      <c r="S33" s="14">
        <v>0.01</v>
      </c>
      <c r="T33" s="15" t="s">
        <v>333</v>
      </c>
      <c r="U33" s="15" t="s">
        <v>333</v>
      </c>
      <c r="V33" s="15" t="s">
        <v>333</v>
      </c>
      <c r="W33" s="15" t="s">
        <v>333</v>
      </c>
      <c r="X33" s="15" t="s">
        <v>333</v>
      </c>
      <c r="Y33" s="15" t="s">
        <v>333</v>
      </c>
      <c r="Z33" s="15" t="s">
        <v>333</v>
      </c>
      <c r="AA33" s="15" t="s">
        <v>333</v>
      </c>
      <c r="AB33" s="15" t="s">
        <v>333</v>
      </c>
      <c r="AC33" s="15" t="s">
        <v>333</v>
      </c>
      <c r="AD33" s="15" t="s">
        <v>333</v>
      </c>
      <c r="AE33" s="15" t="s">
        <v>333</v>
      </c>
      <c r="AF33" s="14">
        <v>0.01</v>
      </c>
    </row>
    <row r="34" spans="1:32" ht="81.5" x14ac:dyDescent="0.35">
      <c r="A34" s="31"/>
      <c r="B34" s="11" t="s">
        <v>785</v>
      </c>
      <c r="C34" s="12">
        <v>626</v>
      </c>
      <c r="D34" s="12">
        <v>6</v>
      </c>
      <c r="E34" s="12">
        <v>81</v>
      </c>
      <c r="F34" s="12">
        <v>23</v>
      </c>
      <c r="G34" s="12">
        <v>2</v>
      </c>
      <c r="H34" s="12">
        <v>25</v>
      </c>
      <c r="I34" s="12">
        <v>36</v>
      </c>
      <c r="J34" s="12">
        <v>12</v>
      </c>
      <c r="K34" s="12">
        <v>40</v>
      </c>
      <c r="L34" s="12">
        <v>7</v>
      </c>
      <c r="M34" s="12">
        <v>52</v>
      </c>
      <c r="N34" s="12">
        <v>30</v>
      </c>
      <c r="O34" s="12">
        <v>22</v>
      </c>
      <c r="P34" s="12">
        <v>23</v>
      </c>
      <c r="Q34" s="12">
        <v>20</v>
      </c>
      <c r="R34" s="12">
        <v>31</v>
      </c>
      <c r="S34" s="12">
        <v>27</v>
      </c>
      <c r="T34" s="12">
        <v>29</v>
      </c>
      <c r="U34" s="12">
        <v>1</v>
      </c>
      <c r="V34" s="12">
        <v>30</v>
      </c>
      <c r="W34" s="12">
        <v>1</v>
      </c>
      <c r="X34" s="12">
        <v>6</v>
      </c>
      <c r="Y34" s="12">
        <v>37</v>
      </c>
      <c r="Z34" s="12">
        <v>24</v>
      </c>
      <c r="AA34" s="12">
        <v>20</v>
      </c>
      <c r="AB34" s="12">
        <v>47</v>
      </c>
      <c r="AC34" s="12">
        <v>17</v>
      </c>
      <c r="AD34" s="12">
        <v>8</v>
      </c>
      <c r="AE34" s="12">
        <v>8</v>
      </c>
      <c r="AF34" s="12">
        <v>6</v>
      </c>
    </row>
    <row r="35" spans="1:32" ht="51.5" x14ac:dyDescent="0.35">
      <c r="A35" s="31"/>
      <c r="B35" s="13" t="s">
        <v>786</v>
      </c>
      <c r="C35" s="14">
        <v>0.02</v>
      </c>
      <c r="D35" s="14">
        <v>0.01</v>
      </c>
      <c r="E35" s="14">
        <v>0.08</v>
      </c>
      <c r="F35" s="14">
        <v>0.02</v>
      </c>
      <c r="G35" s="15" t="s">
        <v>333</v>
      </c>
      <c r="H35" s="14">
        <v>0.02</v>
      </c>
      <c r="I35" s="14">
        <v>0.02</v>
      </c>
      <c r="J35" s="14">
        <v>0.04</v>
      </c>
      <c r="K35" s="14">
        <v>0.04</v>
      </c>
      <c r="L35" s="14">
        <v>0.01</v>
      </c>
      <c r="M35" s="14">
        <v>0.05</v>
      </c>
      <c r="N35" s="14">
        <v>0.03</v>
      </c>
      <c r="O35" s="14">
        <v>0.02</v>
      </c>
      <c r="P35" s="14">
        <v>0.02</v>
      </c>
      <c r="Q35" s="14">
        <v>0.02</v>
      </c>
      <c r="R35" s="14">
        <v>0.06</v>
      </c>
      <c r="S35" s="14">
        <v>0.03</v>
      </c>
      <c r="T35" s="14">
        <v>0.03</v>
      </c>
      <c r="U35" s="15" t="s">
        <v>333</v>
      </c>
      <c r="V35" s="14">
        <v>0.03</v>
      </c>
      <c r="W35" s="15" t="s">
        <v>333</v>
      </c>
      <c r="X35" s="14">
        <v>0.01</v>
      </c>
      <c r="Y35" s="14">
        <v>0.04</v>
      </c>
      <c r="Z35" s="14">
        <v>0.02</v>
      </c>
      <c r="AA35" s="14">
        <v>0.02</v>
      </c>
      <c r="AB35" s="14">
        <v>0.04</v>
      </c>
      <c r="AC35" s="14">
        <v>0.02</v>
      </c>
      <c r="AD35" s="14">
        <v>0.01</v>
      </c>
      <c r="AE35" s="14">
        <v>0.01</v>
      </c>
      <c r="AF35" s="14">
        <v>0.01</v>
      </c>
    </row>
    <row r="36" spans="1:32" x14ac:dyDescent="0.35">
      <c r="A36" s="31"/>
      <c r="B36" s="11" t="s">
        <v>344</v>
      </c>
      <c r="C36" s="12">
        <v>1655</v>
      </c>
      <c r="D36" s="12">
        <v>12</v>
      </c>
      <c r="E36" s="12">
        <v>70</v>
      </c>
      <c r="F36" s="12">
        <v>18</v>
      </c>
      <c r="G36" s="12">
        <v>59</v>
      </c>
      <c r="H36" s="12">
        <v>93</v>
      </c>
      <c r="I36" s="12">
        <v>114</v>
      </c>
      <c r="J36" s="12">
        <v>21</v>
      </c>
      <c r="K36" s="12">
        <v>86</v>
      </c>
      <c r="L36" s="12">
        <v>50</v>
      </c>
      <c r="M36" s="12">
        <v>36</v>
      </c>
      <c r="N36" s="12">
        <v>86</v>
      </c>
      <c r="O36" s="12">
        <v>113</v>
      </c>
      <c r="P36" s="12">
        <v>38</v>
      </c>
      <c r="Q36" s="12">
        <v>41</v>
      </c>
      <c r="R36" s="12">
        <v>38</v>
      </c>
      <c r="S36" s="12">
        <v>105</v>
      </c>
      <c r="T36" s="12">
        <v>70</v>
      </c>
      <c r="U36" s="12">
        <v>23</v>
      </c>
      <c r="V36" s="12">
        <v>21</v>
      </c>
      <c r="W36" s="12">
        <v>5</v>
      </c>
      <c r="X36" s="12">
        <v>16</v>
      </c>
      <c r="Y36" s="12">
        <v>47</v>
      </c>
      <c r="Z36" s="12">
        <v>66</v>
      </c>
      <c r="AA36" s="12">
        <v>48</v>
      </c>
      <c r="AB36" s="12">
        <v>46</v>
      </c>
      <c r="AC36" s="12">
        <v>37</v>
      </c>
      <c r="AD36" s="12">
        <v>15</v>
      </c>
      <c r="AE36" s="12">
        <v>53</v>
      </c>
      <c r="AF36" s="12">
        <v>15</v>
      </c>
    </row>
    <row r="37" spans="1:32" x14ac:dyDescent="0.35">
      <c r="A37" s="31"/>
      <c r="B37" s="13" t="s">
        <v>357</v>
      </c>
      <c r="C37" s="14">
        <v>0.06</v>
      </c>
      <c r="D37" s="14">
        <v>0.01</v>
      </c>
      <c r="E37" s="14">
        <v>7.0000000000000007E-2</v>
      </c>
      <c r="F37" s="14">
        <v>0.02</v>
      </c>
      <c r="G37" s="14">
        <v>0.06</v>
      </c>
      <c r="H37" s="14">
        <v>0.08</v>
      </c>
      <c r="I37" s="14">
        <v>0.08</v>
      </c>
      <c r="J37" s="14">
        <v>7.0000000000000007E-2</v>
      </c>
      <c r="K37" s="14">
        <v>0.08</v>
      </c>
      <c r="L37" s="14">
        <v>0.05</v>
      </c>
      <c r="M37" s="14">
        <v>0.04</v>
      </c>
      <c r="N37" s="14">
        <v>0.09</v>
      </c>
      <c r="O37" s="14">
        <v>0.11</v>
      </c>
      <c r="P37" s="14">
        <v>0.04</v>
      </c>
      <c r="Q37" s="14">
        <v>0.04</v>
      </c>
      <c r="R37" s="14">
        <v>7.0000000000000007E-2</v>
      </c>
      <c r="S37" s="14">
        <v>0.1</v>
      </c>
      <c r="T37" s="14">
        <v>7.0000000000000007E-2</v>
      </c>
      <c r="U37" s="14">
        <v>0.05</v>
      </c>
      <c r="V37" s="14">
        <v>0.02</v>
      </c>
      <c r="W37" s="14">
        <v>0.01</v>
      </c>
      <c r="X37" s="14">
        <v>0.02</v>
      </c>
      <c r="Y37" s="14">
        <v>0.05</v>
      </c>
      <c r="Z37" s="14">
        <v>7.0000000000000007E-2</v>
      </c>
      <c r="AA37" s="14">
        <v>0.05</v>
      </c>
      <c r="AB37" s="14">
        <v>0.04</v>
      </c>
      <c r="AC37" s="14">
        <v>0.03</v>
      </c>
      <c r="AD37" s="14">
        <v>0.01</v>
      </c>
      <c r="AE37" s="14">
        <v>0.05</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107</v>
      </c>
      <c r="C3" s="30"/>
      <c r="D3" s="30"/>
      <c r="E3" s="30"/>
      <c r="F3" s="30"/>
      <c r="H3" s="30" t="s">
        <v>108</v>
      </c>
      <c r="I3" s="30"/>
      <c r="J3" s="30"/>
      <c r="K3" s="30"/>
      <c r="L3" s="30"/>
    </row>
    <row r="4" spans="1:32" ht="27" customHeight="1" x14ac:dyDescent="0.35">
      <c r="B4" s="30"/>
      <c r="C4" s="30"/>
      <c r="D4" s="30"/>
      <c r="E4" s="30"/>
      <c r="F4" s="30"/>
      <c r="H4" s="30"/>
      <c r="I4" s="30"/>
      <c r="J4" s="30"/>
      <c r="K4" s="30"/>
      <c r="L4" s="30"/>
    </row>
    <row r="5" spans="1:32" ht="12" customHeight="1" x14ac:dyDescent="0.35">
      <c r="B5" s="30" t="s">
        <v>787</v>
      </c>
      <c r="C5" s="30"/>
      <c r="D5" s="30"/>
      <c r="E5" s="30"/>
      <c r="F5" s="30"/>
      <c r="H5" s="30" t="s">
        <v>788</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24129</v>
      </c>
      <c r="D10" s="10">
        <v>1008</v>
      </c>
      <c r="E10" s="10">
        <v>888</v>
      </c>
      <c r="F10" s="10">
        <v>977</v>
      </c>
      <c r="G10" s="10">
        <v>955</v>
      </c>
      <c r="H10" s="10">
        <v>1114</v>
      </c>
      <c r="I10" s="10">
        <v>1380</v>
      </c>
      <c r="J10" s="10">
        <v>265</v>
      </c>
      <c r="K10" s="10">
        <v>883</v>
      </c>
      <c r="L10" s="10">
        <v>947</v>
      </c>
      <c r="M10" s="10">
        <v>916</v>
      </c>
      <c r="N10" s="10">
        <v>885</v>
      </c>
      <c r="O10" s="10">
        <v>865</v>
      </c>
      <c r="P10" s="10">
        <v>943</v>
      </c>
      <c r="Q10" s="10">
        <v>974</v>
      </c>
      <c r="R10" s="10">
        <v>432</v>
      </c>
      <c r="S10" s="10">
        <v>889</v>
      </c>
      <c r="T10" s="10">
        <v>918</v>
      </c>
      <c r="U10" s="10">
        <v>485</v>
      </c>
      <c r="V10" s="10">
        <v>963</v>
      </c>
      <c r="W10" s="10">
        <v>495</v>
      </c>
      <c r="X10" s="10">
        <v>987</v>
      </c>
      <c r="Y10" s="10">
        <v>919</v>
      </c>
      <c r="Z10" s="10">
        <v>929</v>
      </c>
      <c r="AA10" s="10">
        <v>962</v>
      </c>
      <c r="AB10" s="10">
        <v>962</v>
      </c>
      <c r="AC10" s="10">
        <v>959</v>
      </c>
      <c r="AD10" s="10">
        <v>982</v>
      </c>
      <c r="AE10" s="10">
        <v>946</v>
      </c>
      <c r="AF10" s="10">
        <v>999</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765</v>
      </c>
      <c r="C12" s="12">
        <v>5749</v>
      </c>
      <c r="D12" s="12">
        <v>238</v>
      </c>
      <c r="E12" s="12">
        <v>273</v>
      </c>
      <c r="F12" s="12">
        <v>326</v>
      </c>
      <c r="G12" s="12">
        <v>198</v>
      </c>
      <c r="H12" s="12">
        <v>197</v>
      </c>
      <c r="I12" s="12">
        <v>249</v>
      </c>
      <c r="J12" s="12">
        <v>52</v>
      </c>
      <c r="K12" s="12">
        <v>213</v>
      </c>
      <c r="L12" s="12">
        <v>225</v>
      </c>
      <c r="M12" s="12">
        <v>185</v>
      </c>
      <c r="N12" s="12">
        <v>259</v>
      </c>
      <c r="O12" s="12">
        <v>168</v>
      </c>
      <c r="P12" s="12">
        <v>250</v>
      </c>
      <c r="Q12" s="12">
        <v>324</v>
      </c>
      <c r="R12" s="12">
        <v>87</v>
      </c>
      <c r="S12" s="12">
        <v>168</v>
      </c>
      <c r="T12" s="12">
        <v>233</v>
      </c>
      <c r="U12" s="12">
        <v>101</v>
      </c>
      <c r="V12" s="12">
        <v>227</v>
      </c>
      <c r="W12" s="12">
        <v>150</v>
      </c>
      <c r="X12" s="12">
        <v>172</v>
      </c>
      <c r="Y12" s="12">
        <v>324</v>
      </c>
      <c r="Z12" s="12">
        <v>149</v>
      </c>
      <c r="AA12" s="12">
        <v>332</v>
      </c>
      <c r="AB12" s="12">
        <v>216</v>
      </c>
      <c r="AC12" s="12">
        <v>194</v>
      </c>
      <c r="AD12" s="12">
        <v>338</v>
      </c>
      <c r="AE12" s="12">
        <v>160</v>
      </c>
      <c r="AF12" s="12">
        <v>245</v>
      </c>
    </row>
    <row r="13" spans="1:32" x14ac:dyDescent="0.35">
      <c r="A13" s="31"/>
      <c r="B13" s="13" t="s">
        <v>766</v>
      </c>
      <c r="C13" s="14">
        <v>0.26</v>
      </c>
      <c r="D13" s="14">
        <v>0.26</v>
      </c>
      <c r="E13" s="14">
        <v>0.34</v>
      </c>
      <c r="F13" s="14">
        <v>0.37</v>
      </c>
      <c r="G13" s="14">
        <v>0.21</v>
      </c>
      <c r="H13" s="14">
        <v>0.18</v>
      </c>
      <c r="I13" s="14">
        <v>0.19</v>
      </c>
      <c r="J13" s="14">
        <v>0.2</v>
      </c>
      <c r="K13" s="14">
        <v>0.27</v>
      </c>
      <c r="L13" s="14">
        <v>0.26</v>
      </c>
      <c r="M13" s="14">
        <v>0.21</v>
      </c>
      <c r="N13" s="14">
        <v>0.31</v>
      </c>
      <c r="O13" s="14">
        <v>0.21</v>
      </c>
      <c r="P13" s="14">
        <v>0.28999999999999998</v>
      </c>
      <c r="Q13" s="14">
        <v>0.37</v>
      </c>
      <c r="R13" s="14">
        <v>0.22</v>
      </c>
      <c r="S13" s="14">
        <v>0.21</v>
      </c>
      <c r="T13" s="14">
        <v>0.27</v>
      </c>
      <c r="U13" s="14">
        <v>0.23</v>
      </c>
      <c r="V13" s="14">
        <v>0.25</v>
      </c>
      <c r="W13" s="14">
        <v>0.33</v>
      </c>
      <c r="X13" s="14">
        <v>0.18</v>
      </c>
      <c r="Y13" s="14">
        <v>0.37</v>
      </c>
      <c r="Z13" s="14">
        <v>0.18</v>
      </c>
      <c r="AA13" s="14">
        <v>0.37</v>
      </c>
      <c r="AB13" s="14">
        <v>0.25</v>
      </c>
      <c r="AC13" s="14">
        <v>0.22</v>
      </c>
      <c r="AD13" s="14">
        <v>0.36</v>
      </c>
      <c r="AE13" s="14">
        <v>0.17</v>
      </c>
      <c r="AF13" s="14">
        <v>0.26</v>
      </c>
    </row>
    <row r="14" spans="1:32" ht="61.5" x14ac:dyDescent="0.35">
      <c r="A14" s="31"/>
      <c r="B14" s="11" t="s">
        <v>767</v>
      </c>
      <c r="C14" s="12">
        <v>6917</v>
      </c>
      <c r="D14" s="12">
        <v>225</v>
      </c>
      <c r="E14" s="12">
        <v>198</v>
      </c>
      <c r="F14" s="12">
        <v>269</v>
      </c>
      <c r="G14" s="12">
        <v>307</v>
      </c>
      <c r="H14" s="12">
        <v>350</v>
      </c>
      <c r="I14" s="12">
        <v>412</v>
      </c>
      <c r="J14" s="12">
        <v>62</v>
      </c>
      <c r="K14" s="12">
        <v>215</v>
      </c>
      <c r="L14" s="12">
        <v>283</v>
      </c>
      <c r="M14" s="12">
        <v>354</v>
      </c>
      <c r="N14" s="12">
        <v>268</v>
      </c>
      <c r="O14" s="12">
        <v>206</v>
      </c>
      <c r="P14" s="12">
        <v>314</v>
      </c>
      <c r="Q14" s="12">
        <v>306</v>
      </c>
      <c r="R14" s="12">
        <v>134</v>
      </c>
      <c r="S14" s="12">
        <v>139</v>
      </c>
      <c r="T14" s="12">
        <v>259</v>
      </c>
      <c r="U14" s="12">
        <v>133</v>
      </c>
      <c r="V14" s="12">
        <v>259</v>
      </c>
      <c r="W14" s="12">
        <v>169</v>
      </c>
      <c r="X14" s="12">
        <v>321</v>
      </c>
      <c r="Y14" s="12">
        <v>378</v>
      </c>
      <c r="Z14" s="12">
        <v>176</v>
      </c>
      <c r="AA14" s="12">
        <v>350</v>
      </c>
      <c r="AB14" s="12">
        <v>274</v>
      </c>
      <c r="AC14" s="12">
        <v>206</v>
      </c>
      <c r="AD14" s="12">
        <v>317</v>
      </c>
      <c r="AE14" s="12">
        <v>245</v>
      </c>
      <c r="AF14" s="12">
        <v>352</v>
      </c>
    </row>
    <row r="15" spans="1:32" ht="41.5" x14ac:dyDescent="0.35">
      <c r="A15" s="31"/>
      <c r="B15" s="13" t="s">
        <v>768</v>
      </c>
      <c r="C15" s="14">
        <v>0.33</v>
      </c>
      <c r="D15" s="14">
        <v>0.25</v>
      </c>
      <c r="E15" s="14">
        <v>0.25</v>
      </c>
      <c r="F15" s="14">
        <v>0.3</v>
      </c>
      <c r="G15" s="14">
        <v>0.4</v>
      </c>
      <c r="H15" s="14">
        <v>0.37</v>
      </c>
      <c r="I15" s="14">
        <v>0.34</v>
      </c>
      <c r="J15" s="14">
        <v>0.26</v>
      </c>
      <c r="K15" s="14">
        <v>0.26</v>
      </c>
      <c r="L15" s="14">
        <v>0.34</v>
      </c>
      <c r="M15" s="14">
        <v>0.45</v>
      </c>
      <c r="N15" s="14">
        <v>0.36</v>
      </c>
      <c r="O15" s="14">
        <v>0.26</v>
      </c>
      <c r="P15" s="14">
        <v>0.39</v>
      </c>
      <c r="Q15" s="14">
        <v>0.34</v>
      </c>
      <c r="R15" s="14">
        <v>0.34</v>
      </c>
      <c r="S15" s="14">
        <v>0.17</v>
      </c>
      <c r="T15" s="14">
        <v>0.32</v>
      </c>
      <c r="U15" s="14">
        <v>0.31</v>
      </c>
      <c r="V15" s="14">
        <v>0.28999999999999998</v>
      </c>
      <c r="W15" s="14">
        <v>0.4</v>
      </c>
      <c r="X15" s="14">
        <v>0.38</v>
      </c>
      <c r="Y15" s="14">
        <v>0.46</v>
      </c>
      <c r="Z15" s="14">
        <v>0.21</v>
      </c>
      <c r="AA15" s="14">
        <v>0.4</v>
      </c>
      <c r="AB15" s="14">
        <v>0.31</v>
      </c>
      <c r="AC15" s="14">
        <v>0.24</v>
      </c>
      <c r="AD15" s="14">
        <v>0.35</v>
      </c>
      <c r="AE15" s="14">
        <v>0.3</v>
      </c>
      <c r="AF15" s="14">
        <v>0.48</v>
      </c>
    </row>
    <row r="16" spans="1:32" ht="51.5" x14ac:dyDescent="0.35">
      <c r="A16" s="31"/>
      <c r="B16" s="11" t="s">
        <v>769</v>
      </c>
      <c r="C16" s="12">
        <v>7539</v>
      </c>
      <c r="D16" s="12">
        <v>316</v>
      </c>
      <c r="E16" s="12">
        <v>235</v>
      </c>
      <c r="F16" s="12">
        <v>311</v>
      </c>
      <c r="G16" s="12">
        <v>272</v>
      </c>
      <c r="H16" s="12">
        <v>354</v>
      </c>
      <c r="I16" s="12">
        <v>427</v>
      </c>
      <c r="J16" s="12">
        <v>72</v>
      </c>
      <c r="K16" s="12">
        <v>258</v>
      </c>
      <c r="L16" s="12">
        <v>281</v>
      </c>
      <c r="M16" s="12">
        <v>325</v>
      </c>
      <c r="N16" s="12">
        <v>281</v>
      </c>
      <c r="O16" s="12">
        <v>257</v>
      </c>
      <c r="P16" s="12">
        <v>281</v>
      </c>
      <c r="Q16" s="12">
        <v>336</v>
      </c>
      <c r="R16" s="12">
        <v>118</v>
      </c>
      <c r="S16" s="12">
        <v>204</v>
      </c>
      <c r="T16" s="12">
        <v>270</v>
      </c>
      <c r="U16" s="12">
        <v>150</v>
      </c>
      <c r="V16" s="12">
        <v>285</v>
      </c>
      <c r="W16" s="12">
        <v>175</v>
      </c>
      <c r="X16" s="12">
        <v>344</v>
      </c>
      <c r="Y16" s="12">
        <v>378</v>
      </c>
      <c r="Z16" s="12">
        <v>197</v>
      </c>
      <c r="AA16" s="12">
        <v>401</v>
      </c>
      <c r="AB16" s="12">
        <v>283</v>
      </c>
      <c r="AC16" s="12">
        <v>266</v>
      </c>
      <c r="AD16" s="12">
        <v>359</v>
      </c>
      <c r="AE16" s="12">
        <v>274</v>
      </c>
      <c r="AF16" s="12">
        <v>358</v>
      </c>
    </row>
    <row r="17" spans="1:32" ht="41.5" x14ac:dyDescent="0.35">
      <c r="A17" s="31"/>
      <c r="B17" s="13" t="s">
        <v>770</v>
      </c>
      <c r="C17" s="14">
        <v>0.39</v>
      </c>
      <c r="D17" s="14">
        <v>0.38</v>
      </c>
      <c r="E17" s="14">
        <v>0.33</v>
      </c>
      <c r="F17" s="14">
        <v>0.38</v>
      </c>
      <c r="G17" s="14">
        <v>0.34</v>
      </c>
      <c r="H17" s="14">
        <v>0.41</v>
      </c>
      <c r="I17" s="14">
        <v>0.4</v>
      </c>
      <c r="J17" s="14">
        <v>0.35</v>
      </c>
      <c r="K17" s="14">
        <v>0.36</v>
      </c>
      <c r="L17" s="14">
        <v>0.35</v>
      </c>
      <c r="M17" s="14">
        <v>0.43</v>
      </c>
      <c r="N17" s="14">
        <v>0.39</v>
      </c>
      <c r="O17" s="14">
        <v>0.39</v>
      </c>
      <c r="P17" s="14">
        <v>0.37</v>
      </c>
      <c r="Q17" s="14">
        <v>0.42</v>
      </c>
      <c r="R17" s="14">
        <v>0.34</v>
      </c>
      <c r="S17" s="14">
        <v>0.28000000000000003</v>
      </c>
      <c r="T17" s="14">
        <v>0.38</v>
      </c>
      <c r="U17" s="14">
        <v>0.39</v>
      </c>
      <c r="V17" s="14">
        <v>0.35</v>
      </c>
      <c r="W17" s="14">
        <v>0.4</v>
      </c>
      <c r="X17" s="14">
        <v>0.46</v>
      </c>
      <c r="Y17" s="14">
        <v>0.52</v>
      </c>
      <c r="Z17" s="14">
        <v>0.25</v>
      </c>
      <c r="AA17" s="14">
        <v>0.56000000000000005</v>
      </c>
      <c r="AB17" s="14">
        <v>0.35</v>
      </c>
      <c r="AC17" s="14">
        <v>0.33</v>
      </c>
      <c r="AD17" s="14">
        <v>0.48</v>
      </c>
      <c r="AE17" s="14">
        <v>0.37</v>
      </c>
      <c r="AF17" s="14">
        <v>0.42</v>
      </c>
    </row>
    <row r="18" spans="1:32" ht="41.5" x14ac:dyDescent="0.35">
      <c r="A18" s="31"/>
      <c r="B18" s="11" t="s">
        <v>771</v>
      </c>
      <c r="C18" s="12">
        <v>6337</v>
      </c>
      <c r="D18" s="12">
        <v>306</v>
      </c>
      <c r="E18" s="12">
        <v>218</v>
      </c>
      <c r="F18" s="12">
        <v>249</v>
      </c>
      <c r="G18" s="12">
        <v>324</v>
      </c>
      <c r="H18" s="12">
        <v>346</v>
      </c>
      <c r="I18" s="12">
        <v>429</v>
      </c>
      <c r="J18" s="12">
        <v>83</v>
      </c>
      <c r="K18" s="12">
        <v>285</v>
      </c>
      <c r="L18" s="12">
        <v>278</v>
      </c>
      <c r="M18" s="12">
        <v>343</v>
      </c>
      <c r="N18" s="12">
        <v>192</v>
      </c>
      <c r="O18" s="12">
        <v>178</v>
      </c>
      <c r="P18" s="12">
        <v>264</v>
      </c>
      <c r="Q18" s="12">
        <v>238</v>
      </c>
      <c r="R18" s="12">
        <v>105</v>
      </c>
      <c r="S18" s="12">
        <v>214</v>
      </c>
      <c r="T18" s="12">
        <v>251</v>
      </c>
      <c r="U18" s="12">
        <v>123</v>
      </c>
      <c r="V18" s="12">
        <v>230</v>
      </c>
      <c r="W18" s="12">
        <v>166</v>
      </c>
      <c r="X18" s="12">
        <v>356</v>
      </c>
      <c r="Y18" s="12">
        <v>358</v>
      </c>
      <c r="Z18" s="12">
        <v>166</v>
      </c>
      <c r="AA18" s="12">
        <v>258</v>
      </c>
      <c r="AB18" s="12">
        <v>204</v>
      </c>
      <c r="AC18" s="12">
        <v>152</v>
      </c>
      <c r="AD18" s="12">
        <v>291</v>
      </c>
      <c r="AE18" s="12">
        <v>302</v>
      </c>
      <c r="AF18" s="12">
        <v>400</v>
      </c>
    </row>
    <row r="19" spans="1:32" ht="41.5" x14ac:dyDescent="0.35">
      <c r="A19" s="31"/>
      <c r="B19" s="13" t="s">
        <v>772</v>
      </c>
      <c r="C19" s="14">
        <v>0.28000000000000003</v>
      </c>
      <c r="D19" s="14">
        <v>0.33</v>
      </c>
      <c r="E19" s="14">
        <v>0.27</v>
      </c>
      <c r="F19" s="14">
        <v>0.27</v>
      </c>
      <c r="G19" s="14">
        <v>0.37</v>
      </c>
      <c r="H19" s="14">
        <v>0.33</v>
      </c>
      <c r="I19" s="14">
        <v>0.33</v>
      </c>
      <c r="J19" s="14">
        <v>0.34</v>
      </c>
      <c r="K19" s="14">
        <v>0.35</v>
      </c>
      <c r="L19" s="14">
        <v>0.33</v>
      </c>
      <c r="M19" s="14">
        <v>0.41</v>
      </c>
      <c r="N19" s="14">
        <v>0.24</v>
      </c>
      <c r="O19" s="14">
        <v>0.21</v>
      </c>
      <c r="P19" s="14">
        <v>0.3</v>
      </c>
      <c r="Q19" s="14">
        <v>0.26</v>
      </c>
      <c r="R19" s="14">
        <v>0.26</v>
      </c>
      <c r="S19" s="14">
        <v>0.27</v>
      </c>
      <c r="T19" s="14">
        <v>0.28999999999999998</v>
      </c>
      <c r="U19" s="14">
        <v>0.28000000000000003</v>
      </c>
      <c r="V19" s="14">
        <v>0.26</v>
      </c>
      <c r="W19" s="14">
        <v>0.37</v>
      </c>
      <c r="X19" s="14">
        <v>0.39</v>
      </c>
      <c r="Y19" s="14">
        <v>0.42</v>
      </c>
      <c r="Z19" s="14">
        <v>0.19</v>
      </c>
      <c r="AA19" s="14">
        <v>0.28000000000000003</v>
      </c>
      <c r="AB19" s="14">
        <v>0.23</v>
      </c>
      <c r="AC19" s="14">
        <v>0.17</v>
      </c>
      <c r="AD19" s="14">
        <v>0.31</v>
      </c>
      <c r="AE19" s="14">
        <v>0.34</v>
      </c>
      <c r="AF19" s="14">
        <v>0.44</v>
      </c>
    </row>
    <row r="20" spans="1:32" x14ac:dyDescent="0.35">
      <c r="A20" s="31"/>
      <c r="B20" s="11" t="s">
        <v>773</v>
      </c>
      <c r="C20" s="12">
        <v>5110</v>
      </c>
      <c r="D20" s="12">
        <v>217</v>
      </c>
      <c r="E20" s="12">
        <v>242</v>
      </c>
      <c r="F20" s="12">
        <v>307</v>
      </c>
      <c r="G20" s="12">
        <v>145</v>
      </c>
      <c r="H20" s="12">
        <v>167</v>
      </c>
      <c r="I20" s="12">
        <v>208</v>
      </c>
      <c r="J20" s="12">
        <v>40</v>
      </c>
      <c r="K20" s="12">
        <v>227</v>
      </c>
      <c r="L20" s="12">
        <v>217</v>
      </c>
      <c r="M20" s="12">
        <v>165</v>
      </c>
      <c r="N20" s="12">
        <v>218</v>
      </c>
      <c r="O20" s="12">
        <v>166</v>
      </c>
      <c r="P20" s="12">
        <v>243</v>
      </c>
      <c r="Q20" s="12">
        <v>284</v>
      </c>
      <c r="R20" s="12">
        <v>103</v>
      </c>
      <c r="S20" s="12">
        <v>161</v>
      </c>
      <c r="T20" s="12">
        <v>199</v>
      </c>
      <c r="U20" s="12">
        <v>106</v>
      </c>
      <c r="V20" s="12">
        <v>214</v>
      </c>
      <c r="W20" s="12">
        <v>147</v>
      </c>
      <c r="X20" s="12">
        <v>93</v>
      </c>
      <c r="Y20" s="12">
        <v>271</v>
      </c>
      <c r="Z20" s="12">
        <v>136</v>
      </c>
      <c r="AA20" s="12">
        <v>257</v>
      </c>
      <c r="AB20" s="12">
        <v>226</v>
      </c>
      <c r="AC20" s="12">
        <v>159</v>
      </c>
      <c r="AD20" s="12">
        <v>361</v>
      </c>
      <c r="AE20" s="12">
        <v>207</v>
      </c>
      <c r="AF20" s="12">
        <v>247</v>
      </c>
    </row>
    <row r="21" spans="1:32" x14ac:dyDescent="0.35">
      <c r="A21" s="31"/>
      <c r="B21" s="13" t="s">
        <v>774</v>
      </c>
      <c r="C21" s="14">
        <v>0.23</v>
      </c>
      <c r="D21" s="14">
        <v>0.24</v>
      </c>
      <c r="E21" s="14">
        <v>0.3</v>
      </c>
      <c r="F21" s="14">
        <v>0.36</v>
      </c>
      <c r="G21" s="14">
        <v>0.16</v>
      </c>
      <c r="H21" s="14">
        <v>0.16</v>
      </c>
      <c r="I21" s="14">
        <v>0.16</v>
      </c>
      <c r="J21" s="14">
        <v>0.16</v>
      </c>
      <c r="K21" s="14">
        <v>0.28000000000000003</v>
      </c>
      <c r="L21" s="14">
        <v>0.26</v>
      </c>
      <c r="M21" s="14">
        <v>0.19</v>
      </c>
      <c r="N21" s="14">
        <v>0.28000000000000003</v>
      </c>
      <c r="O21" s="14">
        <v>0.21</v>
      </c>
      <c r="P21" s="14">
        <v>0.3</v>
      </c>
      <c r="Q21" s="14">
        <v>0.33</v>
      </c>
      <c r="R21" s="14">
        <v>0.27</v>
      </c>
      <c r="S21" s="14">
        <v>0.21</v>
      </c>
      <c r="T21" s="14">
        <v>0.24</v>
      </c>
      <c r="U21" s="14">
        <v>0.24</v>
      </c>
      <c r="V21" s="14">
        <v>0.24</v>
      </c>
      <c r="W21" s="14">
        <v>0.32</v>
      </c>
      <c r="X21" s="14">
        <v>0.1</v>
      </c>
      <c r="Y21" s="14">
        <v>0.31</v>
      </c>
      <c r="Z21" s="14">
        <v>0.17</v>
      </c>
      <c r="AA21" s="14">
        <v>0.31</v>
      </c>
      <c r="AB21" s="14">
        <v>0.27</v>
      </c>
      <c r="AC21" s="14">
        <v>0.18</v>
      </c>
      <c r="AD21" s="14">
        <v>0.41</v>
      </c>
      <c r="AE21" s="14">
        <v>0.24</v>
      </c>
      <c r="AF21" s="14">
        <v>0.26</v>
      </c>
    </row>
    <row r="22" spans="1:32" ht="21.5" x14ac:dyDescent="0.35">
      <c r="A22" s="31"/>
      <c r="B22" s="11" t="s">
        <v>775</v>
      </c>
      <c r="C22" s="12">
        <v>6951</v>
      </c>
      <c r="D22" s="12">
        <v>241</v>
      </c>
      <c r="E22" s="12">
        <v>291</v>
      </c>
      <c r="F22" s="12">
        <v>331</v>
      </c>
      <c r="G22" s="12">
        <v>242</v>
      </c>
      <c r="H22" s="12">
        <v>358</v>
      </c>
      <c r="I22" s="12">
        <v>449</v>
      </c>
      <c r="J22" s="12">
        <v>91</v>
      </c>
      <c r="K22" s="12">
        <v>260</v>
      </c>
      <c r="L22" s="12">
        <v>265</v>
      </c>
      <c r="M22" s="12">
        <v>306</v>
      </c>
      <c r="N22" s="12">
        <v>233</v>
      </c>
      <c r="O22" s="12">
        <v>226</v>
      </c>
      <c r="P22" s="12">
        <v>260</v>
      </c>
      <c r="Q22" s="12">
        <v>290</v>
      </c>
      <c r="R22" s="12">
        <v>174</v>
      </c>
      <c r="S22" s="12">
        <v>237</v>
      </c>
      <c r="T22" s="12">
        <v>277</v>
      </c>
      <c r="U22" s="12">
        <v>126</v>
      </c>
      <c r="V22" s="12">
        <v>232</v>
      </c>
      <c r="W22" s="12">
        <v>203</v>
      </c>
      <c r="X22" s="12">
        <v>315</v>
      </c>
      <c r="Y22" s="12">
        <v>297</v>
      </c>
      <c r="Z22" s="12">
        <v>201</v>
      </c>
      <c r="AA22" s="12">
        <v>328</v>
      </c>
      <c r="AB22" s="12">
        <v>273</v>
      </c>
      <c r="AC22" s="12">
        <v>272</v>
      </c>
      <c r="AD22" s="12">
        <v>347</v>
      </c>
      <c r="AE22" s="12">
        <v>273</v>
      </c>
      <c r="AF22" s="12">
        <v>274</v>
      </c>
    </row>
    <row r="23" spans="1:32" ht="21.5" x14ac:dyDescent="0.35">
      <c r="A23" s="31"/>
      <c r="B23" s="13" t="s">
        <v>776</v>
      </c>
      <c r="C23" s="14">
        <v>0.35</v>
      </c>
      <c r="D23" s="14">
        <v>0.3</v>
      </c>
      <c r="E23" s="14">
        <v>0.39</v>
      </c>
      <c r="F23" s="14">
        <v>0.46</v>
      </c>
      <c r="G23" s="14">
        <v>0.28999999999999998</v>
      </c>
      <c r="H23" s="14">
        <v>0.43</v>
      </c>
      <c r="I23" s="14">
        <v>0.43</v>
      </c>
      <c r="J23" s="14">
        <v>0.43</v>
      </c>
      <c r="K23" s="14">
        <v>0.34</v>
      </c>
      <c r="L23" s="14">
        <v>0.31</v>
      </c>
      <c r="M23" s="14">
        <v>0.37</v>
      </c>
      <c r="N23" s="14">
        <v>0.32</v>
      </c>
      <c r="O23" s="14">
        <v>0.32</v>
      </c>
      <c r="P23" s="14">
        <v>0.31</v>
      </c>
      <c r="Q23" s="14">
        <v>0.34</v>
      </c>
      <c r="R23" s="14">
        <v>0.46</v>
      </c>
      <c r="S23" s="14">
        <v>0.32</v>
      </c>
      <c r="T23" s="14">
        <v>0.38</v>
      </c>
      <c r="U23" s="14">
        <v>0.31</v>
      </c>
      <c r="V23" s="14">
        <v>0.28999999999999998</v>
      </c>
      <c r="W23" s="14">
        <v>0.51</v>
      </c>
      <c r="X23" s="14">
        <v>0.39</v>
      </c>
      <c r="Y23" s="14">
        <v>0.41</v>
      </c>
      <c r="Z23" s="14">
        <v>0.24</v>
      </c>
      <c r="AA23" s="14">
        <v>0.46</v>
      </c>
      <c r="AB23" s="14">
        <v>0.31</v>
      </c>
      <c r="AC23" s="14">
        <v>0.33</v>
      </c>
      <c r="AD23" s="14">
        <v>0.43</v>
      </c>
      <c r="AE23" s="14">
        <v>0.35</v>
      </c>
      <c r="AF23" s="14">
        <v>0.32</v>
      </c>
    </row>
    <row r="24" spans="1:32" ht="51.5" x14ac:dyDescent="0.35">
      <c r="A24" s="31"/>
      <c r="B24" s="11" t="s">
        <v>777</v>
      </c>
      <c r="C24" s="12">
        <v>4173</v>
      </c>
      <c r="D24" s="12">
        <v>144</v>
      </c>
      <c r="E24" s="12">
        <v>158</v>
      </c>
      <c r="F24" s="12">
        <v>203</v>
      </c>
      <c r="G24" s="12">
        <v>164</v>
      </c>
      <c r="H24" s="12">
        <v>148</v>
      </c>
      <c r="I24" s="12">
        <v>178</v>
      </c>
      <c r="J24" s="12">
        <v>30</v>
      </c>
      <c r="K24" s="12">
        <v>161</v>
      </c>
      <c r="L24" s="12">
        <v>166</v>
      </c>
      <c r="M24" s="12">
        <v>212</v>
      </c>
      <c r="N24" s="12">
        <v>134</v>
      </c>
      <c r="O24" s="12">
        <v>95</v>
      </c>
      <c r="P24" s="12">
        <v>242</v>
      </c>
      <c r="Q24" s="12">
        <v>228</v>
      </c>
      <c r="R24" s="12">
        <v>75</v>
      </c>
      <c r="S24" s="12">
        <v>108</v>
      </c>
      <c r="T24" s="12">
        <v>178</v>
      </c>
      <c r="U24" s="12">
        <v>87</v>
      </c>
      <c r="V24" s="12">
        <v>245</v>
      </c>
      <c r="W24" s="12">
        <v>113</v>
      </c>
      <c r="X24" s="12">
        <v>195</v>
      </c>
      <c r="Y24" s="12">
        <v>278</v>
      </c>
      <c r="Z24" s="12">
        <v>166</v>
      </c>
      <c r="AA24" s="12">
        <v>199</v>
      </c>
      <c r="AB24" s="12">
        <v>207</v>
      </c>
      <c r="AC24" s="12">
        <v>150</v>
      </c>
      <c r="AD24" s="12">
        <v>256</v>
      </c>
      <c r="AE24" s="12">
        <v>101</v>
      </c>
      <c r="AF24" s="12">
        <v>164</v>
      </c>
    </row>
    <row r="25" spans="1:32" ht="41.5" x14ac:dyDescent="0.35">
      <c r="A25" s="31"/>
      <c r="B25" s="13" t="s">
        <v>778</v>
      </c>
      <c r="C25" s="14">
        <v>0.18</v>
      </c>
      <c r="D25" s="14">
        <v>0.15</v>
      </c>
      <c r="E25" s="14">
        <v>0.18</v>
      </c>
      <c r="F25" s="14">
        <v>0.22</v>
      </c>
      <c r="G25" s="14">
        <v>0.17</v>
      </c>
      <c r="H25" s="14">
        <v>0.14000000000000001</v>
      </c>
      <c r="I25" s="14">
        <v>0.13</v>
      </c>
      <c r="J25" s="14">
        <v>0.12</v>
      </c>
      <c r="K25" s="14">
        <v>0.19</v>
      </c>
      <c r="L25" s="14">
        <v>0.18</v>
      </c>
      <c r="M25" s="14">
        <v>0.24</v>
      </c>
      <c r="N25" s="14">
        <v>0.16</v>
      </c>
      <c r="O25" s="14">
        <v>0.11</v>
      </c>
      <c r="P25" s="14">
        <v>0.27</v>
      </c>
      <c r="Q25" s="14">
        <v>0.25</v>
      </c>
      <c r="R25" s="14">
        <v>0.18</v>
      </c>
      <c r="S25" s="14">
        <v>0.13</v>
      </c>
      <c r="T25" s="14">
        <v>0.2</v>
      </c>
      <c r="U25" s="14">
        <v>0.19</v>
      </c>
      <c r="V25" s="14">
        <v>0.28000000000000003</v>
      </c>
      <c r="W25" s="14">
        <v>0.25</v>
      </c>
      <c r="X25" s="14">
        <v>0.21</v>
      </c>
      <c r="Y25" s="14">
        <v>0.31</v>
      </c>
      <c r="Z25" s="14">
        <v>0.19</v>
      </c>
      <c r="AA25" s="14">
        <v>0.21</v>
      </c>
      <c r="AB25" s="14">
        <v>0.23</v>
      </c>
      <c r="AC25" s="14">
        <v>0.16</v>
      </c>
      <c r="AD25" s="14">
        <v>0.27</v>
      </c>
      <c r="AE25" s="14">
        <v>0.11</v>
      </c>
      <c r="AF25" s="14">
        <v>0.17</v>
      </c>
    </row>
    <row r="26" spans="1:32" ht="51.5" x14ac:dyDescent="0.35">
      <c r="A26" s="31"/>
      <c r="B26" s="11" t="s">
        <v>779</v>
      </c>
      <c r="C26" s="12">
        <v>6673</v>
      </c>
      <c r="D26" s="12">
        <v>219</v>
      </c>
      <c r="E26" s="12">
        <v>209</v>
      </c>
      <c r="F26" s="12">
        <v>271</v>
      </c>
      <c r="G26" s="12">
        <v>323</v>
      </c>
      <c r="H26" s="12">
        <v>291</v>
      </c>
      <c r="I26" s="12">
        <v>365</v>
      </c>
      <c r="J26" s="12">
        <v>74</v>
      </c>
      <c r="K26" s="12">
        <v>252</v>
      </c>
      <c r="L26" s="12">
        <v>242</v>
      </c>
      <c r="M26" s="12">
        <v>332</v>
      </c>
      <c r="N26" s="12">
        <v>199</v>
      </c>
      <c r="O26" s="12">
        <v>245</v>
      </c>
      <c r="P26" s="12">
        <v>272</v>
      </c>
      <c r="Q26" s="12">
        <v>309</v>
      </c>
      <c r="R26" s="12">
        <v>143</v>
      </c>
      <c r="S26" s="12">
        <v>151</v>
      </c>
      <c r="T26" s="12">
        <v>225</v>
      </c>
      <c r="U26" s="12">
        <v>119</v>
      </c>
      <c r="V26" s="12">
        <v>289</v>
      </c>
      <c r="W26" s="12">
        <v>156</v>
      </c>
      <c r="X26" s="12">
        <v>370</v>
      </c>
      <c r="Y26" s="12">
        <v>313</v>
      </c>
      <c r="Z26" s="12">
        <v>184</v>
      </c>
      <c r="AA26" s="12">
        <v>228</v>
      </c>
      <c r="AB26" s="12">
        <v>225</v>
      </c>
      <c r="AC26" s="12">
        <v>221</v>
      </c>
      <c r="AD26" s="12">
        <v>388</v>
      </c>
      <c r="AE26" s="12">
        <v>287</v>
      </c>
      <c r="AF26" s="12">
        <v>377</v>
      </c>
    </row>
    <row r="27" spans="1:32" ht="41.5" x14ac:dyDescent="0.35">
      <c r="A27" s="31"/>
      <c r="B27" s="13" t="s">
        <v>780</v>
      </c>
      <c r="C27" s="14">
        <v>0.3</v>
      </c>
      <c r="D27" s="14">
        <v>0.23</v>
      </c>
      <c r="E27" s="14">
        <v>0.25</v>
      </c>
      <c r="F27" s="14">
        <v>0.3</v>
      </c>
      <c r="G27" s="14">
        <v>0.37</v>
      </c>
      <c r="H27" s="14">
        <v>0.28000000000000003</v>
      </c>
      <c r="I27" s="14">
        <v>0.28999999999999998</v>
      </c>
      <c r="J27" s="14">
        <v>0.3</v>
      </c>
      <c r="K27" s="14">
        <v>0.32</v>
      </c>
      <c r="L27" s="14">
        <v>0.27</v>
      </c>
      <c r="M27" s="14">
        <v>0.4</v>
      </c>
      <c r="N27" s="14">
        <v>0.24</v>
      </c>
      <c r="O27" s="14">
        <v>0.31</v>
      </c>
      <c r="P27" s="14">
        <v>0.31</v>
      </c>
      <c r="Q27" s="14">
        <v>0.35</v>
      </c>
      <c r="R27" s="14">
        <v>0.37</v>
      </c>
      <c r="S27" s="14">
        <v>0.18</v>
      </c>
      <c r="T27" s="14">
        <v>0.26</v>
      </c>
      <c r="U27" s="14">
        <v>0.26</v>
      </c>
      <c r="V27" s="14">
        <v>0.34</v>
      </c>
      <c r="W27" s="14">
        <v>0.35</v>
      </c>
      <c r="X27" s="14">
        <v>0.41</v>
      </c>
      <c r="Y27" s="14">
        <v>0.37</v>
      </c>
      <c r="Z27" s="14">
        <v>0.22</v>
      </c>
      <c r="AA27" s="14">
        <v>0.25</v>
      </c>
      <c r="AB27" s="14">
        <v>0.25</v>
      </c>
      <c r="AC27" s="14">
        <v>0.26</v>
      </c>
      <c r="AD27" s="14">
        <v>0.45</v>
      </c>
      <c r="AE27" s="14">
        <v>0.34</v>
      </c>
      <c r="AF27" s="14">
        <v>0.41</v>
      </c>
    </row>
    <row r="28" spans="1:32" ht="21.5" x14ac:dyDescent="0.35">
      <c r="A28" s="31"/>
      <c r="B28" s="11" t="s">
        <v>781</v>
      </c>
      <c r="C28" s="12">
        <v>4441</v>
      </c>
      <c r="D28" s="12">
        <v>160</v>
      </c>
      <c r="E28" s="12">
        <v>117</v>
      </c>
      <c r="F28" s="12">
        <v>180</v>
      </c>
      <c r="G28" s="12">
        <v>230</v>
      </c>
      <c r="H28" s="12">
        <v>178</v>
      </c>
      <c r="I28" s="12">
        <v>223</v>
      </c>
      <c r="J28" s="12">
        <v>45</v>
      </c>
      <c r="K28" s="12">
        <v>119</v>
      </c>
      <c r="L28" s="12">
        <v>180</v>
      </c>
      <c r="M28" s="12">
        <v>266</v>
      </c>
      <c r="N28" s="12">
        <v>165</v>
      </c>
      <c r="O28" s="12">
        <v>160</v>
      </c>
      <c r="P28" s="12">
        <v>224</v>
      </c>
      <c r="Q28" s="12">
        <v>210</v>
      </c>
      <c r="R28" s="12">
        <v>122</v>
      </c>
      <c r="S28" s="12">
        <v>80</v>
      </c>
      <c r="T28" s="12">
        <v>141</v>
      </c>
      <c r="U28" s="12">
        <v>80</v>
      </c>
      <c r="V28" s="12">
        <v>181</v>
      </c>
      <c r="W28" s="12">
        <v>94</v>
      </c>
      <c r="X28" s="12">
        <v>193</v>
      </c>
      <c r="Y28" s="12">
        <v>203</v>
      </c>
      <c r="Z28" s="12">
        <v>112</v>
      </c>
      <c r="AA28" s="12">
        <v>144</v>
      </c>
      <c r="AB28" s="12">
        <v>200</v>
      </c>
      <c r="AC28" s="12">
        <v>141</v>
      </c>
      <c r="AD28" s="12">
        <v>299</v>
      </c>
      <c r="AE28" s="12">
        <v>131</v>
      </c>
      <c r="AF28" s="12">
        <v>205</v>
      </c>
    </row>
    <row r="29" spans="1:32" ht="21.5" x14ac:dyDescent="0.35">
      <c r="A29" s="31"/>
      <c r="B29" s="13" t="s">
        <v>782</v>
      </c>
      <c r="C29" s="14">
        <v>0.2</v>
      </c>
      <c r="D29" s="14">
        <v>0.17</v>
      </c>
      <c r="E29" s="14">
        <v>0.14000000000000001</v>
      </c>
      <c r="F29" s="14">
        <v>0.2</v>
      </c>
      <c r="G29" s="14">
        <v>0.25</v>
      </c>
      <c r="H29" s="14">
        <v>0.17</v>
      </c>
      <c r="I29" s="14">
        <v>0.17</v>
      </c>
      <c r="J29" s="14">
        <v>0.18</v>
      </c>
      <c r="K29" s="14">
        <v>0.14000000000000001</v>
      </c>
      <c r="L29" s="14">
        <v>0.2</v>
      </c>
      <c r="M29" s="14">
        <v>0.32</v>
      </c>
      <c r="N29" s="14">
        <v>0.2</v>
      </c>
      <c r="O29" s="14">
        <v>0.2</v>
      </c>
      <c r="P29" s="14">
        <v>0.25</v>
      </c>
      <c r="Q29" s="14">
        <v>0.23</v>
      </c>
      <c r="R29" s="14">
        <v>0.31</v>
      </c>
      <c r="S29" s="14">
        <v>0.09</v>
      </c>
      <c r="T29" s="14">
        <v>0.16</v>
      </c>
      <c r="U29" s="14">
        <v>0.18</v>
      </c>
      <c r="V29" s="14">
        <v>0.2</v>
      </c>
      <c r="W29" s="14">
        <v>0.2</v>
      </c>
      <c r="X29" s="14">
        <v>0.2</v>
      </c>
      <c r="Y29" s="14">
        <v>0.23</v>
      </c>
      <c r="Z29" s="14">
        <v>0.13</v>
      </c>
      <c r="AA29" s="14">
        <v>0.15</v>
      </c>
      <c r="AB29" s="14">
        <v>0.22</v>
      </c>
      <c r="AC29" s="14">
        <v>0.16</v>
      </c>
      <c r="AD29" s="14">
        <v>0.32</v>
      </c>
      <c r="AE29" s="14">
        <v>0.14000000000000001</v>
      </c>
      <c r="AF29" s="14">
        <v>0.21</v>
      </c>
    </row>
    <row r="30" spans="1:32" ht="51.5" x14ac:dyDescent="0.35">
      <c r="A30" s="31"/>
      <c r="B30" s="11" t="s">
        <v>783</v>
      </c>
      <c r="C30" s="12">
        <v>6222</v>
      </c>
      <c r="D30" s="12">
        <v>181</v>
      </c>
      <c r="E30" s="12">
        <v>206</v>
      </c>
      <c r="F30" s="12">
        <v>278</v>
      </c>
      <c r="G30" s="12">
        <v>364</v>
      </c>
      <c r="H30" s="12">
        <v>303</v>
      </c>
      <c r="I30" s="12">
        <v>379</v>
      </c>
      <c r="J30" s="12">
        <v>75</v>
      </c>
      <c r="K30" s="12">
        <v>249</v>
      </c>
      <c r="L30" s="12">
        <v>269</v>
      </c>
      <c r="M30" s="12">
        <v>302</v>
      </c>
      <c r="N30" s="12">
        <v>190</v>
      </c>
      <c r="O30" s="12">
        <v>172</v>
      </c>
      <c r="P30" s="12">
        <v>290</v>
      </c>
      <c r="Q30" s="12">
        <v>268</v>
      </c>
      <c r="R30" s="12">
        <v>132</v>
      </c>
      <c r="S30" s="12">
        <v>127</v>
      </c>
      <c r="T30" s="12">
        <v>250</v>
      </c>
      <c r="U30" s="12">
        <v>73</v>
      </c>
      <c r="V30" s="12">
        <v>304</v>
      </c>
      <c r="W30" s="12">
        <v>93</v>
      </c>
      <c r="X30" s="12">
        <v>320</v>
      </c>
      <c r="Y30" s="12">
        <v>390</v>
      </c>
      <c r="Z30" s="12">
        <v>178</v>
      </c>
      <c r="AA30" s="12">
        <v>284</v>
      </c>
      <c r="AB30" s="12">
        <v>238</v>
      </c>
      <c r="AC30" s="12">
        <v>213</v>
      </c>
      <c r="AD30" s="12">
        <v>319</v>
      </c>
      <c r="AE30" s="12">
        <v>252</v>
      </c>
      <c r="AF30" s="12">
        <v>344</v>
      </c>
    </row>
    <row r="31" spans="1:32" ht="41.5" x14ac:dyDescent="0.35">
      <c r="A31" s="31"/>
      <c r="B31" s="13" t="s">
        <v>784</v>
      </c>
      <c r="C31" s="14">
        <v>0.28000000000000003</v>
      </c>
      <c r="D31" s="14">
        <v>0.2</v>
      </c>
      <c r="E31" s="14">
        <v>0.26</v>
      </c>
      <c r="F31" s="14">
        <v>0.3</v>
      </c>
      <c r="G31" s="14">
        <v>0.49</v>
      </c>
      <c r="H31" s="14">
        <v>0.3</v>
      </c>
      <c r="I31" s="14">
        <v>0.3</v>
      </c>
      <c r="J31" s="14">
        <v>0.33</v>
      </c>
      <c r="K31" s="14">
        <v>0.32</v>
      </c>
      <c r="L31" s="14">
        <v>0.34</v>
      </c>
      <c r="M31" s="14">
        <v>0.38</v>
      </c>
      <c r="N31" s="14">
        <v>0.23</v>
      </c>
      <c r="O31" s="14">
        <v>0.21</v>
      </c>
      <c r="P31" s="14">
        <v>0.33</v>
      </c>
      <c r="Q31" s="14">
        <v>0.3</v>
      </c>
      <c r="R31" s="14">
        <v>0.34</v>
      </c>
      <c r="S31" s="14">
        <v>0.15</v>
      </c>
      <c r="T31" s="14">
        <v>0.3</v>
      </c>
      <c r="U31" s="14">
        <v>0.16</v>
      </c>
      <c r="V31" s="14">
        <v>0.35</v>
      </c>
      <c r="W31" s="14">
        <v>0.2</v>
      </c>
      <c r="X31" s="14">
        <v>0.37</v>
      </c>
      <c r="Y31" s="14">
        <v>0.48</v>
      </c>
      <c r="Z31" s="14">
        <v>0.21</v>
      </c>
      <c r="AA31" s="14">
        <v>0.31</v>
      </c>
      <c r="AB31" s="14">
        <v>0.28000000000000003</v>
      </c>
      <c r="AC31" s="14">
        <v>0.25</v>
      </c>
      <c r="AD31" s="14">
        <v>0.36</v>
      </c>
      <c r="AE31" s="14">
        <v>0.32</v>
      </c>
      <c r="AF31" s="14">
        <v>0.42</v>
      </c>
    </row>
    <row r="32" spans="1:32" x14ac:dyDescent="0.35">
      <c r="A32" s="31"/>
      <c r="B32" s="11" t="s">
        <v>407</v>
      </c>
      <c r="C32" s="12">
        <v>115</v>
      </c>
      <c r="D32" s="12">
        <v>4</v>
      </c>
      <c r="E32" s="12">
        <v>2</v>
      </c>
      <c r="F32" s="12">
        <v>1</v>
      </c>
      <c r="G32" s="12">
        <v>4</v>
      </c>
      <c r="H32" s="12">
        <v>10</v>
      </c>
      <c r="I32" s="12">
        <v>12</v>
      </c>
      <c r="J32" s="12">
        <v>2</v>
      </c>
      <c r="K32" s="12">
        <v>11</v>
      </c>
      <c r="L32" s="12">
        <v>2</v>
      </c>
      <c r="M32" s="12">
        <v>2</v>
      </c>
      <c r="N32" s="12">
        <v>2</v>
      </c>
      <c r="O32" s="12">
        <v>12</v>
      </c>
      <c r="P32" s="12">
        <v>1</v>
      </c>
      <c r="Q32" s="12">
        <v>0</v>
      </c>
      <c r="R32" s="12">
        <v>0</v>
      </c>
      <c r="S32" s="12">
        <v>4</v>
      </c>
      <c r="T32" s="12">
        <v>3</v>
      </c>
      <c r="U32" s="12">
        <v>7</v>
      </c>
      <c r="V32" s="12">
        <v>0</v>
      </c>
      <c r="W32" s="12">
        <v>0</v>
      </c>
      <c r="X32" s="12">
        <v>1</v>
      </c>
      <c r="Y32" s="12">
        <v>5</v>
      </c>
      <c r="Z32" s="12">
        <v>0</v>
      </c>
      <c r="AA32" s="12">
        <v>3</v>
      </c>
      <c r="AB32" s="12">
        <v>1</v>
      </c>
      <c r="AC32" s="12">
        <v>6</v>
      </c>
      <c r="AD32" s="12">
        <v>1</v>
      </c>
      <c r="AE32" s="12">
        <v>1</v>
      </c>
      <c r="AF32" s="12">
        <v>2</v>
      </c>
    </row>
    <row r="33" spans="1:32" x14ac:dyDescent="0.35">
      <c r="A33" s="31"/>
      <c r="B33" s="13" t="s">
        <v>408</v>
      </c>
      <c r="C33" s="15" t="s">
        <v>333</v>
      </c>
      <c r="D33" s="15" t="s">
        <v>333</v>
      </c>
      <c r="E33" s="15" t="s">
        <v>333</v>
      </c>
      <c r="F33" s="15" t="s">
        <v>333</v>
      </c>
      <c r="G33" s="15" t="s">
        <v>333</v>
      </c>
      <c r="H33" s="14">
        <v>0.01</v>
      </c>
      <c r="I33" s="14">
        <v>0.01</v>
      </c>
      <c r="J33" s="14">
        <v>0.01</v>
      </c>
      <c r="K33" s="14">
        <v>0.01</v>
      </c>
      <c r="L33" s="15" t="s">
        <v>333</v>
      </c>
      <c r="M33" s="15" t="s">
        <v>333</v>
      </c>
      <c r="N33" s="15" t="s">
        <v>333</v>
      </c>
      <c r="O33" s="14">
        <v>0.01</v>
      </c>
      <c r="P33" s="15" t="s">
        <v>333</v>
      </c>
      <c r="Q33" s="15" t="s">
        <v>333</v>
      </c>
      <c r="R33" s="15" t="s">
        <v>333</v>
      </c>
      <c r="S33" s="15" t="s">
        <v>333</v>
      </c>
      <c r="T33" s="15" t="s">
        <v>333</v>
      </c>
      <c r="U33" s="14">
        <v>0.02</v>
      </c>
      <c r="V33" s="15" t="s">
        <v>333</v>
      </c>
      <c r="W33" s="15" t="s">
        <v>333</v>
      </c>
      <c r="X33" s="15" t="s">
        <v>333</v>
      </c>
      <c r="Y33" s="15" t="s">
        <v>333</v>
      </c>
      <c r="Z33" s="15" t="s">
        <v>333</v>
      </c>
      <c r="AA33" s="15" t="s">
        <v>333</v>
      </c>
      <c r="AB33" s="15" t="s">
        <v>333</v>
      </c>
      <c r="AC33" s="14">
        <v>0.01</v>
      </c>
      <c r="AD33" s="15" t="s">
        <v>333</v>
      </c>
      <c r="AE33" s="15" t="s">
        <v>333</v>
      </c>
      <c r="AF33" s="15" t="s">
        <v>333</v>
      </c>
    </row>
    <row r="34" spans="1:32" ht="81.5" x14ac:dyDescent="0.35">
      <c r="A34" s="31"/>
      <c r="B34" s="11" t="s">
        <v>785</v>
      </c>
      <c r="C34" s="12">
        <v>330</v>
      </c>
      <c r="D34" s="12">
        <v>9</v>
      </c>
      <c r="E34" s="12">
        <v>14</v>
      </c>
      <c r="F34" s="12">
        <v>17</v>
      </c>
      <c r="G34" s="12">
        <v>16</v>
      </c>
      <c r="H34" s="12">
        <v>5</v>
      </c>
      <c r="I34" s="12">
        <v>9</v>
      </c>
      <c r="J34" s="12">
        <v>4</v>
      </c>
      <c r="K34" s="12">
        <v>7</v>
      </c>
      <c r="L34" s="12">
        <v>3</v>
      </c>
      <c r="M34" s="12">
        <v>16</v>
      </c>
      <c r="N34" s="12">
        <v>25</v>
      </c>
      <c r="O34" s="12">
        <v>26</v>
      </c>
      <c r="P34" s="12">
        <v>5</v>
      </c>
      <c r="Q34" s="12">
        <v>7</v>
      </c>
      <c r="R34" s="12">
        <v>5</v>
      </c>
      <c r="S34" s="12">
        <v>9</v>
      </c>
      <c r="T34" s="12">
        <v>15</v>
      </c>
      <c r="U34" s="12">
        <v>6</v>
      </c>
      <c r="V34" s="12">
        <v>6</v>
      </c>
      <c r="W34" s="12">
        <v>6</v>
      </c>
      <c r="X34" s="12">
        <v>7</v>
      </c>
      <c r="Y34" s="12">
        <v>12</v>
      </c>
      <c r="Z34" s="12">
        <v>2</v>
      </c>
      <c r="AA34" s="12">
        <v>7</v>
      </c>
      <c r="AB34" s="12">
        <v>12</v>
      </c>
      <c r="AC34" s="12">
        <v>14</v>
      </c>
      <c r="AD34" s="12">
        <v>0</v>
      </c>
      <c r="AE34" s="12">
        <v>16</v>
      </c>
      <c r="AF34" s="12">
        <v>21</v>
      </c>
    </row>
    <row r="35" spans="1:32" ht="51.5" x14ac:dyDescent="0.35">
      <c r="A35" s="31"/>
      <c r="B35" s="13" t="s">
        <v>786</v>
      </c>
      <c r="C35" s="14">
        <v>0.01</v>
      </c>
      <c r="D35" s="14">
        <v>0.01</v>
      </c>
      <c r="E35" s="14">
        <v>0.02</v>
      </c>
      <c r="F35" s="14">
        <v>0.02</v>
      </c>
      <c r="G35" s="14">
        <v>0.02</v>
      </c>
      <c r="H35" s="15" t="s">
        <v>333</v>
      </c>
      <c r="I35" s="14">
        <v>0.01</v>
      </c>
      <c r="J35" s="14">
        <v>0.02</v>
      </c>
      <c r="K35" s="14">
        <v>0.01</v>
      </c>
      <c r="L35" s="15" t="s">
        <v>333</v>
      </c>
      <c r="M35" s="14">
        <v>0.02</v>
      </c>
      <c r="N35" s="14">
        <v>0.03</v>
      </c>
      <c r="O35" s="14">
        <v>0.03</v>
      </c>
      <c r="P35" s="14">
        <v>0.01</v>
      </c>
      <c r="Q35" s="14">
        <v>0.01</v>
      </c>
      <c r="R35" s="14">
        <v>0.01</v>
      </c>
      <c r="S35" s="14">
        <v>0.01</v>
      </c>
      <c r="T35" s="14">
        <v>0.02</v>
      </c>
      <c r="U35" s="14">
        <v>0.01</v>
      </c>
      <c r="V35" s="14">
        <v>0.01</v>
      </c>
      <c r="W35" s="14">
        <v>0.01</v>
      </c>
      <c r="X35" s="14">
        <v>0.01</v>
      </c>
      <c r="Y35" s="14">
        <v>0.01</v>
      </c>
      <c r="Z35" s="15" t="s">
        <v>333</v>
      </c>
      <c r="AA35" s="14">
        <v>0.01</v>
      </c>
      <c r="AB35" s="14">
        <v>0.01</v>
      </c>
      <c r="AC35" s="14">
        <v>0.01</v>
      </c>
      <c r="AD35" s="15" t="s">
        <v>333</v>
      </c>
      <c r="AE35" s="14">
        <v>0.02</v>
      </c>
      <c r="AF35" s="14">
        <v>0.02</v>
      </c>
    </row>
    <row r="36" spans="1:32" x14ac:dyDescent="0.35">
      <c r="A36" s="31"/>
      <c r="B36" s="11" t="s">
        <v>344</v>
      </c>
      <c r="C36" s="12">
        <v>433</v>
      </c>
      <c r="D36" s="12">
        <v>2</v>
      </c>
      <c r="E36" s="12">
        <v>22</v>
      </c>
      <c r="F36" s="12">
        <v>10</v>
      </c>
      <c r="G36" s="12">
        <v>13</v>
      </c>
      <c r="H36" s="12">
        <v>23</v>
      </c>
      <c r="I36" s="12">
        <v>31</v>
      </c>
      <c r="J36" s="12">
        <v>7</v>
      </c>
      <c r="K36" s="12">
        <v>25</v>
      </c>
      <c r="L36" s="12">
        <v>13</v>
      </c>
      <c r="M36" s="12">
        <v>22</v>
      </c>
      <c r="N36" s="12">
        <v>28</v>
      </c>
      <c r="O36" s="12">
        <v>24</v>
      </c>
      <c r="P36" s="12">
        <v>7</v>
      </c>
      <c r="Q36" s="12">
        <v>9</v>
      </c>
      <c r="R36" s="12">
        <v>2</v>
      </c>
      <c r="S36" s="12">
        <v>47</v>
      </c>
      <c r="T36" s="12">
        <v>15</v>
      </c>
      <c r="U36" s="12">
        <v>8</v>
      </c>
      <c r="V36" s="12">
        <v>9</v>
      </c>
      <c r="W36" s="12">
        <v>1</v>
      </c>
      <c r="X36" s="12">
        <v>1</v>
      </c>
      <c r="Y36" s="12">
        <v>21</v>
      </c>
      <c r="Z36" s="12">
        <v>8</v>
      </c>
      <c r="AA36" s="12">
        <v>22</v>
      </c>
      <c r="AB36" s="12">
        <v>3</v>
      </c>
      <c r="AC36" s="12">
        <v>13</v>
      </c>
      <c r="AD36" s="12">
        <v>9</v>
      </c>
      <c r="AE36" s="12">
        <v>49</v>
      </c>
      <c r="AF36" s="12">
        <v>11</v>
      </c>
    </row>
    <row r="37" spans="1:32" x14ac:dyDescent="0.35">
      <c r="A37" s="31"/>
      <c r="B37" s="13" t="s">
        <v>357</v>
      </c>
      <c r="C37" s="14">
        <v>0.02</v>
      </c>
      <c r="D37" s="15" t="s">
        <v>333</v>
      </c>
      <c r="E37" s="14">
        <v>0.02</v>
      </c>
      <c r="F37" s="14">
        <v>0.01</v>
      </c>
      <c r="G37" s="14">
        <v>0.01</v>
      </c>
      <c r="H37" s="14">
        <v>0.02</v>
      </c>
      <c r="I37" s="14">
        <v>0.02</v>
      </c>
      <c r="J37" s="14">
        <v>0.03</v>
      </c>
      <c r="K37" s="14">
        <v>0.03</v>
      </c>
      <c r="L37" s="14">
        <v>0.01</v>
      </c>
      <c r="M37" s="14">
        <v>0.02</v>
      </c>
      <c r="N37" s="14">
        <v>0.03</v>
      </c>
      <c r="O37" s="14">
        <v>0.03</v>
      </c>
      <c r="P37" s="14">
        <v>0.01</v>
      </c>
      <c r="Q37" s="14">
        <v>0.01</v>
      </c>
      <c r="R37" s="14">
        <v>0.01</v>
      </c>
      <c r="S37" s="14">
        <v>0.05</v>
      </c>
      <c r="T37" s="14">
        <v>0.02</v>
      </c>
      <c r="U37" s="14">
        <v>0.02</v>
      </c>
      <c r="V37" s="14">
        <v>0.01</v>
      </c>
      <c r="W37" s="15" t="s">
        <v>333</v>
      </c>
      <c r="X37" s="15" t="s">
        <v>333</v>
      </c>
      <c r="Y37" s="14">
        <v>0.02</v>
      </c>
      <c r="Z37" s="14">
        <v>0.01</v>
      </c>
      <c r="AA37" s="14">
        <v>0.02</v>
      </c>
      <c r="AB37" s="15" t="s">
        <v>333</v>
      </c>
      <c r="AC37" s="14">
        <v>0.01</v>
      </c>
      <c r="AD37" s="14">
        <v>0.01</v>
      </c>
      <c r="AE37" s="14">
        <v>0.05</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60" customHeight="1" x14ac:dyDescent="0.35">
      <c r="B3" s="30" t="s">
        <v>109</v>
      </c>
      <c r="C3" s="30"/>
      <c r="D3" s="30"/>
      <c r="E3" s="30"/>
      <c r="F3" s="30"/>
      <c r="H3" s="30" t="s">
        <v>110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765</v>
      </c>
      <c r="C12" s="12">
        <v>7433</v>
      </c>
      <c r="D12" s="12">
        <v>334</v>
      </c>
      <c r="E12" s="12">
        <v>366</v>
      </c>
      <c r="F12" s="12">
        <v>425</v>
      </c>
      <c r="G12" s="12">
        <v>218</v>
      </c>
      <c r="H12" s="12">
        <v>233</v>
      </c>
      <c r="I12" s="12">
        <v>297</v>
      </c>
      <c r="J12" s="12">
        <v>64</v>
      </c>
      <c r="K12" s="12">
        <v>298</v>
      </c>
      <c r="L12" s="12">
        <v>304</v>
      </c>
      <c r="M12" s="12">
        <v>237</v>
      </c>
      <c r="N12" s="12">
        <v>316</v>
      </c>
      <c r="O12" s="12">
        <v>236</v>
      </c>
      <c r="P12" s="12">
        <v>335</v>
      </c>
      <c r="Q12" s="12">
        <v>417</v>
      </c>
      <c r="R12" s="12">
        <v>122</v>
      </c>
      <c r="S12" s="12">
        <v>240</v>
      </c>
      <c r="T12" s="12">
        <v>297</v>
      </c>
      <c r="U12" s="12">
        <v>140</v>
      </c>
      <c r="V12" s="12">
        <v>288</v>
      </c>
      <c r="W12" s="12">
        <v>197</v>
      </c>
      <c r="X12" s="12">
        <v>202</v>
      </c>
      <c r="Y12" s="12">
        <v>378</v>
      </c>
      <c r="Z12" s="12">
        <v>239</v>
      </c>
      <c r="AA12" s="12">
        <v>397</v>
      </c>
      <c r="AB12" s="12">
        <v>330</v>
      </c>
      <c r="AC12" s="12">
        <v>271</v>
      </c>
      <c r="AD12" s="12">
        <v>384</v>
      </c>
      <c r="AE12" s="12">
        <v>187</v>
      </c>
      <c r="AF12" s="12">
        <v>286</v>
      </c>
    </row>
    <row r="13" spans="1:32" x14ac:dyDescent="0.35">
      <c r="A13" s="31"/>
      <c r="B13" s="13" t="s">
        <v>766</v>
      </c>
      <c r="C13" s="14">
        <v>0.28000000000000003</v>
      </c>
      <c r="D13" s="14">
        <v>0.33</v>
      </c>
      <c r="E13" s="14">
        <v>0.35</v>
      </c>
      <c r="F13" s="14">
        <v>0.42</v>
      </c>
      <c r="G13" s="14">
        <v>0.21</v>
      </c>
      <c r="H13" s="14">
        <v>0.19</v>
      </c>
      <c r="I13" s="14">
        <v>0.19</v>
      </c>
      <c r="J13" s="14">
        <v>0.21</v>
      </c>
      <c r="K13" s="14">
        <v>0.3</v>
      </c>
      <c r="L13" s="14">
        <v>0.3</v>
      </c>
      <c r="M13" s="14">
        <v>0.24</v>
      </c>
      <c r="N13" s="14">
        <v>0.32</v>
      </c>
      <c r="O13" s="14">
        <v>0.24</v>
      </c>
      <c r="P13" s="14">
        <v>0.33</v>
      </c>
      <c r="Q13" s="14">
        <v>0.4</v>
      </c>
      <c r="R13" s="14">
        <v>0.24</v>
      </c>
      <c r="S13" s="14">
        <v>0.24</v>
      </c>
      <c r="T13" s="14">
        <v>0.28999999999999998</v>
      </c>
      <c r="U13" s="14">
        <v>0.28000000000000003</v>
      </c>
      <c r="V13" s="14">
        <v>0.28000000000000003</v>
      </c>
      <c r="W13" s="14">
        <v>0.39</v>
      </c>
      <c r="X13" s="14">
        <v>0.2</v>
      </c>
      <c r="Y13" s="14">
        <v>0.38</v>
      </c>
      <c r="Z13" s="14">
        <v>0.23</v>
      </c>
      <c r="AA13" s="14">
        <v>0.39</v>
      </c>
      <c r="AB13" s="14">
        <v>0.31</v>
      </c>
      <c r="AC13" s="14">
        <v>0.27</v>
      </c>
      <c r="AD13" s="14">
        <v>0.38</v>
      </c>
      <c r="AE13" s="14">
        <v>0.19</v>
      </c>
      <c r="AF13" s="14">
        <v>0.28000000000000003</v>
      </c>
    </row>
    <row r="14" spans="1:32" ht="61.5" x14ac:dyDescent="0.35">
      <c r="A14" s="31"/>
      <c r="B14" s="11" t="s">
        <v>767</v>
      </c>
      <c r="C14" s="12">
        <v>9788</v>
      </c>
      <c r="D14" s="12">
        <v>327</v>
      </c>
      <c r="E14" s="12">
        <v>307</v>
      </c>
      <c r="F14" s="12">
        <v>345</v>
      </c>
      <c r="G14" s="12">
        <v>493</v>
      </c>
      <c r="H14" s="12">
        <v>507</v>
      </c>
      <c r="I14" s="12">
        <v>597</v>
      </c>
      <c r="J14" s="12">
        <v>90</v>
      </c>
      <c r="K14" s="12">
        <v>283</v>
      </c>
      <c r="L14" s="12">
        <v>397</v>
      </c>
      <c r="M14" s="12">
        <v>485</v>
      </c>
      <c r="N14" s="12">
        <v>411</v>
      </c>
      <c r="O14" s="12">
        <v>294</v>
      </c>
      <c r="P14" s="12">
        <v>453</v>
      </c>
      <c r="Q14" s="12">
        <v>390</v>
      </c>
      <c r="R14" s="12">
        <v>175</v>
      </c>
      <c r="S14" s="12">
        <v>196</v>
      </c>
      <c r="T14" s="12">
        <v>367</v>
      </c>
      <c r="U14" s="12">
        <v>193</v>
      </c>
      <c r="V14" s="12">
        <v>340</v>
      </c>
      <c r="W14" s="12">
        <v>243</v>
      </c>
      <c r="X14" s="12">
        <v>470</v>
      </c>
      <c r="Y14" s="12">
        <v>473</v>
      </c>
      <c r="Z14" s="12">
        <v>262</v>
      </c>
      <c r="AA14" s="12">
        <v>436</v>
      </c>
      <c r="AB14" s="12">
        <v>364</v>
      </c>
      <c r="AC14" s="12">
        <v>321</v>
      </c>
      <c r="AD14" s="12">
        <v>399</v>
      </c>
      <c r="AE14" s="12">
        <v>373</v>
      </c>
      <c r="AF14" s="12">
        <v>611</v>
      </c>
    </row>
    <row r="15" spans="1:32" ht="41.5" x14ac:dyDescent="0.35">
      <c r="A15" s="31"/>
      <c r="B15" s="13" t="s">
        <v>768</v>
      </c>
      <c r="C15" s="14">
        <v>0.37</v>
      </c>
      <c r="D15" s="14">
        <v>0.32</v>
      </c>
      <c r="E15" s="14">
        <v>0.3</v>
      </c>
      <c r="F15" s="14">
        <v>0.34</v>
      </c>
      <c r="G15" s="14">
        <v>0.48</v>
      </c>
      <c r="H15" s="14">
        <v>0.41</v>
      </c>
      <c r="I15" s="14">
        <v>0.39</v>
      </c>
      <c r="J15" s="14">
        <v>0.3</v>
      </c>
      <c r="K15" s="14">
        <v>0.28000000000000003</v>
      </c>
      <c r="L15" s="14">
        <v>0.4</v>
      </c>
      <c r="M15" s="14">
        <v>0.48</v>
      </c>
      <c r="N15" s="14">
        <v>0.41</v>
      </c>
      <c r="O15" s="14">
        <v>0.28999999999999998</v>
      </c>
      <c r="P15" s="14">
        <v>0.45</v>
      </c>
      <c r="Q15" s="14">
        <v>0.38</v>
      </c>
      <c r="R15" s="14">
        <v>0.35</v>
      </c>
      <c r="S15" s="14">
        <v>0.19</v>
      </c>
      <c r="T15" s="14">
        <v>0.36</v>
      </c>
      <c r="U15" s="14">
        <v>0.38</v>
      </c>
      <c r="V15" s="14">
        <v>0.34</v>
      </c>
      <c r="W15" s="14">
        <v>0.49</v>
      </c>
      <c r="X15" s="14">
        <v>0.47</v>
      </c>
      <c r="Y15" s="14">
        <v>0.47</v>
      </c>
      <c r="Z15" s="14">
        <v>0.26</v>
      </c>
      <c r="AA15" s="14">
        <v>0.42</v>
      </c>
      <c r="AB15" s="14">
        <v>0.34</v>
      </c>
      <c r="AC15" s="14">
        <v>0.32</v>
      </c>
      <c r="AD15" s="14">
        <v>0.4</v>
      </c>
      <c r="AE15" s="14">
        <v>0.37</v>
      </c>
      <c r="AF15" s="14">
        <v>0.6</v>
      </c>
    </row>
    <row r="16" spans="1:32" ht="51.5" x14ac:dyDescent="0.35">
      <c r="A16" s="31"/>
      <c r="B16" s="11" t="s">
        <v>769</v>
      </c>
      <c r="C16" s="12">
        <v>12253</v>
      </c>
      <c r="D16" s="12">
        <v>491</v>
      </c>
      <c r="E16" s="12">
        <v>409</v>
      </c>
      <c r="F16" s="12">
        <v>466</v>
      </c>
      <c r="G16" s="12">
        <v>427</v>
      </c>
      <c r="H16" s="12">
        <v>605</v>
      </c>
      <c r="I16" s="12">
        <v>735</v>
      </c>
      <c r="J16" s="12">
        <v>130</v>
      </c>
      <c r="K16" s="12">
        <v>431</v>
      </c>
      <c r="L16" s="12">
        <v>432</v>
      </c>
      <c r="M16" s="12">
        <v>489</v>
      </c>
      <c r="N16" s="12">
        <v>444</v>
      </c>
      <c r="O16" s="12">
        <v>464</v>
      </c>
      <c r="P16" s="12">
        <v>471</v>
      </c>
      <c r="Q16" s="12">
        <v>506</v>
      </c>
      <c r="R16" s="12">
        <v>203</v>
      </c>
      <c r="S16" s="12">
        <v>361</v>
      </c>
      <c r="T16" s="12">
        <v>480</v>
      </c>
      <c r="U16" s="12">
        <v>250</v>
      </c>
      <c r="V16" s="12">
        <v>443</v>
      </c>
      <c r="W16" s="12">
        <v>238</v>
      </c>
      <c r="X16" s="12">
        <v>581</v>
      </c>
      <c r="Y16" s="12">
        <v>574</v>
      </c>
      <c r="Z16" s="12">
        <v>323</v>
      </c>
      <c r="AA16" s="12">
        <v>645</v>
      </c>
      <c r="AB16" s="12">
        <v>426</v>
      </c>
      <c r="AC16" s="12">
        <v>429</v>
      </c>
      <c r="AD16" s="12">
        <v>588</v>
      </c>
      <c r="AE16" s="12">
        <v>483</v>
      </c>
      <c r="AF16" s="12">
        <v>497</v>
      </c>
    </row>
    <row r="17" spans="1:32" ht="41.5" x14ac:dyDescent="0.35">
      <c r="A17" s="31"/>
      <c r="B17" s="13" t="s">
        <v>770</v>
      </c>
      <c r="C17" s="14">
        <v>0.46</v>
      </c>
      <c r="D17" s="14">
        <v>0.48</v>
      </c>
      <c r="E17" s="14">
        <v>0.39</v>
      </c>
      <c r="F17" s="14">
        <v>0.46</v>
      </c>
      <c r="G17" s="14">
        <v>0.42</v>
      </c>
      <c r="H17" s="14">
        <v>0.49</v>
      </c>
      <c r="I17" s="14">
        <v>0.48</v>
      </c>
      <c r="J17" s="14">
        <v>0.44</v>
      </c>
      <c r="K17" s="14">
        <v>0.43</v>
      </c>
      <c r="L17" s="14">
        <v>0.43</v>
      </c>
      <c r="M17" s="14">
        <v>0.49</v>
      </c>
      <c r="N17" s="14">
        <v>0.44</v>
      </c>
      <c r="O17" s="14">
        <v>0.46</v>
      </c>
      <c r="P17" s="14">
        <v>0.47</v>
      </c>
      <c r="Q17" s="14">
        <v>0.49</v>
      </c>
      <c r="R17" s="14">
        <v>0.4</v>
      </c>
      <c r="S17" s="14">
        <v>0.35</v>
      </c>
      <c r="T17" s="14">
        <v>0.47</v>
      </c>
      <c r="U17" s="14">
        <v>0.49</v>
      </c>
      <c r="V17" s="14">
        <v>0.44</v>
      </c>
      <c r="W17" s="14">
        <v>0.47</v>
      </c>
      <c r="X17" s="14">
        <v>0.57999999999999996</v>
      </c>
      <c r="Y17" s="14">
        <v>0.57000000000000006</v>
      </c>
      <c r="Z17" s="14">
        <v>0.32</v>
      </c>
      <c r="AA17" s="14">
        <v>0.63</v>
      </c>
      <c r="AB17" s="14">
        <v>0.4</v>
      </c>
      <c r="AC17" s="14">
        <v>0.42</v>
      </c>
      <c r="AD17" s="14">
        <v>0.59</v>
      </c>
      <c r="AE17" s="14">
        <v>0.48</v>
      </c>
      <c r="AF17" s="14">
        <v>0.49</v>
      </c>
    </row>
    <row r="18" spans="1:32" ht="41.5" x14ac:dyDescent="0.35">
      <c r="A18" s="31"/>
      <c r="B18" s="11" t="s">
        <v>771</v>
      </c>
      <c r="C18" s="12">
        <v>7944</v>
      </c>
      <c r="D18" s="12">
        <v>381</v>
      </c>
      <c r="E18" s="12">
        <v>288</v>
      </c>
      <c r="F18" s="12">
        <v>289</v>
      </c>
      <c r="G18" s="12">
        <v>400</v>
      </c>
      <c r="H18" s="12">
        <v>419</v>
      </c>
      <c r="I18" s="12">
        <v>524</v>
      </c>
      <c r="J18" s="12">
        <v>105</v>
      </c>
      <c r="K18" s="12">
        <v>362</v>
      </c>
      <c r="L18" s="12">
        <v>377</v>
      </c>
      <c r="M18" s="12">
        <v>422</v>
      </c>
      <c r="N18" s="12">
        <v>261</v>
      </c>
      <c r="O18" s="12">
        <v>212</v>
      </c>
      <c r="P18" s="12">
        <v>326</v>
      </c>
      <c r="Q18" s="12">
        <v>294</v>
      </c>
      <c r="R18" s="12">
        <v>130</v>
      </c>
      <c r="S18" s="12">
        <v>317</v>
      </c>
      <c r="T18" s="12">
        <v>313</v>
      </c>
      <c r="U18" s="12">
        <v>171</v>
      </c>
      <c r="V18" s="12">
        <v>308</v>
      </c>
      <c r="W18" s="12">
        <v>212</v>
      </c>
      <c r="X18" s="12">
        <v>435</v>
      </c>
      <c r="Y18" s="12">
        <v>415</v>
      </c>
      <c r="Z18" s="12">
        <v>234</v>
      </c>
      <c r="AA18" s="12">
        <v>306</v>
      </c>
      <c r="AB18" s="12">
        <v>298</v>
      </c>
      <c r="AC18" s="12">
        <v>199</v>
      </c>
      <c r="AD18" s="12">
        <v>333</v>
      </c>
      <c r="AE18" s="12">
        <v>364</v>
      </c>
      <c r="AF18" s="12">
        <v>484</v>
      </c>
    </row>
    <row r="19" spans="1:32" ht="41.5" x14ac:dyDescent="0.35">
      <c r="A19" s="31"/>
      <c r="B19" s="13" t="s">
        <v>772</v>
      </c>
      <c r="C19" s="14">
        <v>0.3</v>
      </c>
      <c r="D19" s="14">
        <v>0.37</v>
      </c>
      <c r="E19" s="14">
        <v>0.28000000000000003</v>
      </c>
      <c r="F19" s="14">
        <v>0.28000000000000003</v>
      </c>
      <c r="G19" s="14">
        <v>0.39</v>
      </c>
      <c r="H19" s="14">
        <v>0.34</v>
      </c>
      <c r="I19" s="14">
        <v>0.34</v>
      </c>
      <c r="J19" s="14">
        <v>0.35</v>
      </c>
      <c r="K19" s="14">
        <v>0.36</v>
      </c>
      <c r="L19" s="14">
        <v>0.38</v>
      </c>
      <c r="M19" s="14">
        <v>0.42</v>
      </c>
      <c r="N19" s="14">
        <v>0.26</v>
      </c>
      <c r="O19" s="14">
        <v>0.21</v>
      </c>
      <c r="P19" s="14">
        <v>0.32</v>
      </c>
      <c r="Q19" s="14">
        <v>0.28000000000000003</v>
      </c>
      <c r="R19" s="14">
        <v>0.26</v>
      </c>
      <c r="S19" s="14">
        <v>0.31</v>
      </c>
      <c r="T19" s="14">
        <v>0.31</v>
      </c>
      <c r="U19" s="14">
        <v>0.34</v>
      </c>
      <c r="V19" s="14">
        <v>0.3</v>
      </c>
      <c r="W19" s="14">
        <v>0.42</v>
      </c>
      <c r="X19" s="14">
        <v>0.43</v>
      </c>
      <c r="Y19" s="14">
        <v>0.41</v>
      </c>
      <c r="Z19" s="14">
        <v>0.23</v>
      </c>
      <c r="AA19" s="14">
        <v>0.3</v>
      </c>
      <c r="AB19" s="14">
        <v>0.28000000000000003</v>
      </c>
      <c r="AC19" s="14">
        <v>0.2</v>
      </c>
      <c r="AD19" s="14">
        <v>0.33</v>
      </c>
      <c r="AE19" s="14">
        <v>0.36</v>
      </c>
      <c r="AF19" s="14">
        <v>0.47</v>
      </c>
    </row>
    <row r="20" spans="1:32" x14ac:dyDescent="0.35">
      <c r="A20" s="31"/>
      <c r="B20" s="11" t="s">
        <v>773</v>
      </c>
      <c r="C20" s="12">
        <v>7386</v>
      </c>
      <c r="D20" s="12">
        <v>310</v>
      </c>
      <c r="E20" s="12">
        <v>322</v>
      </c>
      <c r="F20" s="12">
        <v>424</v>
      </c>
      <c r="G20" s="12">
        <v>180</v>
      </c>
      <c r="H20" s="12">
        <v>224</v>
      </c>
      <c r="I20" s="12">
        <v>278</v>
      </c>
      <c r="J20" s="12">
        <v>54</v>
      </c>
      <c r="K20" s="12">
        <v>310</v>
      </c>
      <c r="L20" s="12">
        <v>342</v>
      </c>
      <c r="M20" s="12">
        <v>222</v>
      </c>
      <c r="N20" s="12">
        <v>335</v>
      </c>
      <c r="O20" s="12">
        <v>228</v>
      </c>
      <c r="P20" s="12">
        <v>371</v>
      </c>
      <c r="Q20" s="12">
        <v>410</v>
      </c>
      <c r="R20" s="12">
        <v>155</v>
      </c>
      <c r="S20" s="12">
        <v>292</v>
      </c>
      <c r="T20" s="12">
        <v>278</v>
      </c>
      <c r="U20" s="12">
        <v>153</v>
      </c>
      <c r="V20" s="12">
        <v>301</v>
      </c>
      <c r="W20" s="12">
        <v>190</v>
      </c>
      <c r="X20" s="12">
        <v>125</v>
      </c>
      <c r="Y20" s="12">
        <v>318</v>
      </c>
      <c r="Z20" s="12">
        <v>272</v>
      </c>
      <c r="AA20" s="12">
        <v>382</v>
      </c>
      <c r="AB20" s="12">
        <v>357</v>
      </c>
      <c r="AC20" s="12">
        <v>247</v>
      </c>
      <c r="AD20" s="12">
        <v>466</v>
      </c>
      <c r="AE20" s="12">
        <v>298</v>
      </c>
      <c r="AF20" s="12">
        <v>289</v>
      </c>
    </row>
    <row r="21" spans="1:32" x14ac:dyDescent="0.35">
      <c r="A21" s="31"/>
      <c r="B21" s="13" t="s">
        <v>774</v>
      </c>
      <c r="C21" s="14">
        <v>0.28000000000000003</v>
      </c>
      <c r="D21" s="14">
        <v>0.3</v>
      </c>
      <c r="E21" s="14">
        <v>0.31</v>
      </c>
      <c r="F21" s="14">
        <v>0.42</v>
      </c>
      <c r="G21" s="14">
        <v>0.18</v>
      </c>
      <c r="H21" s="14">
        <v>0.18</v>
      </c>
      <c r="I21" s="14">
        <v>0.18</v>
      </c>
      <c r="J21" s="14">
        <v>0.18</v>
      </c>
      <c r="K21" s="14">
        <v>0.31</v>
      </c>
      <c r="L21" s="14">
        <v>0.34</v>
      </c>
      <c r="M21" s="14">
        <v>0.22</v>
      </c>
      <c r="N21" s="14">
        <v>0.33</v>
      </c>
      <c r="O21" s="14">
        <v>0.23</v>
      </c>
      <c r="P21" s="14">
        <v>0.37</v>
      </c>
      <c r="Q21" s="14">
        <v>0.4</v>
      </c>
      <c r="R21" s="14">
        <v>0.31</v>
      </c>
      <c r="S21" s="14">
        <v>0.28999999999999998</v>
      </c>
      <c r="T21" s="14">
        <v>0.27</v>
      </c>
      <c r="U21" s="14">
        <v>0.3</v>
      </c>
      <c r="V21" s="14">
        <v>0.3</v>
      </c>
      <c r="W21" s="14">
        <v>0.38</v>
      </c>
      <c r="X21" s="14">
        <v>0.12</v>
      </c>
      <c r="Y21" s="14">
        <v>0.32</v>
      </c>
      <c r="Z21" s="14">
        <v>0.27</v>
      </c>
      <c r="AA21" s="14">
        <v>0.37</v>
      </c>
      <c r="AB21" s="14">
        <v>0.34</v>
      </c>
      <c r="AC21" s="14">
        <v>0.24</v>
      </c>
      <c r="AD21" s="14">
        <v>0.46</v>
      </c>
      <c r="AE21" s="14">
        <v>0.3</v>
      </c>
      <c r="AF21" s="14">
        <v>0.28000000000000003</v>
      </c>
    </row>
    <row r="22" spans="1:32" ht="21.5" x14ac:dyDescent="0.35">
      <c r="A22" s="31"/>
      <c r="B22" s="11" t="s">
        <v>775</v>
      </c>
      <c r="C22" s="12">
        <v>11091</v>
      </c>
      <c r="D22" s="12">
        <v>454</v>
      </c>
      <c r="E22" s="12">
        <v>442</v>
      </c>
      <c r="F22" s="12">
        <v>596</v>
      </c>
      <c r="G22" s="12">
        <v>354</v>
      </c>
      <c r="H22" s="12">
        <v>635</v>
      </c>
      <c r="I22" s="12">
        <v>780</v>
      </c>
      <c r="J22" s="12">
        <v>145</v>
      </c>
      <c r="K22" s="12">
        <v>389</v>
      </c>
      <c r="L22" s="12">
        <v>363</v>
      </c>
      <c r="M22" s="12">
        <v>406</v>
      </c>
      <c r="N22" s="12">
        <v>382</v>
      </c>
      <c r="O22" s="12">
        <v>379</v>
      </c>
      <c r="P22" s="12">
        <v>355</v>
      </c>
      <c r="Q22" s="12">
        <v>410</v>
      </c>
      <c r="R22" s="12">
        <v>230</v>
      </c>
      <c r="S22" s="12">
        <v>393</v>
      </c>
      <c r="T22" s="12">
        <v>471</v>
      </c>
      <c r="U22" s="12">
        <v>202</v>
      </c>
      <c r="V22" s="12">
        <v>385</v>
      </c>
      <c r="W22" s="12">
        <v>299</v>
      </c>
      <c r="X22" s="12">
        <v>487</v>
      </c>
      <c r="Y22" s="12">
        <v>497</v>
      </c>
      <c r="Z22" s="12">
        <v>308</v>
      </c>
      <c r="AA22" s="12">
        <v>574</v>
      </c>
      <c r="AB22" s="12">
        <v>356</v>
      </c>
      <c r="AC22" s="12">
        <v>413</v>
      </c>
      <c r="AD22" s="12">
        <v>522</v>
      </c>
      <c r="AE22" s="12">
        <v>428</v>
      </c>
      <c r="AF22" s="12">
        <v>415</v>
      </c>
    </row>
    <row r="23" spans="1:32" ht="21.5" x14ac:dyDescent="0.35">
      <c r="A23" s="31"/>
      <c r="B23" s="13" t="s">
        <v>776</v>
      </c>
      <c r="C23" s="14">
        <v>0.42</v>
      </c>
      <c r="D23" s="14">
        <v>0.44</v>
      </c>
      <c r="E23" s="14">
        <v>0.43</v>
      </c>
      <c r="F23" s="14">
        <v>0.59</v>
      </c>
      <c r="G23" s="14">
        <v>0.35</v>
      </c>
      <c r="H23" s="14">
        <v>0.51</v>
      </c>
      <c r="I23" s="14">
        <v>0.51</v>
      </c>
      <c r="J23" s="14">
        <v>0.49</v>
      </c>
      <c r="K23" s="14">
        <v>0.39</v>
      </c>
      <c r="L23" s="14">
        <v>0.36</v>
      </c>
      <c r="M23" s="14">
        <v>0.4</v>
      </c>
      <c r="N23" s="14">
        <v>0.38</v>
      </c>
      <c r="O23" s="14">
        <v>0.38</v>
      </c>
      <c r="P23" s="14">
        <v>0.35</v>
      </c>
      <c r="Q23" s="14">
        <v>0.4</v>
      </c>
      <c r="R23" s="14">
        <v>0.46</v>
      </c>
      <c r="S23" s="14">
        <v>0.38</v>
      </c>
      <c r="T23" s="14">
        <v>0.46</v>
      </c>
      <c r="U23" s="14">
        <v>0.4</v>
      </c>
      <c r="V23" s="14">
        <v>0.38</v>
      </c>
      <c r="W23" s="14">
        <v>0.6</v>
      </c>
      <c r="X23" s="14">
        <v>0.48</v>
      </c>
      <c r="Y23" s="14">
        <v>0.5</v>
      </c>
      <c r="Z23" s="14">
        <v>0.3</v>
      </c>
      <c r="AA23" s="14">
        <v>0.56000000000000005</v>
      </c>
      <c r="AB23" s="14">
        <v>0.34</v>
      </c>
      <c r="AC23" s="14">
        <v>0.41</v>
      </c>
      <c r="AD23" s="14">
        <v>0.52</v>
      </c>
      <c r="AE23" s="14">
        <v>0.43</v>
      </c>
      <c r="AF23" s="14">
        <v>0.41</v>
      </c>
    </row>
    <row r="24" spans="1:32" ht="51.5" x14ac:dyDescent="0.35">
      <c r="A24" s="31"/>
      <c r="B24" s="11" t="s">
        <v>777</v>
      </c>
      <c r="C24" s="12">
        <v>5285</v>
      </c>
      <c r="D24" s="12">
        <v>191</v>
      </c>
      <c r="E24" s="12">
        <v>193</v>
      </c>
      <c r="F24" s="12">
        <v>239</v>
      </c>
      <c r="G24" s="12">
        <v>180</v>
      </c>
      <c r="H24" s="12">
        <v>173</v>
      </c>
      <c r="I24" s="12">
        <v>209</v>
      </c>
      <c r="J24" s="12">
        <v>36</v>
      </c>
      <c r="K24" s="12">
        <v>197</v>
      </c>
      <c r="L24" s="12">
        <v>187</v>
      </c>
      <c r="M24" s="12">
        <v>256</v>
      </c>
      <c r="N24" s="12">
        <v>172</v>
      </c>
      <c r="O24" s="12">
        <v>128</v>
      </c>
      <c r="P24" s="12">
        <v>290</v>
      </c>
      <c r="Q24" s="12">
        <v>301</v>
      </c>
      <c r="R24" s="12">
        <v>89</v>
      </c>
      <c r="S24" s="12">
        <v>142</v>
      </c>
      <c r="T24" s="12">
        <v>205</v>
      </c>
      <c r="U24" s="12">
        <v>103</v>
      </c>
      <c r="V24" s="12">
        <v>332</v>
      </c>
      <c r="W24" s="12">
        <v>150</v>
      </c>
      <c r="X24" s="12">
        <v>237</v>
      </c>
      <c r="Y24" s="12">
        <v>309</v>
      </c>
      <c r="Z24" s="12">
        <v>237</v>
      </c>
      <c r="AA24" s="12">
        <v>229</v>
      </c>
      <c r="AB24" s="12">
        <v>285</v>
      </c>
      <c r="AC24" s="12">
        <v>198</v>
      </c>
      <c r="AD24" s="12">
        <v>301</v>
      </c>
      <c r="AE24" s="12">
        <v>112</v>
      </c>
      <c r="AF24" s="12">
        <v>176</v>
      </c>
    </row>
    <row r="25" spans="1:32" ht="41.5" x14ac:dyDescent="0.35">
      <c r="A25" s="31"/>
      <c r="B25" s="13" t="s">
        <v>778</v>
      </c>
      <c r="C25" s="14">
        <v>0.2</v>
      </c>
      <c r="D25" s="14">
        <v>0.19</v>
      </c>
      <c r="E25" s="14">
        <v>0.19</v>
      </c>
      <c r="F25" s="14">
        <v>0.24</v>
      </c>
      <c r="G25" s="14">
        <v>0.18</v>
      </c>
      <c r="H25" s="14">
        <v>0.14000000000000001</v>
      </c>
      <c r="I25" s="14">
        <v>0.14000000000000001</v>
      </c>
      <c r="J25" s="14">
        <v>0.12</v>
      </c>
      <c r="K25" s="14">
        <v>0.2</v>
      </c>
      <c r="L25" s="14">
        <v>0.19</v>
      </c>
      <c r="M25" s="14">
        <v>0.26</v>
      </c>
      <c r="N25" s="14">
        <v>0.17</v>
      </c>
      <c r="O25" s="14">
        <v>0.13</v>
      </c>
      <c r="P25" s="14">
        <v>0.28999999999999998</v>
      </c>
      <c r="Q25" s="14">
        <v>0.28999999999999998</v>
      </c>
      <c r="R25" s="14">
        <v>0.18</v>
      </c>
      <c r="S25" s="14">
        <v>0.14000000000000001</v>
      </c>
      <c r="T25" s="14">
        <v>0.2</v>
      </c>
      <c r="U25" s="14">
        <v>0.2</v>
      </c>
      <c r="V25" s="14">
        <v>0.33</v>
      </c>
      <c r="W25" s="14">
        <v>0.3</v>
      </c>
      <c r="X25" s="14">
        <v>0.23</v>
      </c>
      <c r="Y25" s="14">
        <v>0.31</v>
      </c>
      <c r="Z25" s="14">
        <v>0.23</v>
      </c>
      <c r="AA25" s="14">
        <v>0.22</v>
      </c>
      <c r="AB25" s="14">
        <v>0.27</v>
      </c>
      <c r="AC25" s="14">
        <v>0.2</v>
      </c>
      <c r="AD25" s="14">
        <v>0.3</v>
      </c>
      <c r="AE25" s="14">
        <v>0.11</v>
      </c>
      <c r="AF25" s="14">
        <v>0.17</v>
      </c>
    </row>
    <row r="26" spans="1:32" ht="51.5" x14ac:dyDescent="0.35">
      <c r="A26" s="31"/>
      <c r="B26" s="11" t="s">
        <v>779</v>
      </c>
      <c r="C26" s="12">
        <v>8634</v>
      </c>
      <c r="D26" s="12">
        <v>293</v>
      </c>
      <c r="E26" s="12">
        <v>274</v>
      </c>
      <c r="F26" s="12">
        <v>343</v>
      </c>
      <c r="G26" s="12">
        <v>409</v>
      </c>
      <c r="H26" s="12">
        <v>373</v>
      </c>
      <c r="I26" s="12">
        <v>465</v>
      </c>
      <c r="J26" s="12">
        <v>92</v>
      </c>
      <c r="K26" s="12">
        <v>340</v>
      </c>
      <c r="L26" s="12">
        <v>303</v>
      </c>
      <c r="M26" s="12">
        <v>420</v>
      </c>
      <c r="N26" s="12">
        <v>241</v>
      </c>
      <c r="O26" s="12">
        <v>326</v>
      </c>
      <c r="P26" s="12">
        <v>336</v>
      </c>
      <c r="Q26" s="12">
        <v>397</v>
      </c>
      <c r="R26" s="12">
        <v>192</v>
      </c>
      <c r="S26" s="12">
        <v>222</v>
      </c>
      <c r="T26" s="12">
        <v>279</v>
      </c>
      <c r="U26" s="12">
        <v>150</v>
      </c>
      <c r="V26" s="12">
        <v>396</v>
      </c>
      <c r="W26" s="12">
        <v>209</v>
      </c>
      <c r="X26" s="12">
        <v>456</v>
      </c>
      <c r="Y26" s="12">
        <v>392</v>
      </c>
      <c r="Z26" s="12">
        <v>284</v>
      </c>
      <c r="AA26" s="12">
        <v>268</v>
      </c>
      <c r="AB26" s="12">
        <v>295</v>
      </c>
      <c r="AC26" s="12">
        <v>319</v>
      </c>
      <c r="AD26" s="12">
        <v>506</v>
      </c>
      <c r="AE26" s="12">
        <v>386</v>
      </c>
      <c r="AF26" s="12">
        <v>456</v>
      </c>
    </row>
    <row r="27" spans="1:32" ht="41.5" x14ac:dyDescent="0.35">
      <c r="A27" s="31"/>
      <c r="B27" s="13" t="s">
        <v>780</v>
      </c>
      <c r="C27" s="14">
        <v>0.33</v>
      </c>
      <c r="D27" s="14">
        <v>0.28999999999999998</v>
      </c>
      <c r="E27" s="14">
        <v>0.26</v>
      </c>
      <c r="F27" s="14">
        <v>0.34</v>
      </c>
      <c r="G27" s="14">
        <v>0.4</v>
      </c>
      <c r="H27" s="14">
        <v>0.3</v>
      </c>
      <c r="I27" s="14">
        <v>0.3</v>
      </c>
      <c r="J27" s="14">
        <v>0.31</v>
      </c>
      <c r="K27" s="14">
        <v>0.34</v>
      </c>
      <c r="L27" s="14">
        <v>0.3</v>
      </c>
      <c r="M27" s="14">
        <v>0.42</v>
      </c>
      <c r="N27" s="14">
        <v>0.24</v>
      </c>
      <c r="O27" s="14">
        <v>0.33</v>
      </c>
      <c r="P27" s="14">
        <v>0.33</v>
      </c>
      <c r="Q27" s="14">
        <v>0.38</v>
      </c>
      <c r="R27" s="14">
        <v>0.38</v>
      </c>
      <c r="S27" s="14">
        <v>0.22</v>
      </c>
      <c r="T27" s="14">
        <v>0.27</v>
      </c>
      <c r="U27" s="14">
        <v>0.28999999999999998</v>
      </c>
      <c r="V27" s="14">
        <v>0.39</v>
      </c>
      <c r="W27" s="14">
        <v>0.42</v>
      </c>
      <c r="X27" s="14">
        <v>0.45</v>
      </c>
      <c r="Y27" s="14">
        <v>0.39</v>
      </c>
      <c r="Z27" s="14">
        <v>0.28000000000000003</v>
      </c>
      <c r="AA27" s="14">
        <v>0.26</v>
      </c>
      <c r="AB27" s="14">
        <v>0.28000000000000003</v>
      </c>
      <c r="AC27" s="14">
        <v>0.32</v>
      </c>
      <c r="AD27" s="14">
        <v>0.5</v>
      </c>
      <c r="AE27" s="14">
        <v>0.38</v>
      </c>
      <c r="AF27" s="14">
        <v>0.45</v>
      </c>
    </row>
    <row r="28" spans="1:32" ht="21.5" x14ac:dyDescent="0.35">
      <c r="A28" s="31"/>
      <c r="B28" s="11" t="s">
        <v>781</v>
      </c>
      <c r="C28" s="12">
        <v>5915</v>
      </c>
      <c r="D28" s="12">
        <v>211</v>
      </c>
      <c r="E28" s="12">
        <v>145</v>
      </c>
      <c r="F28" s="12">
        <v>235</v>
      </c>
      <c r="G28" s="12">
        <v>281</v>
      </c>
      <c r="H28" s="12">
        <v>242</v>
      </c>
      <c r="I28" s="12">
        <v>304</v>
      </c>
      <c r="J28" s="12">
        <v>62</v>
      </c>
      <c r="K28" s="12">
        <v>155</v>
      </c>
      <c r="L28" s="12">
        <v>222</v>
      </c>
      <c r="M28" s="12">
        <v>348</v>
      </c>
      <c r="N28" s="12">
        <v>225</v>
      </c>
      <c r="O28" s="12">
        <v>225</v>
      </c>
      <c r="P28" s="12">
        <v>284</v>
      </c>
      <c r="Q28" s="12">
        <v>286</v>
      </c>
      <c r="R28" s="12">
        <v>156</v>
      </c>
      <c r="S28" s="12">
        <v>117</v>
      </c>
      <c r="T28" s="12">
        <v>179</v>
      </c>
      <c r="U28" s="12">
        <v>116</v>
      </c>
      <c r="V28" s="12">
        <v>243</v>
      </c>
      <c r="W28" s="12">
        <v>111</v>
      </c>
      <c r="X28" s="12">
        <v>238</v>
      </c>
      <c r="Y28" s="12">
        <v>244</v>
      </c>
      <c r="Z28" s="12">
        <v>166</v>
      </c>
      <c r="AA28" s="12">
        <v>169</v>
      </c>
      <c r="AB28" s="12">
        <v>248</v>
      </c>
      <c r="AC28" s="12">
        <v>210</v>
      </c>
      <c r="AD28" s="12">
        <v>354</v>
      </c>
      <c r="AE28" s="12">
        <v>145</v>
      </c>
      <c r="AF28" s="12">
        <v>223</v>
      </c>
    </row>
    <row r="29" spans="1:32" ht="21.5" x14ac:dyDescent="0.35">
      <c r="A29" s="31"/>
      <c r="B29" s="13" t="s">
        <v>782</v>
      </c>
      <c r="C29" s="14">
        <v>0.22</v>
      </c>
      <c r="D29" s="14">
        <v>0.21</v>
      </c>
      <c r="E29" s="14">
        <v>0.14000000000000001</v>
      </c>
      <c r="F29" s="14">
        <v>0.23</v>
      </c>
      <c r="G29" s="14">
        <v>0.28000000000000003</v>
      </c>
      <c r="H29" s="14">
        <v>0.2</v>
      </c>
      <c r="I29" s="14">
        <v>0.2</v>
      </c>
      <c r="J29" s="14">
        <v>0.21</v>
      </c>
      <c r="K29" s="14">
        <v>0.15</v>
      </c>
      <c r="L29" s="14">
        <v>0.22</v>
      </c>
      <c r="M29" s="14">
        <v>0.35</v>
      </c>
      <c r="N29" s="14">
        <v>0.22</v>
      </c>
      <c r="O29" s="14">
        <v>0.23</v>
      </c>
      <c r="P29" s="14">
        <v>0.28000000000000003</v>
      </c>
      <c r="Q29" s="14">
        <v>0.28000000000000003</v>
      </c>
      <c r="R29" s="14">
        <v>0.31</v>
      </c>
      <c r="S29" s="14">
        <v>0.11</v>
      </c>
      <c r="T29" s="14">
        <v>0.18</v>
      </c>
      <c r="U29" s="14">
        <v>0.23</v>
      </c>
      <c r="V29" s="14">
        <v>0.24</v>
      </c>
      <c r="W29" s="14">
        <v>0.22</v>
      </c>
      <c r="X29" s="14">
        <v>0.24</v>
      </c>
      <c r="Y29" s="14">
        <v>0.24</v>
      </c>
      <c r="Z29" s="14">
        <v>0.16</v>
      </c>
      <c r="AA29" s="14">
        <v>0.16</v>
      </c>
      <c r="AB29" s="14">
        <v>0.23</v>
      </c>
      <c r="AC29" s="14">
        <v>0.21</v>
      </c>
      <c r="AD29" s="14">
        <v>0.35</v>
      </c>
      <c r="AE29" s="14">
        <v>0.14000000000000001</v>
      </c>
      <c r="AF29" s="14">
        <v>0.22</v>
      </c>
    </row>
    <row r="30" spans="1:32" ht="51.5" x14ac:dyDescent="0.35">
      <c r="A30" s="31"/>
      <c r="B30" s="11" t="s">
        <v>783</v>
      </c>
      <c r="C30" s="12">
        <v>8432</v>
      </c>
      <c r="D30" s="12">
        <v>262</v>
      </c>
      <c r="E30" s="12">
        <v>287</v>
      </c>
      <c r="F30" s="12">
        <v>340</v>
      </c>
      <c r="G30" s="12">
        <v>580</v>
      </c>
      <c r="H30" s="12">
        <v>394</v>
      </c>
      <c r="I30" s="12">
        <v>504</v>
      </c>
      <c r="J30" s="12">
        <v>110</v>
      </c>
      <c r="K30" s="12">
        <v>350</v>
      </c>
      <c r="L30" s="12">
        <v>426</v>
      </c>
      <c r="M30" s="12">
        <v>419</v>
      </c>
      <c r="N30" s="12">
        <v>234</v>
      </c>
      <c r="O30" s="12">
        <v>234</v>
      </c>
      <c r="P30" s="12">
        <v>359</v>
      </c>
      <c r="Q30" s="12">
        <v>357</v>
      </c>
      <c r="R30" s="12">
        <v>176</v>
      </c>
      <c r="S30" s="12">
        <v>190</v>
      </c>
      <c r="T30" s="12">
        <v>328</v>
      </c>
      <c r="U30" s="12">
        <v>101</v>
      </c>
      <c r="V30" s="12">
        <v>392</v>
      </c>
      <c r="W30" s="12">
        <v>113</v>
      </c>
      <c r="X30" s="12">
        <v>432</v>
      </c>
      <c r="Y30" s="12">
        <v>504</v>
      </c>
      <c r="Z30" s="12">
        <v>270</v>
      </c>
      <c r="AA30" s="12">
        <v>338</v>
      </c>
      <c r="AB30" s="12">
        <v>350</v>
      </c>
      <c r="AC30" s="12">
        <v>322</v>
      </c>
      <c r="AD30" s="12">
        <v>404</v>
      </c>
      <c r="AE30" s="12">
        <v>401</v>
      </c>
      <c r="AF30" s="12">
        <v>521</v>
      </c>
    </row>
    <row r="31" spans="1:32" ht="41.5" x14ac:dyDescent="0.35">
      <c r="A31" s="31"/>
      <c r="B31" s="13" t="s">
        <v>784</v>
      </c>
      <c r="C31" s="14">
        <v>0.32</v>
      </c>
      <c r="D31" s="14">
        <v>0.26</v>
      </c>
      <c r="E31" s="14">
        <v>0.28000000000000003</v>
      </c>
      <c r="F31" s="14">
        <v>0.33</v>
      </c>
      <c r="G31" s="14">
        <v>0.57000000000000006</v>
      </c>
      <c r="H31" s="14">
        <v>0.32</v>
      </c>
      <c r="I31" s="14">
        <v>0.33</v>
      </c>
      <c r="J31" s="14">
        <v>0.37</v>
      </c>
      <c r="K31" s="14">
        <v>0.35</v>
      </c>
      <c r="L31" s="14">
        <v>0.42</v>
      </c>
      <c r="M31" s="14">
        <v>0.42</v>
      </c>
      <c r="N31" s="14">
        <v>0.23</v>
      </c>
      <c r="O31" s="14">
        <v>0.23</v>
      </c>
      <c r="P31" s="14">
        <v>0.36</v>
      </c>
      <c r="Q31" s="14">
        <v>0.34</v>
      </c>
      <c r="R31" s="14">
        <v>0.35</v>
      </c>
      <c r="S31" s="14">
        <v>0.19</v>
      </c>
      <c r="T31" s="14">
        <v>0.32</v>
      </c>
      <c r="U31" s="14">
        <v>0.2</v>
      </c>
      <c r="V31" s="14">
        <v>0.39</v>
      </c>
      <c r="W31" s="14">
        <v>0.23</v>
      </c>
      <c r="X31" s="14">
        <v>0.43</v>
      </c>
      <c r="Y31" s="14">
        <v>0.5</v>
      </c>
      <c r="Z31" s="14">
        <v>0.27</v>
      </c>
      <c r="AA31" s="14">
        <v>0.33</v>
      </c>
      <c r="AB31" s="14">
        <v>0.33</v>
      </c>
      <c r="AC31" s="14">
        <v>0.32</v>
      </c>
      <c r="AD31" s="14">
        <v>0.4</v>
      </c>
      <c r="AE31" s="14">
        <v>0.4</v>
      </c>
      <c r="AF31" s="14">
        <v>0.51</v>
      </c>
    </row>
    <row r="32" spans="1:32" x14ac:dyDescent="0.35">
      <c r="A32" s="31"/>
      <c r="B32" s="11" t="s">
        <v>407</v>
      </c>
      <c r="C32" s="12">
        <v>158</v>
      </c>
      <c r="D32" s="12">
        <v>4</v>
      </c>
      <c r="E32" s="12">
        <v>2</v>
      </c>
      <c r="F32" s="12">
        <v>1</v>
      </c>
      <c r="G32" s="12">
        <v>5</v>
      </c>
      <c r="H32" s="12">
        <v>12</v>
      </c>
      <c r="I32" s="12">
        <v>15</v>
      </c>
      <c r="J32" s="12">
        <v>3</v>
      </c>
      <c r="K32" s="12">
        <v>16</v>
      </c>
      <c r="L32" s="12">
        <v>3</v>
      </c>
      <c r="M32" s="12">
        <v>4</v>
      </c>
      <c r="N32" s="12">
        <v>4</v>
      </c>
      <c r="O32" s="12">
        <v>17</v>
      </c>
      <c r="P32" s="12">
        <v>2</v>
      </c>
      <c r="Q32" s="12">
        <v>0</v>
      </c>
      <c r="R32" s="12">
        <v>0</v>
      </c>
      <c r="S32" s="12">
        <v>9</v>
      </c>
      <c r="T32" s="12">
        <v>7</v>
      </c>
      <c r="U32" s="12">
        <v>9</v>
      </c>
      <c r="V32" s="12">
        <v>0</v>
      </c>
      <c r="W32" s="12">
        <v>0</v>
      </c>
      <c r="X32" s="12">
        <v>2</v>
      </c>
      <c r="Y32" s="12">
        <v>8</v>
      </c>
      <c r="Z32" s="12">
        <v>0</v>
      </c>
      <c r="AA32" s="12">
        <v>3</v>
      </c>
      <c r="AB32" s="12">
        <v>3</v>
      </c>
      <c r="AC32" s="12">
        <v>6</v>
      </c>
      <c r="AD32" s="12">
        <v>1</v>
      </c>
      <c r="AE32" s="12">
        <v>4</v>
      </c>
      <c r="AF32" s="12">
        <v>7</v>
      </c>
    </row>
    <row r="33" spans="1:32" x14ac:dyDescent="0.35">
      <c r="A33" s="31"/>
      <c r="B33" s="13" t="s">
        <v>408</v>
      </c>
      <c r="C33" s="14">
        <v>0.01</v>
      </c>
      <c r="D33" s="15" t="s">
        <v>333</v>
      </c>
      <c r="E33" s="15" t="s">
        <v>333</v>
      </c>
      <c r="F33" s="15" t="s">
        <v>333</v>
      </c>
      <c r="G33" s="14">
        <v>0.01</v>
      </c>
      <c r="H33" s="14">
        <v>0.01</v>
      </c>
      <c r="I33" s="14">
        <v>0.01</v>
      </c>
      <c r="J33" s="14">
        <v>0.01</v>
      </c>
      <c r="K33" s="14">
        <v>0.02</v>
      </c>
      <c r="L33" s="15" t="s">
        <v>333</v>
      </c>
      <c r="M33" s="15" t="s">
        <v>333</v>
      </c>
      <c r="N33" s="15" t="s">
        <v>333</v>
      </c>
      <c r="O33" s="14">
        <v>0.02</v>
      </c>
      <c r="P33" s="15" t="s">
        <v>333</v>
      </c>
      <c r="Q33" s="15" t="s">
        <v>333</v>
      </c>
      <c r="R33" s="15" t="s">
        <v>333</v>
      </c>
      <c r="S33" s="14">
        <v>0.01</v>
      </c>
      <c r="T33" s="14">
        <v>0.01</v>
      </c>
      <c r="U33" s="14">
        <v>0.02</v>
      </c>
      <c r="V33" s="15" t="s">
        <v>333</v>
      </c>
      <c r="W33" s="15" t="s">
        <v>333</v>
      </c>
      <c r="X33" s="15" t="s">
        <v>333</v>
      </c>
      <c r="Y33" s="14">
        <v>0.01</v>
      </c>
      <c r="Z33" s="15" t="s">
        <v>333</v>
      </c>
      <c r="AA33" s="15" t="s">
        <v>333</v>
      </c>
      <c r="AB33" s="15" t="s">
        <v>333</v>
      </c>
      <c r="AC33" s="14">
        <v>0.01</v>
      </c>
      <c r="AD33" s="15" t="s">
        <v>333</v>
      </c>
      <c r="AE33" s="15" t="s">
        <v>333</v>
      </c>
      <c r="AF33" s="14">
        <v>0.01</v>
      </c>
    </row>
    <row r="34" spans="1:32" ht="81.5" x14ac:dyDescent="0.35">
      <c r="A34" s="31"/>
      <c r="B34" s="11" t="s">
        <v>785</v>
      </c>
      <c r="C34" s="12">
        <v>626</v>
      </c>
      <c r="D34" s="12">
        <v>6</v>
      </c>
      <c r="E34" s="12">
        <v>81</v>
      </c>
      <c r="F34" s="12">
        <v>23</v>
      </c>
      <c r="G34" s="12">
        <v>2</v>
      </c>
      <c r="H34" s="12">
        <v>25</v>
      </c>
      <c r="I34" s="12">
        <v>36</v>
      </c>
      <c r="J34" s="12">
        <v>12</v>
      </c>
      <c r="K34" s="12">
        <v>40</v>
      </c>
      <c r="L34" s="12">
        <v>7</v>
      </c>
      <c r="M34" s="12">
        <v>52</v>
      </c>
      <c r="N34" s="12">
        <v>30</v>
      </c>
      <c r="O34" s="12">
        <v>22</v>
      </c>
      <c r="P34" s="12">
        <v>23</v>
      </c>
      <c r="Q34" s="12">
        <v>20</v>
      </c>
      <c r="R34" s="12">
        <v>31</v>
      </c>
      <c r="S34" s="12">
        <v>27</v>
      </c>
      <c r="T34" s="12">
        <v>29</v>
      </c>
      <c r="U34" s="12">
        <v>1</v>
      </c>
      <c r="V34" s="12">
        <v>30</v>
      </c>
      <c r="W34" s="12">
        <v>1</v>
      </c>
      <c r="X34" s="12">
        <v>6</v>
      </c>
      <c r="Y34" s="12">
        <v>37</v>
      </c>
      <c r="Z34" s="12">
        <v>24</v>
      </c>
      <c r="AA34" s="12">
        <v>20</v>
      </c>
      <c r="AB34" s="12">
        <v>47</v>
      </c>
      <c r="AC34" s="12">
        <v>17</v>
      </c>
      <c r="AD34" s="12">
        <v>8</v>
      </c>
      <c r="AE34" s="12">
        <v>8</v>
      </c>
      <c r="AF34" s="12">
        <v>6</v>
      </c>
    </row>
    <row r="35" spans="1:32" ht="51.5" x14ac:dyDescent="0.35">
      <c r="A35" s="31"/>
      <c r="B35" s="13" t="s">
        <v>786</v>
      </c>
      <c r="C35" s="14">
        <v>0.02</v>
      </c>
      <c r="D35" s="14">
        <v>0.01</v>
      </c>
      <c r="E35" s="14">
        <v>0.08</v>
      </c>
      <c r="F35" s="14">
        <v>0.02</v>
      </c>
      <c r="G35" s="15" t="s">
        <v>333</v>
      </c>
      <c r="H35" s="14">
        <v>0.02</v>
      </c>
      <c r="I35" s="14">
        <v>0.02</v>
      </c>
      <c r="J35" s="14">
        <v>0.04</v>
      </c>
      <c r="K35" s="14">
        <v>0.04</v>
      </c>
      <c r="L35" s="14">
        <v>0.01</v>
      </c>
      <c r="M35" s="14">
        <v>0.05</v>
      </c>
      <c r="N35" s="14">
        <v>0.03</v>
      </c>
      <c r="O35" s="14">
        <v>0.02</v>
      </c>
      <c r="P35" s="14">
        <v>0.02</v>
      </c>
      <c r="Q35" s="14">
        <v>0.02</v>
      </c>
      <c r="R35" s="14">
        <v>0.06</v>
      </c>
      <c r="S35" s="14">
        <v>0.03</v>
      </c>
      <c r="T35" s="14">
        <v>0.03</v>
      </c>
      <c r="U35" s="15" t="s">
        <v>333</v>
      </c>
      <c r="V35" s="14">
        <v>0.03</v>
      </c>
      <c r="W35" s="15" t="s">
        <v>333</v>
      </c>
      <c r="X35" s="14">
        <v>0.01</v>
      </c>
      <c r="Y35" s="14">
        <v>0.04</v>
      </c>
      <c r="Z35" s="14">
        <v>0.02</v>
      </c>
      <c r="AA35" s="14">
        <v>0.02</v>
      </c>
      <c r="AB35" s="14">
        <v>0.04</v>
      </c>
      <c r="AC35" s="14">
        <v>0.02</v>
      </c>
      <c r="AD35" s="14">
        <v>0.01</v>
      </c>
      <c r="AE35" s="14">
        <v>0.01</v>
      </c>
      <c r="AF35" s="14">
        <v>0.01</v>
      </c>
    </row>
    <row r="36" spans="1:32" x14ac:dyDescent="0.35">
      <c r="A36" s="31"/>
      <c r="B36" s="11" t="s">
        <v>344</v>
      </c>
      <c r="C36" s="12">
        <v>1655</v>
      </c>
      <c r="D36" s="12">
        <v>12</v>
      </c>
      <c r="E36" s="12">
        <v>70</v>
      </c>
      <c r="F36" s="12">
        <v>18</v>
      </c>
      <c r="G36" s="12">
        <v>59</v>
      </c>
      <c r="H36" s="12">
        <v>93</v>
      </c>
      <c r="I36" s="12">
        <v>114</v>
      </c>
      <c r="J36" s="12">
        <v>21</v>
      </c>
      <c r="K36" s="12">
        <v>86</v>
      </c>
      <c r="L36" s="12">
        <v>50</v>
      </c>
      <c r="M36" s="12">
        <v>36</v>
      </c>
      <c r="N36" s="12">
        <v>86</v>
      </c>
      <c r="O36" s="12">
        <v>113</v>
      </c>
      <c r="P36" s="12">
        <v>38</v>
      </c>
      <c r="Q36" s="12">
        <v>41</v>
      </c>
      <c r="R36" s="12">
        <v>38</v>
      </c>
      <c r="S36" s="12">
        <v>105</v>
      </c>
      <c r="T36" s="12">
        <v>70</v>
      </c>
      <c r="U36" s="12">
        <v>23</v>
      </c>
      <c r="V36" s="12">
        <v>21</v>
      </c>
      <c r="W36" s="12">
        <v>5</v>
      </c>
      <c r="X36" s="12">
        <v>16</v>
      </c>
      <c r="Y36" s="12">
        <v>47</v>
      </c>
      <c r="Z36" s="12">
        <v>66</v>
      </c>
      <c r="AA36" s="12">
        <v>48</v>
      </c>
      <c r="AB36" s="12">
        <v>46</v>
      </c>
      <c r="AC36" s="12">
        <v>37</v>
      </c>
      <c r="AD36" s="12">
        <v>15</v>
      </c>
      <c r="AE36" s="12">
        <v>53</v>
      </c>
      <c r="AF36" s="12">
        <v>15</v>
      </c>
    </row>
    <row r="37" spans="1:32" x14ac:dyDescent="0.35">
      <c r="A37" s="31"/>
      <c r="B37" s="13" t="s">
        <v>357</v>
      </c>
      <c r="C37" s="14">
        <v>0.06</v>
      </c>
      <c r="D37" s="14">
        <v>0.01</v>
      </c>
      <c r="E37" s="14">
        <v>7.0000000000000007E-2</v>
      </c>
      <c r="F37" s="14">
        <v>0.02</v>
      </c>
      <c r="G37" s="14">
        <v>0.06</v>
      </c>
      <c r="H37" s="14">
        <v>0.08</v>
      </c>
      <c r="I37" s="14">
        <v>7.0000000000000007E-2</v>
      </c>
      <c r="J37" s="14">
        <v>7.0000000000000007E-2</v>
      </c>
      <c r="K37" s="14">
        <v>0.09</v>
      </c>
      <c r="L37" s="14">
        <v>0.05</v>
      </c>
      <c r="M37" s="14">
        <v>0.04</v>
      </c>
      <c r="N37" s="14">
        <v>0.09</v>
      </c>
      <c r="O37" s="14">
        <v>0.11</v>
      </c>
      <c r="P37" s="14">
        <v>0.04</v>
      </c>
      <c r="Q37" s="14">
        <v>0.04</v>
      </c>
      <c r="R37" s="14">
        <v>0.08</v>
      </c>
      <c r="S37" s="14">
        <v>0.1</v>
      </c>
      <c r="T37" s="14">
        <v>7.0000000000000007E-2</v>
      </c>
      <c r="U37" s="14">
        <v>0.05</v>
      </c>
      <c r="V37" s="14">
        <v>0.02</v>
      </c>
      <c r="W37" s="14">
        <v>0.01</v>
      </c>
      <c r="X37" s="14">
        <v>0.02</v>
      </c>
      <c r="Y37" s="14">
        <v>0.05</v>
      </c>
      <c r="Z37" s="14">
        <v>7.0000000000000007E-2</v>
      </c>
      <c r="AA37" s="14">
        <v>0.05</v>
      </c>
      <c r="AB37" s="14">
        <v>0.04</v>
      </c>
      <c r="AC37" s="14">
        <v>0.04</v>
      </c>
      <c r="AD37" s="14">
        <v>0.01</v>
      </c>
      <c r="AE37" s="14">
        <v>0.05</v>
      </c>
      <c r="AF37" s="14">
        <v>0.01</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111</v>
      </c>
      <c r="C3" s="30"/>
      <c r="D3" s="30"/>
      <c r="E3" s="30"/>
      <c r="F3" s="30"/>
      <c r="H3" s="30" t="s">
        <v>112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789</v>
      </c>
      <c r="C12" s="12">
        <v>1342</v>
      </c>
      <c r="D12" s="12">
        <v>105</v>
      </c>
      <c r="E12" s="12">
        <v>7</v>
      </c>
      <c r="F12" s="12">
        <v>34</v>
      </c>
      <c r="G12" s="12">
        <v>191</v>
      </c>
      <c r="H12" s="12">
        <v>73</v>
      </c>
      <c r="I12" s="12">
        <v>88</v>
      </c>
      <c r="J12" s="12">
        <v>16</v>
      </c>
      <c r="K12" s="12">
        <v>33</v>
      </c>
      <c r="L12" s="12">
        <v>104</v>
      </c>
      <c r="M12" s="12">
        <v>10</v>
      </c>
      <c r="N12" s="12">
        <v>26</v>
      </c>
      <c r="O12" s="12">
        <v>71</v>
      </c>
      <c r="P12" s="12">
        <v>37</v>
      </c>
      <c r="Q12" s="12">
        <v>27</v>
      </c>
      <c r="R12" s="12">
        <v>10</v>
      </c>
      <c r="S12" s="12">
        <v>13</v>
      </c>
      <c r="T12" s="12">
        <v>25</v>
      </c>
      <c r="U12" s="12">
        <v>57</v>
      </c>
      <c r="V12" s="12">
        <v>19</v>
      </c>
      <c r="W12" s="12">
        <v>60</v>
      </c>
      <c r="X12" s="12">
        <v>89</v>
      </c>
      <c r="Y12" s="12">
        <v>193</v>
      </c>
      <c r="Z12" s="12">
        <v>24</v>
      </c>
      <c r="AA12" s="12">
        <v>49</v>
      </c>
      <c r="AB12" s="12">
        <v>20</v>
      </c>
      <c r="AC12" s="12">
        <v>39</v>
      </c>
      <c r="AD12" s="12">
        <v>30</v>
      </c>
      <c r="AE12" s="12">
        <v>27</v>
      </c>
      <c r="AF12" s="12">
        <v>96</v>
      </c>
    </row>
    <row r="13" spans="1:32" x14ac:dyDescent="0.35">
      <c r="A13" s="31"/>
      <c r="B13" s="13" t="s">
        <v>790</v>
      </c>
      <c r="C13" s="14">
        <v>0.05</v>
      </c>
      <c r="D13" s="14">
        <v>0.1</v>
      </c>
      <c r="E13" s="14">
        <v>0.01</v>
      </c>
      <c r="F13" s="14">
        <v>0.03</v>
      </c>
      <c r="G13" s="14">
        <v>0.19</v>
      </c>
      <c r="H13" s="14">
        <v>0.06</v>
      </c>
      <c r="I13" s="14">
        <v>0.06</v>
      </c>
      <c r="J13" s="14">
        <v>0.05</v>
      </c>
      <c r="K13" s="14">
        <v>0.03</v>
      </c>
      <c r="L13" s="14">
        <v>0.1</v>
      </c>
      <c r="M13" s="14">
        <v>0.01</v>
      </c>
      <c r="N13" s="14">
        <v>0.03</v>
      </c>
      <c r="O13" s="14">
        <v>7.0000000000000007E-2</v>
      </c>
      <c r="P13" s="14">
        <v>0.04</v>
      </c>
      <c r="Q13" s="14">
        <v>0.03</v>
      </c>
      <c r="R13" s="14">
        <v>0.02</v>
      </c>
      <c r="S13" s="14">
        <v>0.01</v>
      </c>
      <c r="T13" s="14">
        <v>0.03</v>
      </c>
      <c r="U13" s="14">
        <v>0.11</v>
      </c>
      <c r="V13" s="14">
        <v>0.02</v>
      </c>
      <c r="W13" s="14">
        <v>0.12</v>
      </c>
      <c r="X13" s="14">
        <v>0.09</v>
      </c>
      <c r="Y13" s="14">
        <v>0.19</v>
      </c>
      <c r="Z13" s="14">
        <v>0.02</v>
      </c>
      <c r="AA13" s="14">
        <v>0.05</v>
      </c>
      <c r="AB13" s="14">
        <v>0.02</v>
      </c>
      <c r="AC13" s="14">
        <v>0.04</v>
      </c>
      <c r="AD13" s="14">
        <v>0.03</v>
      </c>
      <c r="AE13" s="14">
        <v>0.03</v>
      </c>
      <c r="AF13" s="14">
        <v>0.09</v>
      </c>
    </row>
    <row r="14" spans="1:32" x14ac:dyDescent="0.35">
      <c r="A14" s="31"/>
      <c r="B14" s="11" t="s">
        <v>791</v>
      </c>
      <c r="C14" s="12">
        <v>11953</v>
      </c>
      <c r="D14" s="12">
        <v>558</v>
      </c>
      <c r="E14" s="12">
        <v>169</v>
      </c>
      <c r="F14" s="12">
        <v>554</v>
      </c>
      <c r="G14" s="12">
        <v>587</v>
      </c>
      <c r="H14" s="12">
        <v>651</v>
      </c>
      <c r="I14" s="12">
        <v>772</v>
      </c>
      <c r="J14" s="12">
        <v>122</v>
      </c>
      <c r="K14" s="12">
        <v>345</v>
      </c>
      <c r="L14" s="12">
        <v>543</v>
      </c>
      <c r="M14" s="12">
        <v>173</v>
      </c>
      <c r="N14" s="12">
        <v>374</v>
      </c>
      <c r="O14" s="12">
        <v>473</v>
      </c>
      <c r="P14" s="12">
        <v>302</v>
      </c>
      <c r="Q14" s="12">
        <v>423</v>
      </c>
      <c r="R14" s="12">
        <v>182</v>
      </c>
      <c r="S14" s="12">
        <v>251</v>
      </c>
      <c r="T14" s="12">
        <v>492</v>
      </c>
      <c r="U14" s="12">
        <v>339</v>
      </c>
      <c r="V14" s="12">
        <v>338</v>
      </c>
      <c r="W14" s="12">
        <v>251</v>
      </c>
      <c r="X14" s="12">
        <v>639</v>
      </c>
      <c r="Y14" s="12">
        <v>554</v>
      </c>
      <c r="Z14" s="12">
        <v>585</v>
      </c>
      <c r="AA14" s="12">
        <v>490</v>
      </c>
      <c r="AB14" s="12">
        <v>192</v>
      </c>
      <c r="AC14" s="12">
        <v>518</v>
      </c>
      <c r="AD14" s="12">
        <v>273</v>
      </c>
      <c r="AE14" s="12">
        <v>558</v>
      </c>
      <c r="AF14" s="12">
        <v>564</v>
      </c>
    </row>
    <row r="15" spans="1:32" x14ac:dyDescent="0.35">
      <c r="A15" s="31"/>
      <c r="B15" s="13" t="s">
        <v>792</v>
      </c>
      <c r="C15" s="14">
        <v>0.45</v>
      </c>
      <c r="D15" s="14">
        <v>0.54</v>
      </c>
      <c r="E15" s="14">
        <v>0.16</v>
      </c>
      <c r="F15" s="14">
        <v>0.55000000000000004</v>
      </c>
      <c r="G15" s="14">
        <v>0.57999999999999996</v>
      </c>
      <c r="H15" s="14">
        <v>0.53</v>
      </c>
      <c r="I15" s="14">
        <v>0.5</v>
      </c>
      <c r="J15" s="14">
        <v>0.41</v>
      </c>
      <c r="K15" s="14">
        <v>0.34</v>
      </c>
      <c r="L15" s="14">
        <v>0.54</v>
      </c>
      <c r="M15" s="14">
        <v>0.17</v>
      </c>
      <c r="N15" s="14">
        <v>0.37</v>
      </c>
      <c r="O15" s="14">
        <v>0.48</v>
      </c>
      <c r="P15" s="14">
        <v>0.3</v>
      </c>
      <c r="Q15" s="14">
        <v>0.41</v>
      </c>
      <c r="R15" s="14">
        <v>0.36</v>
      </c>
      <c r="S15" s="14">
        <v>0.25</v>
      </c>
      <c r="T15" s="14">
        <v>0.48</v>
      </c>
      <c r="U15" s="14">
        <v>0.67</v>
      </c>
      <c r="V15" s="14">
        <v>0.33</v>
      </c>
      <c r="W15" s="14">
        <v>0.5</v>
      </c>
      <c r="X15" s="14">
        <v>0.63</v>
      </c>
      <c r="Y15" s="14">
        <v>0.55000000000000004</v>
      </c>
      <c r="Z15" s="14">
        <v>0.57000000000000006</v>
      </c>
      <c r="AA15" s="14">
        <v>0.48</v>
      </c>
      <c r="AB15" s="14">
        <v>0.18</v>
      </c>
      <c r="AC15" s="14">
        <v>0.51</v>
      </c>
      <c r="AD15" s="14">
        <v>0.27</v>
      </c>
      <c r="AE15" s="14">
        <v>0.55000000000000004</v>
      </c>
      <c r="AF15" s="14">
        <v>0.55000000000000004</v>
      </c>
    </row>
    <row r="16" spans="1:32" x14ac:dyDescent="0.35">
      <c r="A16" s="31"/>
      <c r="B16" s="11" t="s">
        <v>793</v>
      </c>
      <c r="C16" s="12">
        <v>9539</v>
      </c>
      <c r="D16" s="12">
        <v>290</v>
      </c>
      <c r="E16" s="12">
        <v>517</v>
      </c>
      <c r="F16" s="12">
        <v>338</v>
      </c>
      <c r="G16" s="12">
        <v>164</v>
      </c>
      <c r="H16" s="12">
        <v>354</v>
      </c>
      <c r="I16" s="12">
        <v>469</v>
      </c>
      <c r="J16" s="12">
        <v>115</v>
      </c>
      <c r="K16" s="12">
        <v>463</v>
      </c>
      <c r="L16" s="12">
        <v>280</v>
      </c>
      <c r="M16" s="12">
        <v>545</v>
      </c>
      <c r="N16" s="12">
        <v>417</v>
      </c>
      <c r="O16" s="12">
        <v>353</v>
      </c>
      <c r="P16" s="12">
        <v>472</v>
      </c>
      <c r="Q16" s="12">
        <v>461</v>
      </c>
      <c r="R16" s="12">
        <v>249</v>
      </c>
      <c r="S16" s="12">
        <v>603</v>
      </c>
      <c r="T16" s="12">
        <v>390</v>
      </c>
      <c r="U16" s="12">
        <v>80</v>
      </c>
      <c r="V16" s="12">
        <v>474</v>
      </c>
      <c r="W16" s="12">
        <v>182</v>
      </c>
      <c r="X16" s="12">
        <v>242</v>
      </c>
      <c r="Y16" s="12">
        <v>130</v>
      </c>
      <c r="Z16" s="12">
        <v>292</v>
      </c>
      <c r="AA16" s="12">
        <v>341</v>
      </c>
      <c r="AB16" s="12">
        <v>532</v>
      </c>
      <c r="AC16" s="12">
        <v>377</v>
      </c>
      <c r="AD16" s="12">
        <v>512</v>
      </c>
      <c r="AE16" s="12">
        <v>313</v>
      </c>
      <c r="AF16" s="12">
        <v>312</v>
      </c>
    </row>
    <row r="17" spans="1:32" x14ac:dyDescent="0.35">
      <c r="A17" s="31"/>
      <c r="B17" s="13" t="s">
        <v>794</v>
      </c>
      <c r="C17" s="14">
        <v>0.36</v>
      </c>
      <c r="D17" s="14">
        <v>0.28000000000000003</v>
      </c>
      <c r="E17" s="14">
        <v>0.5</v>
      </c>
      <c r="F17" s="14">
        <v>0.33</v>
      </c>
      <c r="G17" s="14">
        <v>0.16</v>
      </c>
      <c r="H17" s="14">
        <v>0.28999999999999998</v>
      </c>
      <c r="I17" s="14">
        <v>0.31</v>
      </c>
      <c r="J17" s="14">
        <v>0.39</v>
      </c>
      <c r="K17" s="14">
        <v>0.46</v>
      </c>
      <c r="L17" s="14">
        <v>0.28000000000000003</v>
      </c>
      <c r="M17" s="14">
        <v>0.54</v>
      </c>
      <c r="N17" s="14">
        <v>0.42</v>
      </c>
      <c r="O17" s="14">
        <v>0.35</v>
      </c>
      <c r="P17" s="14">
        <v>0.47</v>
      </c>
      <c r="Q17" s="14">
        <v>0.44</v>
      </c>
      <c r="R17" s="14">
        <v>0.5</v>
      </c>
      <c r="S17" s="14">
        <v>0.59</v>
      </c>
      <c r="T17" s="14">
        <v>0.38</v>
      </c>
      <c r="U17" s="14">
        <v>0.16</v>
      </c>
      <c r="V17" s="14">
        <v>0.47</v>
      </c>
      <c r="W17" s="14">
        <v>0.37</v>
      </c>
      <c r="X17" s="14">
        <v>0.24</v>
      </c>
      <c r="Y17" s="14">
        <v>0.13</v>
      </c>
      <c r="Z17" s="14">
        <v>0.28999999999999998</v>
      </c>
      <c r="AA17" s="14">
        <v>0.33</v>
      </c>
      <c r="AB17" s="14">
        <v>0.5</v>
      </c>
      <c r="AC17" s="14">
        <v>0.37</v>
      </c>
      <c r="AD17" s="14">
        <v>0.51</v>
      </c>
      <c r="AE17" s="14">
        <v>0.31</v>
      </c>
      <c r="AF17" s="14">
        <v>0.31</v>
      </c>
    </row>
    <row r="18" spans="1:32" x14ac:dyDescent="0.35">
      <c r="A18" s="31"/>
      <c r="B18" s="11" t="s">
        <v>795</v>
      </c>
      <c r="C18" s="12">
        <v>1769</v>
      </c>
      <c r="D18" s="12">
        <v>36</v>
      </c>
      <c r="E18" s="12">
        <v>255</v>
      </c>
      <c r="F18" s="12">
        <v>41</v>
      </c>
      <c r="G18" s="12">
        <v>10</v>
      </c>
      <c r="H18" s="12">
        <v>31</v>
      </c>
      <c r="I18" s="12">
        <v>48</v>
      </c>
      <c r="J18" s="12">
        <v>17</v>
      </c>
      <c r="K18" s="12">
        <v>83</v>
      </c>
      <c r="L18" s="12">
        <v>19</v>
      </c>
      <c r="M18" s="12">
        <v>249</v>
      </c>
      <c r="N18" s="12">
        <v>88</v>
      </c>
      <c r="O18" s="12">
        <v>33</v>
      </c>
      <c r="P18" s="12">
        <v>159</v>
      </c>
      <c r="Q18" s="12">
        <v>84</v>
      </c>
      <c r="R18" s="12">
        <v>41</v>
      </c>
      <c r="S18" s="12">
        <v>78</v>
      </c>
      <c r="T18" s="12">
        <v>23</v>
      </c>
      <c r="U18" s="12">
        <v>7</v>
      </c>
      <c r="V18" s="12">
        <v>160</v>
      </c>
      <c r="W18" s="12">
        <v>6</v>
      </c>
      <c r="X18" s="12">
        <v>11</v>
      </c>
      <c r="Y18" s="12">
        <v>38</v>
      </c>
      <c r="Z18" s="12">
        <v>40</v>
      </c>
      <c r="AA18" s="12">
        <v>83</v>
      </c>
      <c r="AB18" s="12">
        <v>251</v>
      </c>
      <c r="AC18" s="12">
        <v>36</v>
      </c>
      <c r="AD18" s="12">
        <v>128</v>
      </c>
      <c r="AE18" s="12">
        <v>15</v>
      </c>
      <c r="AF18" s="12">
        <v>7</v>
      </c>
    </row>
    <row r="19" spans="1:32" x14ac:dyDescent="0.35">
      <c r="A19" s="31"/>
      <c r="B19" s="13" t="s">
        <v>796</v>
      </c>
      <c r="C19" s="14">
        <v>7.0000000000000007E-2</v>
      </c>
      <c r="D19" s="14">
        <v>0.04</v>
      </c>
      <c r="E19" s="14">
        <v>0.24</v>
      </c>
      <c r="F19" s="14">
        <v>0.04</v>
      </c>
      <c r="G19" s="14">
        <v>0.01</v>
      </c>
      <c r="H19" s="14">
        <v>0.02</v>
      </c>
      <c r="I19" s="14">
        <v>0.03</v>
      </c>
      <c r="J19" s="14">
        <v>0.06</v>
      </c>
      <c r="K19" s="14">
        <v>0.08</v>
      </c>
      <c r="L19" s="14">
        <v>0.02</v>
      </c>
      <c r="M19" s="14">
        <v>0.25</v>
      </c>
      <c r="N19" s="14">
        <v>0.09</v>
      </c>
      <c r="O19" s="14">
        <v>0.03</v>
      </c>
      <c r="P19" s="14">
        <v>0.16</v>
      </c>
      <c r="Q19" s="14">
        <v>0.08</v>
      </c>
      <c r="R19" s="14">
        <v>0.08</v>
      </c>
      <c r="S19" s="14">
        <v>0.08</v>
      </c>
      <c r="T19" s="14">
        <v>0.02</v>
      </c>
      <c r="U19" s="14">
        <v>0.01</v>
      </c>
      <c r="V19" s="14">
        <v>0.16</v>
      </c>
      <c r="W19" s="14">
        <v>0.01</v>
      </c>
      <c r="X19" s="14">
        <v>0.01</v>
      </c>
      <c r="Y19" s="14">
        <v>0.04</v>
      </c>
      <c r="Z19" s="14">
        <v>0.04</v>
      </c>
      <c r="AA19" s="14">
        <v>0.08</v>
      </c>
      <c r="AB19" s="14">
        <v>0.24</v>
      </c>
      <c r="AC19" s="14">
        <v>0.04</v>
      </c>
      <c r="AD19" s="14">
        <v>0.13</v>
      </c>
      <c r="AE19" s="14">
        <v>0.02</v>
      </c>
      <c r="AF19" s="14">
        <v>0.01</v>
      </c>
    </row>
    <row r="20" spans="1:32" x14ac:dyDescent="0.35">
      <c r="A20" s="31"/>
      <c r="B20" s="11" t="s">
        <v>344</v>
      </c>
      <c r="C20" s="12">
        <v>1807</v>
      </c>
      <c r="D20" s="12">
        <v>36</v>
      </c>
      <c r="E20" s="12">
        <v>91</v>
      </c>
      <c r="F20" s="12">
        <v>51</v>
      </c>
      <c r="G20" s="12">
        <v>66</v>
      </c>
      <c r="H20" s="12">
        <v>125</v>
      </c>
      <c r="I20" s="12">
        <v>153</v>
      </c>
      <c r="J20" s="12">
        <v>28</v>
      </c>
      <c r="K20" s="12">
        <v>85</v>
      </c>
      <c r="L20" s="12">
        <v>58</v>
      </c>
      <c r="M20" s="12">
        <v>28</v>
      </c>
      <c r="N20" s="12">
        <v>95</v>
      </c>
      <c r="O20" s="12">
        <v>70</v>
      </c>
      <c r="P20" s="12">
        <v>34</v>
      </c>
      <c r="Q20" s="12">
        <v>41</v>
      </c>
      <c r="R20" s="12">
        <v>18</v>
      </c>
      <c r="S20" s="12">
        <v>76</v>
      </c>
      <c r="T20" s="12">
        <v>87</v>
      </c>
      <c r="U20" s="12">
        <v>26</v>
      </c>
      <c r="V20" s="12">
        <v>23</v>
      </c>
      <c r="W20" s="12">
        <v>2</v>
      </c>
      <c r="X20" s="12">
        <v>29</v>
      </c>
      <c r="Y20" s="12">
        <v>87</v>
      </c>
      <c r="Z20" s="12">
        <v>79</v>
      </c>
      <c r="AA20" s="12">
        <v>67</v>
      </c>
      <c r="AB20" s="12">
        <v>60</v>
      </c>
      <c r="AC20" s="12">
        <v>43</v>
      </c>
      <c r="AD20" s="12">
        <v>61</v>
      </c>
      <c r="AE20" s="12">
        <v>95</v>
      </c>
      <c r="AF20" s="12">
        <v>41</v>
      </c>
    </row>
    <row r="21" spans="1:32" x14ac:dyDescent="0.35">
      <c r="A21" s="31"/>
      <c r="B21" s="13" t="s">
        <v>357</v>
      </c>
      <c r="C21" s="14">
        <v>7.0000000000000007E-2</v>
      </c>
      <c r="D21" s="14">
        <v>0.04</v>
      </c>
      <c r="E21" s="14">
        <v>0.09</v>
      </c>
      <c r="F21" s="14">
        <v>0.05</v>
      </c>
      <c r="G21" s="14">
        <v>0.06</v>
      </c>
      <c r="H21" s="14">
        <v>0.1</v>
      </c>
      <c r="I21" s="14">
        <v>0.1</v>
      </c>
      <c r="J21" s="14">
        <v>0.09</v>
      </c>
      <c r="K21" s="14">
        <v>0.09</v>
      </c>
      <c r="L21" s="14">
        <v>0.06</v>
      </c>
      <c r="M21" s="14">
        <v>0.03</v>
      </c>
      <c r="N21" s="14">
        <v>0.09</v>
      </c>
      <c r="O21" s="14">
        <v>7.0000000000000007E-2</v>
      </c>
      <c r="P21" s="14">
        <v>0.03</v>
      </c>
      <c r="Q21" s="14">
        <v>0.04</v>
      </c>
      <c r="R21" s="14">
        <v>0.04</v>
      </c>
      <c r="S21" s="14">
        <v>7.0000000000000007E-2</v>
      </c>
      <c r="T21" s="14">
        <v>0.09</v>
      </c>
      <c r="U21" s="14">
        <v>0.05</v>
      </c>
      <c r="V21" s="14">
        <v>0.02</v>
      </c>
      <c r="W21" s="15" t="s">
        <v>333</v>
      </c>
      <c r="X21" s="14">
        <v>0.03</v>
      </c>
      <c r="Y21" s="14">
        <v>0.09</v>
      </c>
      <c r="Z21" s="14">
        <v>0.08</v>
      </c>
      <c r="AA21" s="14">
        <v>0.06</v>
      </c>
      <c r="AB21" s="14">
        <v>0.06</v>
      </c>
      <c r="AC21" s="14">
        <v>0.04</v>
      </c>
      <c r="AD21" s="14">
        <v>0.06</v>
      </c>
      <c r="AE21" s="14">
        <v>0.09</v>
      </c>
      <c r="AF21" s="14">
        <v>0.04</v>
      </c>
    </row>
    <row r="22" spans="1:32" x14ac:dyDescent="0.35">
      <c r="A22" s="31"/>
      <c r="B22" s="11" t="s">
        <v>797</v>
      </c>
      <c r="C22" s="12">
        <v>13295</v>
      </c>
      <c r="D22" s="12">
        <v>663</v>
      </c>
      <c r="E22" s="12">
        <v>176</v>
      </c>
      <c r="F22" s="12">
        <v>588</v>
      </c>
      <c r="G22" s="12">
        <v>778</v>
      </c>
      <c r="H22" s="12">
        <v>724</v>
      </c>
      <c r="I22" s="12">
        <v>860</v>
      </c>
      <c r="J22" s="12">
        <v>138</v>
      </c>
      <c r="K22" s="12">
        <v>378</v>
      </c>
      <c r="L22" s="12">
        <v>647</v>
      </c>
      <c r="M22" s="12">
        <v>183</v>
      </c>
      <c r="N22" s="12">
        <v>400</v>
      </c>
      <c r="O22" s="12">
        <v>544</v>
      </c>
      <c r="P22" s="12">
        <v>339</v>
      </c>
      <c r="Q22" s="12">
        <v>450</v>
      </c>
      <c r="R22" s="12">
        <v>192</v>
      </c>
      <c r="S22" s="12">
        <v>264</v>
      </c>
      <c r="T22" s="12">
        <v>517</v>
      </c>
      <c r="U22" s="12">
        <v>396</v>
      </c>
      <c r="V22" s="12">
        <v>357</v>
      </c>
      <c r="W22" s="12">
        <v>311</v>
      </c>
      <c r="X22" s="12">
        <v>728</v>
      </c>
      <c r="Y22" s="12">
        <v>747</v>
      </c>
      <c r="Z22" s="12">
        <v>609</v>
      </c>
      <c r="AA22" s="12">
        <v>539</v>
      </c>
      <c r="AB22" s="12">
        <v>212</v>
      </c>
      <c r="AC22" s="12">
        <v>557</v>
      </c>
      <c r="AD22" s="12">
        <v>303</v>
      </c>
      <c r="AE22" s="12">
        <v>585</v>
      </c>
      <c r="AF22" s="12">
        <v>660</v>
      </c>
    </row>
    <row r="23" spans="1:32" x14ac:dyDescent="0.35">
      <c r="A23" s="31"/>
      <c r="B23" s="13" t="s">
        <v>798</v>
      </c>
      <c r="C23" s="14">
        <v>0.5</v>
      </c>
      <c r="D23" s="14">
        <v>0.64</v>
      </c>
      <c r="E23" s="14">
        <v>0.17</v>
      </c>
      <c r="F23" s="14">
        <v>0.57999999999999996</v>
      </c>
      <c r="G23" s="14">
        <v>0.77</v>
      </c>
      <c r="H23" s="14">
        <v>0.59</v>
      </c>
      <c r="I23" s="14">
        <v>0.56000000000000005</v>
      </c>
      <c r="J23" s="14">
        <v>0.46</v>
      </c>
      <c r="K23" s="14">
        <v>0.37</v>
      </c>
      <c r="L23" s="14">
        <v>0.64</v>
      </c>
      <c r="M23" s="14">
        <v>0.18</v>
      </c>
      <c r="N23" s="14">
        <v>0.4</v>
      </c>
      <c r="O23" s="14">
        <v>0.55000000000000004</v>
      </c>
      <c r="P23" s="14">
        <v>0.34</v>
      </c>
      <c r="Q23" s="14">
        <v>0.44</v>
      </c>
      <c r="R23" s="14">
        <v>0.38</v>
      </c>
      <c r="S23" s="14">
        <v>0.26</v>
      </c>
      <c r="T23" s="14">
        <v>0.51</v>
      </c>
      <c r="U23" s="14">
        <v>0.78</v>
      </c>
      <c r="V23" s="14">
        <v>0.35</v>
      </c>
      <c r="W23" s="14">
        <v>0.62</v>
      </c>
      <c r="X23" s="14">
        <v>0.72</v>
      </c>
      <c r="Y23" s="14">
        <v>0.74</v>
      </c>
      <c r="Z23" s="14">
        <v>0.59</v>
      </c>
      <c r="AA23" s="14">
        <v>0.53</v>
      </c>
      <c r="AB23" s="14">
        <v>0.2</v>
      </c>
      <c r="AC23" s="14">
        <v>0.55000000000000004</v>
      </c>
      <c r="AD23" s="14">
        <v>0.3</v>
      </c>
      <c r="AE23" s="14">
        <v>0.57999999999999996</v>
      </c>
      <c r="AF23" s="14">
        <v>0.64</v>
      </c>
    </row>
    <row r="24" spans="1:32" x14ac:dyDescent="0.35">
      <c r="A24" s="31"/>
      <c r="B24" s="11" t="s">
        <v>799</v>
      </c>
      <c r="C24" s="12">
        <v>11308</v>
      </c>
      <c r="D24" s="12">
        <v>326</v>
      </c>
      <c r="E24" s="12">
        <v>772</v>
      </c>
      <c r="F24" s="12">
        <v>379</v>
      </c>
      <c r="G24" s="12">
        <v>174</v>
      </c>
      <c r="H24" s="12">
        <v>385</v>
      </c>
      <c r="I24" s="12">
        <v>517</v>
      </c>
      <c r="J24" s="12">
        <v>132</v>
      </c>
      <c r="K24" s="12">
        <v>546</v>
      </c>
      <c r="L24" s="12">
        <v>299</v>
      </c>
      <c r="M24" s="12">
        <v>794</v>
      </c>
      <c r="N24" s="12">
        <v>505</v>
      </c>
      <c r="O24" s="12">
        <v>386</v>
      </c>
      <c r="P24" s="12">
        <v>631</v>
      </c>
      <c r="Q24" s="12">
        <v>545</v>
      </c>
      <c r="R24" s="12">
        <v>290</v>
      </c>
      <c r="S24" s="12">
        <v>681</v>
      </c>
      <c r="T24" s="12">
        <v>413</v>
      </c>
      <c r="U24" s="12">
        <v>87</v>
      </c>
      <c r="V24" s="12">
        <v>634</v>
      </c>
      <c r="W24" s="12">
        <v>188</v>
      </c>
      <c r="X24" s="12">
        <v>253</v>
      </c>
      <c r="Y24" s="12">
        <v>168</v>
      </c>
      <c r="Z24" s="12">
        <v>332</v>
      </c>
      <c r="AA24" s="12">
        <v>424</v>
      </c>
      <c r="AB24" s="12">
        <v>783</v>
      </c>
      <c r="AC24" s="12">
        <v>413</v>
      </c>
      <c r="AD24" s="12">
        <v>640</v>
      </c>
      <c r="AE24" s="12">
        <v>328</v>
      </c>
      <c r="AF24" s="12">
        <v>319</v>
      </c>
    </row>
    <row r="25" spans="1:32" x14ac:dyDescent="0.35">
      <c r="A25" s="31"/>
      <c r="B25" s="13" t="s">
        <v>800</v>
      </c>
      <c r="C25" s="14">
        <v>0.43</v>
      </c>
      <c r="D25" s="14">
        <v>0.32</v>
      </c>
      <c r="E25" s="14">
        <v>0.74</v>
      </c>
      <c r="F25" s="14">
        <v>0.37</v>
      </c>
      <c r="G25" s="14">
        <v>0.17</v>
      </c>
      <c r="H25" s="14">
        <v>0.31</v>
      </c>
      <c r="I25" s="14">
        <v>0.34</v>
      </c>
      <c r="J25" s="14">
        <v>0.45</v>
      </c>
      <c r="K25" s="14">
        <v>0.54</v>
      </c>
      <c r="L25" s="14">
        <v>0.3</v>
      </c>
      <c r="M25" s="14">
        <v>0.79</v>
      </c>
      <c r="N25" s="14">
        <v>0.51</v>
      </c>
      <c r="O25" s="14">
        <v>0.38</v>
      </c>
      <c r="P25" s="14">
        <v>0.63</v>
      </c>
      <c r="Q25" s="14">
        <v>0.52</v>
      </c>
      <c r="R25" s="14">
        <v>0.57999999999999996</v>
      </c>
      <c r="S25" s="14">
        <v>0.67</v>
      </c>
      <c r="T25" s="14">
        <v>0.4</v>
      </c>
      <c r="U25" s="14">
        <v>0.17</v>
      </c>
      <c r="V25" s="14">
        <v>0.63</v>
      </c>
      <c r="W25" s="14">
        <v>0.38</v>
      </c>
      <c r="X25" s="14">
        <v>0.25</v>
      </c>
      <c r="Y25" s="14">
        <v>0.17</v>
      </c>
      <c r="Z25" s="14">
        <v>0.33</v>
      </c>
      <c r="AA25" s="14">
        <v>0.41</v>
      </c>
      <c r="AB25" s="14">
        <v>0.74</v>
      </c>
      <c r="AC25" s="14">
        <v>0.41</v>
      </c>
      <c r="AD25" s="14">
        <v>0.64</v>
      </c>
      <c r="AE25" s="14">
        <v>0.33</v>
      </c>
      <c r="AF25" s="14">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801</v>
      </c>
      <c r="C3" s="30"/>
      <c r="D3" s="30"/>
      <c r="E3" s="30"/>
      <c r="F3" s="30"/>
      <c r="H3" s="30" t="s">
        <v>802</v>
      </c>
      <c r="I3" s="30"/>
      <c r="J3" s="30"/>
      <c r="K3" s="30"/>
      <c r="L3" s="30"/>
    </row>
    <row r="4" spans="1:32" ht="27" customHeight="1" x14ac:dyDescent="0.35">
      <c r="B4" s="30" t="s">
        <v>803</v>
      </c>
      <c r="C4" s="30"/>
      <c r="D4" s="30"/>
      <c r="E4" s="30"/>
      <c r="F4" s="30"/>
      <c r="H4" s="30" t="s">
        <v>804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9637</v>
      </c>
      <c r="D12" s="12">
        <v>348</v>
      </c>
      <c r="E12" s="12">
        <v>387</v>
      </c>
      <c r="F12" s="12">
        <v>253</v>
      </c>
      <c r="G12" s="12">
        <v>353</v>
      </c>
      <c r="H12" s="12">
        <v>470</v>
      </c>
      <c r="I12" s="12">
        <v>593</v>
      </c>
      <c r="J12" s="12">
        <v>124</v>
      </c>
      <c r="K12" s="12">
        <v>222</v>
      </c>
      <c r="L12" s="12">
        <v>556</v>
      </c>
      <c r="M12" s="12">
        <v>489</v>
      </c>
      <c r="N12" s="12">
        <v>495</v>
      </c>
      <c r="O12" s="12">
        <v>302</v>
      </c>
      <c r="P12" s="12">
        <v>410</v>
      </c>
      <c r="Q12" s="12">
        <v>372</v>
      </c>
      <c r="R12" s="12">
        <v>312</v>
      </c>
      <c r="S12" s="12">
        <v>444</v>
      </c>
      <c r="T12" s="12">
        <v>455</v>
      </c>
      <c r="U12" s="12">
        <v>215</v>
      </c>
      <c r="V12" s="12">
        <v>374</v>
      </c>
      <c r="W12" s="12">
        <v>284</v>
      </c>
      <c r="X12" s="12">
        <v>365</v>
      </c>
      <c r="Y12" s="12">
        <v>403</v>
      </c>
      <c r="Z12" s="12">
        <v>253</v>
      </c>
      <c r="AA12" s="12">
        <v>362</v>
      </c>
      <c r="AB12" s="12">
        <v>300</v>
      </c>
      <c r="AC12" s="12">
        <v>416</v>
      </c>
      <c r="AD12" s="12">
        <v>378</v>
      </c>
      <c r="AE12" s="12">
        <v>278</v>
      </c>
      <c r="AF12" s="12">
        <v>442</v>
      </c>
    </row>
    <row r="13" spans="1:32" x14ac:dyDescent="0.35">
      <c r="A13" s="31"/>
      <c r="B13" s="13" t="s">
        <v>503</v>
      </c>
      <c r="C13" s="14">
        <v>0.37</v>
      </c>
      <c r="D13" s="14">
        <v>0.34</v>
      </c>
      <c r="E13" s="14">
        <v>0.37</v>
      </c>
      <c r="F13" s="14">
        <v>0.25</v>
      </c>
      <c r="G13" s="14">
        <v>0.35</v>
      </c>
      <c r="H13" s="14">
        <v>0.38</v>
      </c>
      <c r="I13" s="14">
        <v>0.39</v>
      </c>
      <c r="J13" s="14">
        <v>0.41</v>
      </c>
      <c r="K13" s="14">
        <v>0.22</v>
      </c>
      <c r="L13" s="14">
        <v>0.55000000000000004</v>
      </c>
      <c r="M13" s="14">
        <v>0.49</v>
      </c>
      <c r="N13" s="14">
        <v>0.5</v>
      </c>
      <c r="O13" s="14">
        <v>0.3</v>
      </c>
      <c r="P13" s="14">
        <v>0.41</v>
      </c>
      <c r="Q13" s="14">
        <v>0.36</v>
      </c>
      <c r="R13" s="14">
        <v>0.62</v>
      </c>
      <c r="S13" s="14">
        <v>0.44</v>
      </c>
      <c r="T13" s="14">
        <v>0.45</v>
      </c>
      <c r="U13" s="14">
        <v>0.42</v>
      </c>
      <c r="V13" s="14">
        <v>0.37</v>
      </c>
      <c r="W13" s="14">
        <v>0.57000000000000006</v>
      </c>
      <c r="X13" s="14">
        <v>0.36</v>
      </c>
      <c r="Y13" s="14">
        <v>0.4</v>
      </c>
      <c r="Z13" s="14">
        <v>0.25</v>
      </c>
      <c r="AA13" s="14">
        <v>0.35</v>
      </c>
      <c r="AB13" s="14">
        <v>0.28000000000000003</v>
      </c>
      <c r="AC13" s="14">
        <v>0.41</v>
      </c>
      <c r="AD13" s="14">
        <v>0.38</v>
      </c>
      <c r="AE13" s="14">
        <v>0.28000000000000003</v>
      </c>
      <c r="AF13" s="14">
        <v>0.43</v>
      </c>
    </row>
    <row r="14" spans="1:32" x14ac:dyDescent="0.35">
      <c r="A14" s="31"/>
      <c r="B14" s="11" t="s">
        <v>504</v>
      </c>
      <c r="C14" s="12">
        <v>13417</v>
      </c>
      <c r="D14" s="12">
        <v>574</v>
      </c>
      <c r="E14" s="12">
        <v>497</v>
      </c>
      <c r="F14" s="12">
        <v>604</v>
      </c>
      <c r="G14" s="12">
        <v>491</v>
      </c>
      <c r="H14" s="12">
        <v>628</v>
      </c>
      <c r="I14" s="12">
        <v>758</v>
      </c>
      <c r="J14" s="12">
        <v>130</v>
      </c>
      <c r="K14" s="12">
        <v>607</v>
      </c>
      <c r="L14" s="12">
        <v>378</v>
      </c>
      <c r="M14" s="12">
        <v>448</v>
      </c>
      <c r="N14" s="12">
        <v>383</v>
      </c>
      <c r="O14" s="12">
        <v>545</v>
      </c>
      <c r="P14" s="12">
        <v>509</v>
      </c>
      <c r="Q14" s="12">
        <v>549</v>
      </c>
      <c r="R14" s="12">
        <v>132</v>
      </c>
      <c r="S14" s="12">
        <v>482</v>
      </c>
      <c r="T14" s="12">
        <v>454</v>
      </c>
      <c r="U14" s="12">
        <v>253</v>
      </c>
      <c r="V14" s="12">
        <v>554</v>
      </c>
      <c r="W14" s="12">
        <v>196</v>
      </c>
      <c r="X14" s="12">
        <v>529</v>
      </c>
      <c r="Y14" s="12">
        <v>478</v>
      </c>
      <c r="Z14" s="12">
        <v>644</v>
      </c>
      <c r="AA14" s="12">
        <v>545</v>
      </c>
      <c r="AB14" s="12">
        <v>501</v>
      </c>
      <c r="AC14" s="12">
        <v>482</v>
      </c>
      <c r="AD14" s="12">
        <v>494</v>
      </c>
      <c r="AE14" s="12">
        <v>537</v>
      </c>
      <c r="AF14" s="12">
        <v>475</v>
      </c>
    </row>
    <row r="15" spans="1:32" x14ac:dyDescent="0.35">
      <c r="A15" s="31"/>
      <c r="B15" s="13" t="s">
        <v>505</v>
      </c>
      <c r="C15" s="14">
        <v>0.51</v>
      </c>
      <c r="D15" s="14">
        <v>0.56000000000000005</v>
      </c>
      <c r="E15" s="14">
        <v>0.48</v>
      </c>
      <c r="F15" s="14">
        <v>0.59</v>
      </c>
      <c r="G15" s="14">
        <v>0.48</v>
      </c>
      <c r="H15" s="14">
        <v>0.51</v>
      </c>
      <c r="I15" s="14">
        <v>0.49</v>
      </c>
      <c r="J15" s="14">
        <v>0.44</v>
      </c>
      <c r="K15" s="14">
        <v>0.6</v>
      </c>
      <c r="L15" s="14">
        <v>0.38</v>
      </c>
      <c r="M15" s="14">
        <v>0.45</v>
      </c>
      <c r="N15" s="14">
        <v>0.38</v>
      </c>
      <c r="O15" s="14">
        <v>0.54</v>
      </c>
      <c r="P15" s="14">
        <v>0.51</v>
      </c>
      <c r="Q15" s="14">
        <v>0.53</v>
      </c>
      <c r="R15" s="14">
        <v>0.26</v>
      </c>
      <c r="S15" s="14">
        <v>0.47</v>
      </c>
      <c r="T15" s="14">
        <v>0.44</v>
      </c>
      <c r="U15" s="14">
        <v>0.5</v>
      </c>
      <c r="V15" s="14">
        <v>0.55000000000000004</v>
      </c>
      <c r="W15" s="14">
        <v>0.39</v>
      </c>
      <c r="X15" s="14">
        <v>0.52</v>
      </c>
      <c r="Y15" s="14">
        <v>0.48</v>
      </c>
      <c r="Z15" s="14">
        <v>0.63</v>
      </c>
      <c r="AA15" s="14">
        <v>0.53</v>
      </c>
      <c r="AB15" s="14">
        <v>0.48</v>
      </c>
      <c r="AC15" s="14">
        <v>0.48</v>
      </c>
      <c r="AD15" s="14">
        <v>0.49</v>
      </c>
      <c r="AE15" s="14">
        <v>0.53</v>
      </c>
      <c r="AF15" s="14">
        <v>0.47</v>
      </c>
    </row>
    <row r="16" spans="1:32" x14ac:dyDescent="0.35">
      <c r="A16" s="31"/>
      <c r="B16" s="11" t="s">
        <v>506</v>
      </c>
      <c r="C16" s="12">
        <v>1929</v>
      </c>
      <c r="D16" s="12">
        <v>73</v>
      </c>
      <c r="E16" s="12">
        <v>90</v>
      </c>
      <c r="F16" s="12">
        <v>107</v>
      </c>
      <c r="G16" s="12">
        <v>81</v>
      </c>
      <c r="H16" s="12">
        <v>72</v>
      </c>
      <c r="I16" s="12">
        <v>101</v>
      </c>
      <c r="J16" s="12">
        <v>29</v>
      </c>
      <c r="K16" s="12">
        <v>76</v>
      </c>
      <c r="L16" s="12">
        <v>29</v>
      </c>
      <c r="M16" s="12">
        <v>34</v>
      </c>
      <c r="N16" s="12">
        <v>46</v>
      </c>
      <c r="O16" s="12">
        <v>77</v>
      </c>
      <c r="P16" s="12">
        <v>61</v>
      </c>
      <c r="Q16" s="12">
        <v>73</v>
      </c>
      <c r="R16" s="12">
        <v>38</v>
      </c>
      <c r="S16" s="12">
        <v>56</v>
      </c>
      <c r="T16" s="12">
        <v>28</v>
      </c>
      <c r="U16" s="12">
        <v>25</v>
      </c>
      <c r="V16" s="12">
        <v>66</v>
      </c>
      <c r="W16" s="12">
        <v>16</v>
      </c>
      <c r="X16" s="12">
        <v>87</v>
      </c>
      <c r="Y16" s="12">
        <v>62</v>
      </c>
      <c r="Z16" s="12">
        <v>81</v>
      </c>
      <c r="AA16" s="12">
        <v>53</v>
      </c>
      <c r="AB16" s="12">
        <v>189</v>
      </c>
      <c r="AC16" s="12">
        <v>86</v>
      </c>
      <c r="AD16" s="12">
        <v>86</v>
      </c>
      <c r="AE16" s="12">
        <v>110</v>
      </c>
      <c r="AF16" s="12">
        <v>69</v>
      </c>
    </row>
    <row r="17" spans="1:32" x14ac:dyDescent="0.35">
      <c r="A17" s="31"/>
      <c r="B17" s="13" t="s">
        <v>507</v>
      </c>
      <c r="C17" s="14">
        <v>7.0000000000000007E-2</v>
      </c>
      <c r="D17" s="14">
        <v>7.0000000000000007E-2</v>
      </c>
      <c r="E17" s="14">
        <v>0.09</v>
      </c>
      <c r="F17" s="14">
        <v>0.11</v>
      </c>
      <c r="G17" s="14">
        <v>0.08</v>
      </c>
      <c r="H17" s="14">
        <v>0.06</v>
      </c>
      <c r="I17" s="14">
        <v>7.0000000000000007E-2</v>
      </c>
      <c r="J17" s="14">
        <v>0.1</v>
      </c>
      <c r="K17" s="14">
        <v>0.08</v>
      </c>
      <c r="L17" s="14">
        <v>0.03</v>
      </c>
      <c r="M17" s="14">
        <v>0.03</v>
      </c>
      <c r="N17" s="14">
        <v>0.05</v>
      </c>
      <c r="O17" s="14">
        <v>0.08</v>
      </c>
      <c r="P17" s="14">
        <v>0.06</v>
      </c>
      <c r="Q17" s="14">
        <v>7.0000000000000007E-2</v>
      </c>
      <c r="R17" s="14">
        <v>0.08</v>
      </c>
      <c r="S17" s="14">
        <v>0.05</v>
      </c>
      <c r="T17" s="14">
        <v>0.03</v>
      </c>
      <c r="U17" s="14">
        <v>0.05</v>
      </c>
      <c r="V17" s="14">
        <v>0.06</v>
      </c>
      <c r="W17" s="14">
        <v>0.03</v>
      </c>
      <c r="X17" s="14">
        <v>0.09</v>
      </c>
      <c r="Y17" s="14">
        <v>0.06</v>
      </c>
      <c r="Z17" s="14">
        <v>0.08</v>
      </c>
      <c r="AA17" s="14">
        <v>0.05</v>
      </c>
      <c r="AB17" s="14">
        <v>0.18</v>
      </c>
      <c r="AC17" s="14">
        <v>0.08</v>
      </c>
      <c r="AD17" s="14">
        <v>0.08</v>
      </c>
      <c r="AE17" s="14">
        <v>0.11</v>
      </c>
      <c r="AF17" s="14">
        <v>7.0000000000000007E-2</v>
      </c>
    </row>
    <row r="18" spans="1:32" x14ac:dyDescent="0.35">
      <c r="A18" s="31"/>
      <c r="B18" s="11" t="s">
        <v>508</v>
      </c>
      <c r="C18" s="12">
        <v>559</v>
      </c>
      <c r="D18" s="12">
        <v>21</v>
      </c>
      <c r="E18" s="12">
        <v>25</v>
      </c>
      <c r="F18" s="12">
        <v>10</v>
      </c>
      <c r="G18" s="12">
        <v>30</v>
      </c>
      <c r="H18" s="12">
        <v>36</v>
      </c>
      <c r="I18" s="12">
        <v>45</v>
      </c>
      <c r="J18" s="12">
        <v>8</v>
      </c>
      <c r="K18" s="12">
        <v>32</v>
      </c>
      <c r="L18" s="12">
        <v>11</v>
      </c>
      <c r="M18" s="12">
        <v>18</v>
      </c>
      <c r="N18" s="12">
        <v>24</v>
      </c>
      <c r="O18" s="12">
        <v>26</v>
      </c>
      <c r="P18" s="12">
        <v>9</v>
      </c>
      <c r="Q18" s="12">
        <v>19</v>
      </c>
      <c r="R18" s="12">
        <v>9</v>
      </c>
      <c r="S18" s="12">
        <v>6</v>
      </c>
      <c r="T18" s="12">
        <v>0</v>
      </c>
      <c r="U18" s="12">
        <v>8</v>
      </c>
      <c r="V18" s="12">
        <v>8</v>
      </c>
      <c r="W18" s="12">
        <v>2</v>
      </c>
      <c r="X18" s="12">
        <v>20</v>
      </c>
      <c r="Y18" s="12">
        <v>13</v>
      </c>
      <c r="Z18" s="12">
        <v>8</v>
      </c>
      <c r="AA18" s="12">
        <v>10</v>
      </c>
      <c r="AB18" s="12">
        <v>33</v>
      </c>
      <c r="AC18" s="12">
        <v>13</v>
      </c>
      <c r="AD18" s="12">
        <v>18</v>
      </c>
      <c r="AE18" s="12">
        <v>24</v>
      </c>
      <c r="AF18" s="12">
        <v>24</v>
      </c>
    </row>
    <row r="19" spans="1:32" x14ac:dyDescent="0.35">
      <c r="A19" s="31"/>
      <c r="B19" s="13" t="s">
        <v>509</v>
      </c>
      <c r="C19" s="14">
        <v>0.02</v>
      </c>
      <c r="D19" s="14">
        <v>0.02</v>
      </c>
      <c r="E19" s="14">
        <v>0.02</v>
      </c>
      <c r="F19" s="14">
        <v>0.01</v>
      </c>
      <c r="G19" s="14">
        <v>0.03</v>
      </c>
      <c r="H19" s="14">
        <v>0.03</v>
      </c>
      <c r="I19" s="14">
        <v>0.03</v>
      </c>
      <c r="J19" s="14">
        <v>0.03</v>
      </c>
      <c r="K19" s="14">
        <v>0.03</v>
      </c>
      <c r="L19" s="14">
        <v>0.01</v>
      </c>
      <c r="M19" s="14">
        <v>0.02</v>
      </c>
      <c r="N19" s="14">
        <v>0.02</v>
      </c>
      <c r="O19" s="14">
        <v>0.03</v>
      </c>
      <c r="P19" s="14">
        <v>0.01</v>
      </c>
      <c r="Q19" s="14">
        <v>0.02</v>
      </c>
      <c r="R19" s="14">
        <v>0.02</v>
      </c>
      <c r="S19" s="14">
        <v>0.01</v>
      </c>
      <c r="T19" s="15" t="s">
        <v>333</v>
      </c>
      <c r="U19" s="14">
        <v>0.02</v>
      </c>
      <c r="V19" s="14">
        <v>0.01</v>
      </c>
      <c r="W19" s="15" t="s">
        <v>333</v>
      </c>
      <c r="X19" s="14">
        <v>0.02</v>
      </c>
      <c r="Y19" s="14">
        <v>0.01</v>
      </c>
      <c r="Z19" s="14">
        <v>0.01</v>
      </c>
      <c r="AA19" s="14">
        <v>0.01</v>
      </c>
      <c r="AB19" s="14">
        <v>0.03</v>
      </c>
      <c r="AC19" s="14">
        <v>0.01</v>
      </c>
      <c r="AD19" s="14">
        <v>0.02</v>
      </c>
      <c r="AE19" s="14">
        <v>0.02</v>
      </c>
      <c r="AF19" s="14">
        <v>0.02</v>
      </c>
    </row>
    <row r="20" spans="1:32" x14ac:dyDescent="0.35">
      <c r="A20" s="31"/>
      <c r="B20" s="11" t="s">
        <v>344</v>
      </c>
      <c r="C20" s="12">
        <v>869</v>
      </c>
      <c r="D20" s="12">
        <v>10</v>
      </c>
      <c r="E20" s="12">
        <v>40</v>
      </c>
      <c r="F20" s="12">
        <v>45</v>
      </c>
      <c r="G20" s="12">
        <v>62</v>
      </c>
      <c r="H20" s="12">
        <v>27</v>
      </c>
      <c r="I20" s="12">
        <v>34</v>
      </c>
      <c r="J20" s="12">
        <v>7</v>
      </c>
      <c r="K20" s="12">
        <v>72</v>
      </c>
      <c r="L20" s="12">
        <v>30</v>
      </c>
      <c r="M20" s="12">
        <v>15</v>
      </c>
      <c r="N20" s="12">
        <v>52</v>
      </c>
      <c r="O20" s="12">
        <v>51</v>
      </c>
      <c r="P20" s="12">
        <v>16</v>
      </c>
      <c r="Q20" s="12">
        <v>23</v>
      </c>
      <c r="R20" s="12">
        <v>10</v>
      </c>
      <c r="S20" s="12">
        <v>33</v>
      </c>
      <c r="T20" s="12">
        <v>79</v>
      </c>
      <c r="U20" s="12">
        <v>8</v>
      </c>
      <c r="V20" s="12">
        <v>13</v>
      </c>
      <c r="W20" s="12">
        <v>3</v>
      </c>
      <c r="X20" s="12">
        <v>8</v>
      </c>
      <c r="Y20" s="12">
        <v>47</v>
      </c>
      <c r="Z20" s="12">
        <v>33</v>
      </c>
      <c r="AA20" s="12">
        <v>60</v>
      </c>
      <c r="AB20" s="12">
        <v>33</v>
      </c>
      <c r="AC20" s="12">
        <v>16</v>
      </c>
      <c r="AD20" s="12">
        <v>27</v>
      </c>
      <c r="AE20" s="12">
        <v>58</v>
      </c>
      <c r="AF20" s="12">
        <v>10</v>
      </c>
    </row>
    <row r="21" spans="1:32" x14ac:dyDescent="0.35">
      <c r="A21" s="31"/>
      <c r="B21" s="13" t="s">
        <v>357</v>
      </c>
      <c r="C21" s="14">
        <v>0.03</v>
      </c>
      <c r="D21" s="14">
        <v>0.01</v>
      </c>
      <c r="E21" s="14">
        <v>0.04</v>
      </c>
      <c r="F21" s="14">
        <v>0.04</v>
      </c>
      <c r="G21" s="14">
        <v>0.06</v>
      </c>
      <c r="H21" s="14">
        <v>0.02</v>
      </c>
      <c r="I21" s="14">
        <v>0.02</v>
      </c>
      <c r="J21" s="14">
        <v>0.02</v>
      </c>
      <c r="K21" s="14">
        <v>7.0000000000000007E-2</v>
      </c>
      <c r="L21" s="14">
        <v>0.03</v>
      </c>
      <c r="M21" s="14">
        <v>0.01</v>
      </c>
      <c r="N21" s="14">
        <v>0.05</v>
      </c>
      <c r="O21" s="14">
        <v>0.05</v>
      </c>
      <c r="P21" s="14">
        <v>0.01</v>
      </c>
      <c r="Q21" s="14">
        <v>0.02</v>
      </c>
      <c r="R21" s="14">
        <v>0.02</v>
      </c>
      <c r="S21" s="14">
        <v>0.03</v>
      </c>
      <c r="T21" s="14">
        <v>0.08</v>
      </c>
      <c r="U21" s="14">
        <v>0.01</v>
      </c>
      <c r="V21" s="14">
        <v>0.01</v>
      </c>
      <c r="W21" s="14">
        <v>0.01</v>
      </c>
      <c r="X21" s="14">
        <v>0.01</v>
      </c>
      <c r="Y21" s="14">
        <v>0.05</v>
      </c>
      <c r="Z21" s="14">
        <v>0.03</v>
      </c>
      <c r="AA21" s="14">
        <v>0.06</v>
      </c>
      <c r="AB21" s="14">
        <v>0.03</v>
      </c>
      <c r="AC21" s="14">
        <v>0.02</v>
      </c>
      <c r="AD21" s="14">
        <v>0.03</v>
      </c>
      <c r="AE21" s="14">
        <v>0.06</v>
      </c>
      <c r="AF21" s="14">
        <v>0.01</v>
      </c>
    </row>
    <row r="22" spans="1:32" x14ac:dyDescent="0.35">
      <c r="A22" s="31"/>
      <c r="B22" s="11" t="s">
        <v>510</v>
      </c>
      <c r="C22" s="12">
        <v>23054</v>
      </c>
      <c r="D22" s="12">
        <v>922</v>
      </c>
      <c r="E22" s="12">
        <v>884</v>
      </c>
      <c r="F22" s="12">
        <v>857</v>
      </c>
      <c r="G22" s="12">
        <v>844</v>
      </c>
      <c r="H22" s="12">
        <v>1098</v>
      </c>
      <c r="I22" s="12">
        <v>1351</v>
      </c>
      <c r="J22" s="12">
        <v>254</v>
      </c>
      <c r="K22" s="12">
        <v>829</v>
      </c>
      <c r="L22" s="12">
        <v>934</v>
      </c>
      <c r="M22" s="12">
        <v>937</v>
      </c>
      <c r="N22" s="12">
        <v>878</v>
      </c>
      <c r="O22" s="12">
        <v>847</v>
      </c>
      <c r="P22" s="12">
        <v>919</v>
      </c>
      <c r="Q22" s="12">
        <v>921</v>
      </c>
      <c r="R22" s="12">
        <v>444</v>
      </c>
      <c r="S22" s="12">
        <v>926</v>
      </c>
      <c r="T22" s="12">
        <v>909</v>
      </c>
      <c r="U22" s="12">
        <v>468</v>
      </c>
      <c r="V22" s="12">
        <v>928</v>
      </c>
      <c r="W22" s="12">
        <v>480</v>
      </c>
      <c r="X22" s="12">
        <v>894</v>
      </c>
      <c r="Y22" s="12">
        <v>881</v>
      </c>
      <c r="Z22" s="12">
        <v>897</v>
      </c>
      <c r="AA22" s="12">
        <v>907</v>
      </c>
      <c r="AB22" s="12">
        <v>801</v>
      </c>
      <c r="AC22" s="12">
        <v>898</v>
      </c>
      <c r="AD22" s="12">
        <v>872</v>
      </c>
      <c r="AE22" s="12">
        <v>815</v>
      </c>
      <c r="AF22" s="12">
        <v>917</v>
      </c>
    </row>
    <row r="23" spans="1:32" x14ac:dyDescent="0.35">
      <c r="A23" s="31"/>
      <c r="B23" s="13" t="s">
        <v>511</v>
      </c>
      <c r="C23" s="14">
        <v>0.88</v>
      </c>
      <c r="D23" s="14">
        <v>0.9</v>
      </c>
      <c r="E23" s="14">
        <v>0.85</v>
      </c>
      <c r="F23" s="14">
        <v>0.84</v>
      </c>
      <c r="G23" s="14">
        <v>0.83000000000000007</v>
      </c>
      <c r="H23" s="14">
        <v>0.89</v>
      </c>
      <c r="I23" s="14">
        <v>0.88</v>
      </c>
      <c r="J23" s="14">
        <v>0.85</v>
      </c>
      <c r="K23" s="14">
        <v>0.82000000000000006</v>
      </c>
      <c r="L23" s="14">
        <v>0.93</v>
      </c>
      <c r="M23" s="14">
        <v>0.94000000000000006</v>
      </c>
      <c r="N23" s="14">
        <v>0.88</v>
      </c>
      <c r="O23" s="14">
        <v>0.84</v>
      </c>
      <c r="P23" s="14">
        <v>0.92</v>
      </c>
      <c r="Q23" s="14">
        <v>0.89</v>
      </c>
      <c r="R23" s="14">
        <v>0.88</v>
      </c>
      <c r="S23" s="14">
        <v>0.91</v>
      </c>
      <c r="T23" s="14">
        <v>0.89</v>
      </c>
      <c r="U23" s="14">
        <v>0.92</v>
      </c>
      <c r="V23" s="14">
        <v>0.92</v>
      </c>
      <c r="W23" s="14">
        <v>0.96</v>
      </c>
      <c r="X23" s="14">
        <v>0.88</v>
      </c>
      <c r="Y23" s="14">
        <v>0.88</v>
      </c>
      <c r="Z23" s="14">
        <v>0.88</v>
      </c>
      <c r="AA23" s="14">
        <v>0.88</v>
      </c>
      <c r="AB23" s="14">
        <v>0.76</v>
      </c>
      <c r="AC23" s="14">
        <v>0.89</v>
      </c>
      <c r="AD23" s="14">
        <v>0.87</v>
      </c>
      <c r="AE23" s="14">
        <v>0.81</v>
      </c>
      <c r="AF23" s="14">
        <v>0.9</v>
      </c>
    </row>
    <row r="24" spans="1:32" x14ac:dyDescent="0.35">
      <c r="A24" s="31"/>
      <c r="B24" s="11" t="s">
        <v>512</v>
      </c>
      <c r="C24" s="12">
        <v>2488</v>
      </c>
      <c r="D24" s="12">
        <v>94</v>
      </c>
      <c r="E24" s="12">
        <v>115</v>
      </c>
      <c r="F24" s="12">
        <v>117</v>
      </c>
      <c r="G24" s="12">
        <v>111</v>
      </c>
      <c r="H24" s="12">
        <v>108</v>
      </c>
      <c r="I24" s="12">
        <v>146</v>
      </c>
      <c r="J24" s="12">
        <v>37</v>
      </c>
      <c r="K24" s="12">
        <v>108</v>
      </c>
      <c r="L24" s="12">
        <v>40</v>
      </c>
      <c r="M24" s="12">
        <v>52</v>
      </c>
      <c r="N24" s="12">
        <v>70</v>
      </c>
      <c r="O24" s="12">
        <v>103</v>
      </c>
      <c r="P24" s="12">
        <v>70</v>
      </c>
      <c r="Q24" s="12">
        <v>92</v>
      </c>
      <c r="R24" s="12">
        <v>47</v>
      </c>
      <c r="S24" s="12">
        <v>62</v>
      </c>
      <c r="T24" s="12">
        <v>28</v>
      </c>
      <c r="U24" s="12">
        <v>33</v>
      </c>
      <c r="V24" s="12">
        <v>74</v>
      </c>
      <c r="W24" s="12">
        <v>18</v>
      </c>
      <c r="X24" s="12">
        <v>107</v>
      </c>
      <c r="Y24" s="12">
        <v>75</v>
      </c>
      <c r="Z24" s="12">
        <v>89</v>
      </c>
      <c r="AA24" s="12">
        <v>63</v>
      </c>
      <c r="AB24" s="12">
        <v>222</v>
      </c>
      <c r="AC24" s="12">
        <v>99</v>
      </c>
      <c r="AD24" s="12">
        <v>104</v>
      </c>
      <c r="AE24" s="12">
        <v>134</v>
      </c>
      <c r="AF24" s="12">
        <v>93</v>
      </c>
    </row>
    <row r="25" spans="1:32" x14ac:dyDescent="0.35">
      <c r="A25" s="31"/>
      <c r="B25" s="13" t="s">
        <v>513</v>
      </c>
      <c r="C25" s="14">
        <v>0.09</v>
      </c>
      <c r="D25" s="14">
        <v>0.09</v>
      </c>
      <c r="E25" s="14">
        <v>0.11</v>
      </c>
      <c r="F25" s="14">
        <v>0.12</v>
      </c>
      <c r="G25" s="14">
        <v>0.11</v>
      </c>
      <c r="H25" s="14">
        <v>0.09</v>
      </c>
      <c r="I25" s="14">
        <v>0.1</v>
      </c>
      <c r="J25" s="14">
        <v>0.13</v>
      </c>
      <c r="K25" s="14">
        <v>0.11</v>
      </c>
      <c r="L25" s="14">
        <v>0.04</v>
      </c>
      <c r="M25" s="14">
        <v>0.05</v>
      </c>
      <c r="N25" s="14">
        <v>7.0000000000000007E-2</v>
      </c>
      <c r="O25" s="14">
        <v>0.11</v>
      </c>
      <c r="P25" s="14">
        <v>7.0000000000000007E-2</v>
      </c>
      <c r="Q25" s="14">
        <v>0.09</v>
      </c>
      <c r="R25" s="14">
        <v>0.1</v>
      </c>
      <c r="S25" s="14">
        <v>0.06</v>
      </c>
      <c r="T25" s="14">
        <v>0.03</v>
      </c>
      <c r="U25" s="14">
        <v>7.0000000000000007E-2</v>
      </c>
      <c r="V25" s="14">
        <v>7.0000000000000007E-2</v>
      </c>
      <c r="W25" s="14">
        <v>0.03</v>
      </c>
      <c r="X25" s="14">
        <v>0.11</v>
      </c>
      <c r="Y25" s="14">
        <v>7.0000000000000007E-2</v>
      </c>
      <c r="Z25" s="14">
        <v>0.09</v>
      </c>
      <c r="AA25" s="14">
        <v>0.06</v>
      </c>
      <c r="AB25" s="14">
        <v>0.21</v>
      </c>
      <c r="AC25" s="14">
        <v>0.09</v>
      </c>
      <c r="AD25" s="14">
        <v>0.1</v>
      </c>
      <c r="AE25" s="14">
        <v>0.13</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805</v>
      </c>
      <c r="C3" s="30"/>
      <c r="D3" s="30"/>
      <c r="E3" s="30"/>
      <c r="F3" s="30"/>
      <c r="H3" s="30" t="s">
        <v>806</v>
      </c>
      <c r="I3" s="30"/>
      <c r="J3" s="30"/>
      <c r="K3" s="30"/>
      <c r="L3" s="30"/>
    </row>
    <row r="4" spans="1:32" ht="27" customHeight="1" x14ac:dyDescent="0.35">
      <c r="B4" s="30" t="s">
        <v>807</v>
      </c>
      <c r="C4" s="30"/>
      <c r="D4" s="30"/>
      <c r="E4" s="30"/>
      <c r="F4" s="30"/>
      <c r="H4" s="30" t="s">
        <v>808</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HYPERLINK("#Content!A59","&lt;&lt;Back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10899</v>
      </c>
      <c r="D12" s="12">
        <v>396</v>
      </c>
      <c r="E12" s="12">
        <v>455</v>
      </c>
      <c r="F12" s="12">
        <v>275</v>
      </c>
      <c r="G12" s="12">
        <v>476</v>
      </c>
      <c r="H12" s="12">
        <v>559</v>
      </c>
      <c r="I12" s="12">
        <v>686</v>
      </c>
      <c r="J12" s="12">
        <v>128</v>
      </c>
      <c r="K12" s="12">
        <v>330</v>
      </c>
      <c r="L12" s="12">
        <v>613</v>
      </c>
      <c r="M12" s="12">
        <v>556</v>
      </c>
      <c r="N12" s="12">
        <v>537</v>
      </c>
      <c r="O12" s="12">
        <v>337</v>
      </c>
      <c r="P12" s="12">
        <v>433</v>
      </c>
      <c r="Q12" s="12">
        <v>445</v>
      </c>
      <c r="R12" s="12">
        <v>332</v>
      </c>
      <c r="S12" s="12">
        <v>484</v>
      </c>
      <c r="T12" s="12">
        <v>501</v>
      </c>
      <c r="U12" s="12">
        <v>243</v>
      </c>
      <c r="V12" s="12">
        <v>393</v>
      </c>
      <c r="W12" s="12">
        <v>323</v>
      </c>
      <c r="X12" s="12">
        <v>399</v>
      </c>
      <c r="Y12" s="12">
        <v>509</v>
      </c>
      <c r="Z12" s="12">
        <v>267</v>
      </c>
      <c r="AA12" s="12">
        <v>386</v>
      </c>
      <c r="AB12" s="12">
        <v>294</v>
      </c>
      <c r="AC12" s="12">
        <v>507</v>
      </c>
      <c r="AD12" s="12">
        <v>483</v>
      </c>
      <c r="AE12" s="12">
        <v>336</v>
      </c>
      <c r="AF12" s="12">
        <v>514</v>
      </c>
    </row>
    <row r="13" spans="1:32" x14ac:dyDescent="0.35">
      <c r="A13" s="31"/>
      <c r="B13" s="13" t="s">
        <v>503</v>
      </c>
      <c r="C13" s="14">
        <v>0.41</v>
      </c>
      <c r="D13" s="14">
        <v>0.39</v>
      </c>
      <c r="E13" s="14">
        <v>0.44</v>
      </c>
      <c r="F13" s="14">
        <v>0.27</v>
      </c>
      <c r="G13" s="14">
        <v>0.47</v>
      </c>
      <c r="H13" s="14">
        <v>0.45</v>
      </c>
      <c r="I13" s="14">
        <v>0.45</v>
      </c>
      <c r="J13" s="14">
        <v>0.43</v>
      </c>
      <c r="K13" s="14">
        <v>0.33</v>
      </c>
      <c r="L13" s="14">
        <v>0.61</v>
      </c>
      <c r="M13" s="14">
        <v>0.55000000000000004</v>
      </c>
      <c r="N13" s="14">
        <v>0.54</v>
      </c>
      <c r="O13" s="14">
        <v>0.34</v>
      </c>
      <c r="P13" s="14">
        <v>0.43</v>
      </c>
      <c r="Q13" s="14">
        <v>0.43</v>
      </c>
      <c r="R13" s="14">
        <v>0.66</v>
      </c>
      <c r="S13" s="14">
        <v>0.47</v>
      </c>
      <c r="T13" s="14">
        <v>0.49</v>
      </c>
      <c r="U13" s="14">
        <v>0.48</v>
      </c>
      <c r="V13" s="14">
        <v>0.39</v>
      </c>
      <c r="W13" s="14">
        <v>0.65</v>
      </c>
      <c r="X13" s="14">
        <v>0.4</v>
      </c>
      <c r="Y13" s="14">
        <v>0.51</v>
      </c>
      <c r="Z13" s="14">
        <v>0.26</v>
      </c>
      <c r="AA13" s="14">
        <v>0.38</v>
      </c>
      <c r="AB13" s="14">
        <v>0.28000000000000003</v>
      </c>
      <c r="AC13" s="14">
        <v>0.5</v>
      </c>
      <c r="AD13" s="14">
        <v>0.48</v>
      </c>
      <c r="AE13" s="14">
        <v>0.33</v>
      </c>
      <c r="AF13" s="14">
        <v>0.5</v>
      </c>
    </row>
    <row r="14" spans="1:32" x14ac:dyDescent="0.35">
      <c r="A14" s="31"/>
      <c r="B14" s="11" t="s">
        <v>504</v>
      </c>
      <c r="C14" s="12">
        <v>11800</v>
      </c>
      <c r="D14" s="12">
        <v>509</v>
      </c>
      <c r="E14" s="12">
        <v>413</v>
      </c>
      <c r="F14" s="12">
        <v>544</v>
      </c>
      <c r="G14" s="12">
        <v>439</v>
      </c>
      <c r="H14" s="12">
        <v>520</v>
      </c>
      <c r="I14" s="12">
        <v>631</v>
      </c>
      <c r="J14" s="12">
        <v>112</v>
      </c>
      <c r="K14" s="12">
        <v>533</v>
      </c>
      <c r="L14" s="12">
        <v>342</v>
      </c>
      <c r="M14" s="12">
        <v>385</v>
      </c>
      <c r="N14" s="12">
        <v>347</v>
      </c>
      <c r="O14" s="12">
        <v>482</v>
      </c>
      <c r="P14" s="12">
        <v>466</v>
      </c>
      <c r="Q14" s="12">
        <v>470</v>
      </c>
      <c r="R14" s="12">
        <v>125</v>
      </c>
      <c r="S14" s="12">
        <v>436</v>
      </c>
      <c r="T14" s="12">
        <v>398</v>
      </c>
      <c r="U14" s="12">
        <v>214</v>
      </c>
      <c r="V14" s="12">
        <v>478</v>
      </c>
      <c r="W14" s="12">
        <v>158</v>
      </c>
      <c r="X14" s="12">
        <v>495</v>
      </c>
      <c r="Y14" s="12">
        <v>364</v>
      </c>
      <c r="Z14" s="12">
        <v>593</v>
      </c>
      <c r="AA14" s="12">
        <v>512</v>
      </c>
      <c r="AB14" s="12">
        <v>471</v>
      </c>
      <c r="AC14" s="12">
        <v>409</v>
      </c>
      <c r="AD14" s="12">
        <v>448</v>
      </c>
      <c r="AE14" s="12">
        <v>503</v>
      </c>
      <c r="AF14" s="12">
        <v>412</v>
      </c>
    </row>
    <row r="15" spans="1:32" x14ac:dyDescent="0.35">
      <c r="A15" s="31"/>
      <c r="B15" s="13" t="s">
        <v>505</v>
      </c>
      <c r="C15" s="14">
        <v>0.45</v>
      </c>
      <c r="D15" s="14">
        <v>0.49</v>
      </c>
      <c r="E15" s="14">
        <v>0.4</v>
      </c>
      <c r="F15" s="14">
        <v>0.53</v>
      </c>
      <c r="G15" s="14">
        <v>0.43</v>
      </c>
      <c r="H15" s="14">
        <v>0.42</v>
      </c>
      <c r="I15" s="14">
        <v>0.41</v>
      </c>
      <c r="J15" s="14">
        <v>0.38</v>
      </c>
      <c r="K15" s="14">
        <v>0.53</v>
      </c>
      <c r="L15" s="14">
        <v>0.34</v>
      </c>
      <c r="M15" s="14">
        <v>0.38</v>
      </c>
      <c r="N15" s="14">
        <v>0.34</v>
      </c>
      <c r="O15" s="14">
        <v>0.48</v>
      </c>
      <c r="P15" s="14">
        <v>0.46</v>
      </c>
      <c r="Q15" s="14">
        <v>0.45</v>
      </c>
      <c r="R15" s="14">
        <v>0.25</v>
      </c>
      <c r="S15" s="14">
        <v>0.43</v>
      </c>
      <c r="T15" s="14">
        <v>0.39</v>
      </c>
      <c r="U15" s="14">
        <v>0.42</v>
      </c>
      <c r="V15" s="14">
        <v>0.47</v>
      </c>
      <c r="W15" s="14">
        <v>0.31</v>
      </c>
      <c r="X15" s="14">
        <v>0.49</v>
      </c>
      <c r="Y15" s="14">
        <v>0.36</v>
      </c>
      <c r="Z15" s="14">
        <v>0.57999999999999996</v>
      </c>
      <c r="AA15" s="14">
        <v>0.5</v>
      </c>
      <c r="AB15" s="14">
        <v>0.45</v>
      </c>
      <c r="AC15" s="14">
        <v>0.4</v>
      </c>
      <c r="AD15" s="14">
        <v>0.45</v>
      </c>
      <c r="AE15" s="14">
        <v>0.5</v>
      </c>
      <c r="AF15" s="14">
        <v>0.4</v>
      </c>
    </row>
    <row r="16" spans="1:32" x14ac:dyDescent="0.35">
      <c r="A16" s="31"/>
      <c r="B16" s="11" t="s">
        <v>506</v>
      </c>
      <c r="C16" s="12">
        <v>2197</v>
      </c>
      <c r="D16" s="12">
        <v>90</v>
      </c>
      <c r="E16" s="12">
        <v>96</v>
      </c>
      <c r="F16" s="12">
        <v>140</v>
      </c>
      <c r="G16" s="12">
        <v>38</v>
      </c>
      <c r="H16" s="12">
        <v>96</v>
      </c>
      <c r="I16" s="12">
        <v>129</v>
      </c>
      <c r="J16" s="12">
        <v>33</v>
      </c>
      <c r="K16" s="12">
        <v>71</v>
      </c>
      <c r="L16" s="12">
        <v>22</v>
      </c>
      <c r="M16" s="12">
        <v>32</v>
      </c>
      <c r="N16" s="12">
        <v>42</v>
      </c>
      <c r="O16" s="12">
        <v>90</v>
      </c>
      <c r="P16" s="12">
        <v>76</v>
      </c>
      <c r="Q16" s="12">
        <v>80</v>
      </c>
      <c r="R16" s="12">
        <v>28</v>
      </c>
      <c r="S16" s="12">
        <v>58</v>
      </c>
      <c r="T16" s="12">
        <v>37</v>
      </c>
      <c r="U16" s="12">
        <v>33</v>
      </c>
      <c r="V16" s="12">
        <v>114</v>
      </c>
      <c r="W16" s="12">
        <v>16</v>
      </c>
      <c r="X16" s="12">
        <v>94</v>
      </c>
      <c r="Y16" s="12">
        <v>82</v>
      </c>
      <c r="Z16" s="12">
        <v>108</v>
      </c>
      <c r="AA16" s="12">
        <v>61</v>
      </c>
      <c r="AB16" s="12">
        <v>191</v>
      </c>
      <c r="AC16" s="12">
        <v>68</v>
      </c>
      <c r="AD16" s="12">
        <v>49</v>
      </c>
      <c r="AE16" s="12">
        <v>118</v>
      </c>
      <c r="AF16" s="12">
        <v>58</v>
      </c>
    </row>
    <row r="17" spans="1:32" x14ac:dyDescent="0.35">
      <c r="A17" s="31"/>
      <c r="B17" s="13" t="s">
        <v>507</v>
      </c>
      <c r="C17" s="14">
        <v>0.08</v>
      </c>
      <c r="D17" s="14">
        <v>0.09</v>
      </c>
      <c r="E17" s="14">
        <v>0.09</v>
      </c>
      <c r="F17" s="14">
        <v>0.14000000000000001</v>
      </c>
      <c r="G17" s="14">
        <v>0.04</v>
      </c>
      <c r="H17" s="14">
        <v>0.08</v>
      </c>
      <c r="I17" s="14">
        <v>0.09</v>
      </c>
      <c r="J17" s="14">
        <v>0.11</v>
      </c>
      <c r="K17" s="14">
        <v>7.0000000000000007E-2</v>
      </c>
      <c r="L17" s="14">
        <v>0.02</v>
      </c>
      <c r="M17" s="14">
        <v>0.03</v>
      </c>
      <c r="N17" s="14">
        <v>0.04</v>
      </c>
      <c r="O17" s="14">
        <v>0.09</v>
      </c>
      <c r="P17" s="14">
        <v>0.08</v>
      </c>
      <c r="Q17" s="14">
        <v>0.08</v>
      </c>
      <c r="R17" s="14">
        <v>0.05</v>
      </c>
      <c r="S17" s="14">
        <v>0.06</v>
      </c>
      <c r="T17" s="14">
        <v>0.04</v>
      </c>
      <c r="U17" s="14">
        <v>0.06</v>
      </c>
      <c r="V17" s="14">
        <v>0.11</v>
      </c>
      <c r="W17" s="14">
        <v>0.03</v>
      </c>
      <c r="X17" s="14">
        <v>0.09</v>
      </c>
      <c r="Y17" s="14">
        <v>0.08</v>
      </c>
      <c r="Z17" s="14">
        <v>0.11</v>
      </c>
      <c r="AA17" s="14">
        <v>0.06</v>
      </c>
      <c r="AB17" s="14">
        <v>0.18</v>
      </c>
      <c r="AC17" s="14">
        <v>7.0000000000000007E-2</v>
      </c>
      <c r="AD17" s="14">
        <v>0.05</v>
      </c>
      <c r="AE17" s="14">
        <v>0.12</v>
      </c>
      <c r="AF17" s="14">
        <v>0.06</v>
      </c>
    </row>
    <row r="18" spans="1:32" x14ac:dyDescent="0.35">
      <c r="A18" s="31"/>
      <c r="B18" s="11" t="s">
        <v>508</v>
      </c>
      <c r="C18" s="12">
        <v>588</v>
      </c>
      <c r="D18" s="12">
        <v>17</v>
      </c>
      <c r="E18" s="12">
        <v>34</v>
      </c>
      <c r="F18" s="12">
        <v>17</v>
      </c>
      <c r="G18" s="12">
        <v>9</v>
      </c>
      <c r="H18" s="12">
        <v>33</v>
      </c>
      <c r="I18" s="12">
        <v>46</v>
      </c>
      <c r="J18" s="12">
        <v>13</v>
      </c>
      <c r="K18" s="12">
        <v>26</v>
      </c>
      <c r="L18" s="12">
        <v>5</v>
      </c>
      <c r="M18" s="12">
        <v>14</v>
      </c>
      <c r="N18" s="12">
        <v>17</v>
      </c>
      <c r="O18" s="12">
        <v>28</v>
      </c>
      <c r="P18" s="12">
        <v>13</v>
      </c>
      <c r="Q18" s="12">
        <v>21</v>
      </c>
      <c r="R18" s="12">
        <v>8</v>
      </c>
      <c r="S18" s="12">
        <v>11</v>
      </c>
      <c r="T18" s="12">
        <v>5</v>
      </c>
      <c r="U18" s="12">
        <v>9</v>
      </c>
      <c r="V18" s="12">
        <v>17</v>
      </c>
      <c r="W18" s="12">
        <v>0</v>
      </c>
      <c r="X18" s="12">
        <v>14</v>
      </c>
      <c r="Y18" s="12">
        <v>8</v>
      </c>
      <c r="Z18" s="12">
        <v>11</v>
      </c>
      <c r="AA18" s="12">
        <v>15</v>
      </c>
      <c r="AB18" s="12">
        <v>62</v>
      </c>
      <c r="AC18" s="12">
        <v>17</v>
      </c>
      <c r="AD18" s="12">
        <v>11</v>
      </c>
      <c r="AE18" s="12">
        <v>16</v>
      </c>
      <c r="AF18" s="12">
        <v>21</v>
      </c>
    </row>
    <row r="19" spans="1:32" x14ac:dyDescent="0.35">
      <c r="A19" s="31"/>
      <c r="B19" s="13" t="s">
        <v>509</v>
      </c>
      <c r="C19" s="14">
        <v>0.02</v>
      </c>
      <c r="D19" s="14">
        <v>0.02</v>
      </c>
      <c r="E19" s="14">
        <v>0.03</v>
      </c>
      <c r="F19" s="14">
        <v>0.02</v>
      </c>
      <c r="G19" s="14">
        <v>0.01</v>
      </c>
      <c r="H19" s="14">
        <v>0.03</v>
      </c>
      <c r="I19" s="14">
        <v>0.03</v>
      </c>
      <c r="J19" s="14">
        <v>0.04</v>
      </c>
      <c r="K19" s="14">
        <v>0.02</v>
      </c>
      <c r="L19" s="14">
        <v>0.01</v>
      </c>
      <c r="M19" s="14">
        <v>0.02</v>
      </c>
      <c r="N19" s="14">
        <v>0.02</v>
      </c>
      <c r="O19" s="14">
        <v>0.03</v>
      </c>
      <c r="P19" s="14">
        <v>0.01</v>
      </c>
      <c r="Q19" s="14">
        <v>0.02</v>
      </c>
      <c r="R19" s="14">
        <v>0.02</v>
      </c>
      <c r="S19" s="14">
        <v>0.01</v>
      </c>
      <c r="T19" s="15" t="s">
        <v>333</v>
      </c>
      <c r="U19" s="14">
        <v>0.02</v>
      </c>
      <c r="V19" s="14">
        <v>0.02</v>
      </c>
      <c r="W19" s="15" t="s">
        <v>333</v>
      </c>
      <c r="X19" s="14">
        <v>0.01</v>
      </c>
      <c r="Y19" s="14">
        <v>0.01</v>
      </c>
      <c r="Z19" s="14">
        <v>0.01</v>
      </c>
      <c r="AA19" s="14">
        <v>0.01</v>
      </c>
      <c r="AB19" s="14">
        <v>0.06</v>
      </c>
      <c r="AC19" s="14">
        <v>0.02</v>
      </c>
      <c r="AD19" s="14">
        <v>0.01</v>
      </c>
      <c r="AE19" s="14">
        <v>0.02</v>
      </c>
      <c r="AF19" s="14">
        <v>0.02</v>
      </c>
    </row>
    <row r="20" spans="1:32" x14ac:dyDescent="0.35">
      <c r="A20" s="31"/>
      <c r="B20" s="11" t="s">
        <v>344</v>
      </c>
      <c r="C20" s="12">
        <v>926</v>
      </c>
      <c r="D20" s="12">
        <v>12</v>
      </c>
      <c r="E20" s="12">
        <v>40</v>
      </c>
      <c r="F20" s="12">
        <v>43</v>
      </c>
      <c r="G20" s="12">
        <v>57</v>
      </c>
      <c r="H20" s="12">
        <v>25</v>
      </c>
      <c r="I20" s="12">
        <v>37</v>
      </c>
      <c r="J20" s="12">
        <v>12</v>
      </c>
      <c r="K20" s="12">
        <v>50</v>
      </c>
      <c r="L20" s="12">
        <v>23</v>
      </c>
      <c r="M20" s="12">
        <v>17</v>
      </c>
      <c r="N20" s="12">
        <v>58</v>
      </c>
      <c r="O20" s="12">
        <v>62</v>
      </c>
      <c r="P20" s="12">
        <v>16</v>
      </c>
      <c r="Q20" s="12">
        <v>19</v>
      </c>
      <c r="R20" s="12">
        <v>8</v>
      </c>
      <c r="S20" s="12">
        <v>32</v>
      </c>
      <c r="T20" s="12">
        <v>77</v>
      </c>
      <c r="U20" s="12">
        <v>11</v>
      </c>
      <c r="V20" s="12">
        <v>12</v>
      </c>
      <c r="W20" s="12">
        <v>4</v>
      </c>
      <c r="X20" s="12">
        <v>8</v>
      </c>
      <c r="Y20" s="12">
        <v>39</v>
      </c>
      <c r="Z20" s="12">
        <v>40</v>
      </c>
      <c r="AA20" s="12">
        <v>56</v>
      </c>
      <c r="AB20" s="12">
        <v>38</v>
      </c>
      <c r="AC20" s="12">
        <v>12</v>
      </c>
      <c r="AD20" s="12">
        <v>12</v>
      </c>
      <c r="AE20" s="12">
        <v>35</v>
      </c>
      <c r="AF20" s="12">
        <v>15</v>
      </c>
    </row>
    <row r="21" spans="1:32" x14ac:dyDescent="0.35">
      <c r="A21" s="31"/>
      <c r="B21" s="13" t="s">
        <v>357</v>
      </c>
      <c r="C21" s="14">
        <v>0.04</v>
      </c>
      <c r="D21" s="14">
        <v>0.01</v>
      </c>
      <c r="E21" s="14">
        <v>0.04</v>
      </c>
      <c r="F21" s="14">
        <v>0.04</v>
      </c>
      <c r="G21" s="14">
        <v>0.05</v>
      </c>
      <c r="H21" s="14">
        <v>0.02</v>
      </c>
      <c r="I21" s="14">
        <v>0.02</v>
      </c>
      <c r="J21" s="14">
        <v>0.04</v>
      </c>
      <c r="K21" s="14">
        <v>0.05</v>
      </c>
      <c r="L21" s="14">
        <v>0.02</v>
      </c>
      <c r="M21" s="14">
        <v>0.02</v>
      </c>
      <c r="N21" s="14">
        <v>0.06</v>
      </c>
      <c r="O21" s="14">
        <v>0.06</v>
      </c>
      <c r="P21" s="14">
        <v>0.02</v>
      </c>
      <c r="Q21" s="14">
        <v>0.02</v>
      </c>
      <c r="R21" s="14">
        <v>0.02</v>
      </c>
      <c r="S21" s="14">
        <v>0.03</v>
      </c>
      <c r="T21" s="14">
        <v>0.08</v>
      </c>
      <c r="U21" s="14">
        <v>0.02</v>
      </c>
      <c r="V21" s="14">
        <v>0.01</v>
      </c>
      <c r="W21" s="14">
        <v>0.01</v>
      </c>
      <c r="X21" s="14">
        <v>0.01</v>
      </c>
      <c r="Y21" s="14">
        <v>0.04</v>
      </c>
      <c r="Z21" s="14">
        <v>0.04</v>
      </c>
      <c r="AA21" s="14">
        <v>0.05</v>
      </c>
      <c r="AB21" s="14">
        <v>0.03</v>
      </c>
      <c r="AC21" s="14">
        <v>0.01</v>
      </c>
      <c r="AD21" s="14">
        <v>0.01</v>
      </c>
      <c r="AE21" s="14">
        <v>0.03</v>
      </c>
      <c r="AF21" s="14">
        <v>0.02</v>
      </c>
    </row>
    <row r="22" spans="1:32" x14ac:dyDescent="0.35">
      <c r="A22" s="31"/>
      <c r="B22" s="11" t="s">
        <v>510</v>
      </c>
      <c r="C22" s="12">
        <v>22699</v>
      </c>
      <c r="D22" s="12">
        <v>905</v>
      </c>
      <c r="E22" s="12">
        <v>868</v>
      </c>
      <c r="F22" s="12">
        <v>819</v>
      </c>
      <c r="G22" s="12">
        <v>915</v>
      </c>
      <c r="H22" s="12">
        <v>1079</v>
      </c>
      <c r="I22" s="12">
        <v>1317</v>
      </c>
      <c r="J22" s="12">
        <v>240</v>
      </c>
      <c r="K22" s="12">
        <v>863</v>
      </c>
      <c r="L22" s="12">
        <v>955</v>
      </c>
      <c r="M22" s="12">
        <v>941</v>
      </c>
      <c r="N22" s="12">
        <v>884</v>
      </c>
      <c r="O22" s="12">
        <v>819</v>
      </c>
      <c r="P22" s="12">
        <v>899</v>
      </c>
      <c r="Q22" s="12">
        <v>915</v>
      </c>
      <c r="R22" s="12">
        <v>457</v>
      </c>
      <c r="S22" s="12">
        <v>920</v>
      </c>
      <c r="T22" s="12">
        <v>899</v>
      </c>
      <c r="U22" s="12">
        <v>457</v>
      </c>
      <c r="V22" s="12">
        <v>871</v>
      </c>
      <c r="W22" s="12">
        <v>481</v>
      </c>
      <c r="X22" s="12">
        <v>894</v>
      </c>
      <c r="Y22" s="12">
        <v>873</v>
      </c>
      <c r="Z22" s="12">
        <v>860</v>
      </c>
      <c r="AA22" s="12">
        <v>898</v>
      </c>
      <c r="AB22" s="12">
        <v>765</v>
      </c>
      <c r="AC22" s="12">
        <v>916</v>
      </c>
      <c r="AD22" s="12">
        <v>931</v>
      </c>
      <c r="AE22" s="12">
        <v>839</v>
      </c>
      <c r="AF22" s="12">
        <v>926</v>
      </c>
    </row>
    <row r="23" spans="1:32" x14ac:dyDescent="0.35">
      <c r="A23" s="31"/>
      <c r="B23" s="13" t="s">
        <v>511</v>
      </c>
      <c r="C23" s="14">
        <v>0.86</v>
      </c>
      <c r="D23" s="14">
        <v>0.88</v>
      </c>
      <c r="E23" s="14">
        <v>0.84</v>
      </c>
      <c r="F23" s="14">
        <v>0.8</v>
      </c>
      <c r="G23" s="14">
        <v>0.9</v>
      </c>
      <c r="H23" s="14">
        <v>0.87</v>
      </c>
      <c r="I23" s="14">
        <v>0.86</v>
      </c>
      <c r="J23" s="14">
        <v>0.81</v>
      </c>
      <c r="K23" s="14">
        <v>0.86</v>
      </c>
      <c r="L23" s="14">
        <v>0.95000000000000007</v>
      </c>
      <c r="M23" s="14">
        <v>0.93</v>
      </c>
      <c r="N23" s="14">
        <v>0.88</v>
      </c>
      <c r="O23" s="14">
        <v>0.82000000000000006</v>
      </c>
      <c r="P23" s="14">
        <v>0.89</v>
      </c>
      <c r="Q23" s="14">
        <v>0.88</v>
      </c>
      <c r="R23" s="14">
        <v>0.91</v>
      </c>
      <c r="S23" s="14">
        <v>0.9</v>
      </c>
      <c r="T23" s="14">
        <v>0.88</v>
      </c>
      <c r="U23" s="14">
        <v>0.9</v>
      </c>
      <c r="V23" s="14">
        <v>0.86</v>
      </c>
      <c r="W23" s="14">
        <v>0.96</v>
      </c>
      <c r="X23" s="14">
        <v>0.89</v>
      </c>
      <c r="Y23" s="14">
        <v>0.87</v>
      </c>
      <c r="Z23" s="14">
        <v>0.84</v>
      </c>
      <c r="AA23" s="14">
        <v>0.88</v>
      </c>
      <c r="AB23" s="14">
        <v>0.73</v>
      </c>
      <c r="AC23" s="14">
        <v>0.9</v>
      </c>
      <c r="AD23" s="14">
        <v>0.93</v>
      </c>
      <c r="AE23" s="14">
        <v>0.83000000000000007</v>
      </c>
      <c r="AF23" s="14">
        <v>0.9</v>
      </c>
    </row>
    <row r="24" spans="1:32" x14ac:dyDescent="0.35">
      <c r="A24" s="31"/>
      <c r="B24" s="11" t="s">
        <v>512</v>
      </c>
      <c r="C24" s="12">
        <v>2785</v>
      </c>
      <c r="D24" s="12">
        <v>107</v>
      </c>
      <c r="E24" s="12">
        <v>130</v>
      </c>
      <c r="F24" s="12">
        <v>157</v>
      </c>
      <c r="G24" s="12">
        <v>47</v>
      </c>
      <c r="H24" s="12">
        <v>129</v>
      </c>
      <c r="I24" s="12">
        <v>175</v>
      </c>
      <c r="J24" s="12">
        <v>46</v>
      </c>
      <c r="K24" s="12">
        <v>97</v>
      </c>
      <c r="L24" s="12">
        <v>27</v>
      </c>
      <c r="M24" s="12">
        <v>46</v>
      </c>
      <c r="N24" s="12">
        <v>59</v>
      </c>
      <c r="O24" s="12">
        <v>118</v>
      </c>
      <c r="P24" s="12">
        <v>89</v>
      </c>
      <c r="Q24" s="12">
        <v>101</v>
      </c>
      <c r="R24" s="12">
        <v>36</v>
      </c>
      <c r="S24" s="12">
        <v>69</v>
      </c>
      <c r="T24" s="12">
        <v>42</v>
      </c>
      <c r="U24" s="12">
        <v>42</v>
      </c>
      <c r="V24" s="12">
        <v>131</v>
      </c>
      <c r="W24" s="12">
        <v>16</v>
      </c>
      <c r="X24" s="12">
        <v>108</v>
      </c>
      <c r="Y24" s="12">
        <v>90</v>
      </c>
      <c r="Z24" s="12">
        <v>119</v>
      </c>
      <c r="AA24" s="12">
        <v>76</v>
      </c>
      <c r="AB24" s="12">
        <v>253</v>
      </c>
      <c r="AC24" s="12">
        <v>85</v>
      </c>
      <c r="AD24" s="12">
        <v>60</v>
      </c>
      <c r="AE24" s="12">
        <v>134</v>
      </c>
      <c r="AF24" s="12">
        <v>79</v>
      </c>
    </row>
    <row r="25" spans="1:32" x14ac:dyDescent="0.35">
      <c r="A25" s="31"/>
      <c r="B25" s="13" t="s">
        <v>513</v>
      </c>
      <c r="C25" s="14">
        <v>0.1</v>
      </c>
      <c r="D25" s="14">
        <v>0.11</v>
      </c>
      <c r="E25" s="14">
        <v>0.12</v>
      </c>
      <c r="F25" s="14">
        <v>0.16</v>
      </c>
      <c r="G25" s="14">
        <v>0.05</v>
      </c>
      <c r="H25" s="14">
        <v>0.11</v>
      </c>
      <c r="I25" s="14">
        <v>0.12</v>
      </c>
      <c r="J25" s="14">
        <v>0.15</v>
      </c>
      <c r="K25" s="14">
        <v>0.09</v>
      </c>
      <c r="L25" s="14">
        <v>0.03</v>
      </c>
      <c r="M25" s="14">
        <v>0.05</v>
      </c>
      <c r="N25" s="14">
        <v>0.06</v>
      </c>
      <c r="O25" s="14">
        <v>0.12</v>
      </c>
      <c r="P25" s="14">
        <v>0.09</v>
      </c>
      <c r="Q25" s="14">
        <v>0.1</v>
      </c>
      <c r="R25" s="14">
        <v>7.0000000000000007E-2</v>
      </c>
      <c r="S25" s="14">
        <v>7.0000000000000007E-2</v>
      </c>
      <c r="T25" s="14">
        <v>0.04</v>
      </c>
      <c r="U25" s="14">
        <v>0.08</v>
      </c>
      <c r="V25" s="14">
        <v>0.13</v>
      </c>
      <c r="W25" s="14">
        <v>0.03</v>
      </c>
      <c r="X25" s="14">
        <v>0.1</v>
      </c>
      <c r="Y25" s="14">
        <v>0.09</v>
      </c>
      <c r="Z25" s="14">
        <v>0.12</v>
      </c>
      <c r="AA25" s="14">
        <v>7.0000000000000007E-2</v>
      </c>
      <c r="AB25" s="14">
        <v>0.24</v>
      </c>
      <c r="AC25" s="14">
        <v>0.09</v>
      </c>
      <c r="AD25" s="14">
        <v>0.06</v>
      </c>
      <c r="AE25" s="14">
        <v>0.14000000000000001</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809</v>
      </c>
      <c r="C3" s="30"/>
      <c r="D3" s="30"/>
      <c r="E3" s="30"/>
      <c r="F3" s="30"/>
      <c r="H3" s="30" t="s">
        <v>810</v>
      </c>
      <c r="I3" s="30"/>
      <c r="J3" s="30"/>
      <c r="K3" s="30"/>
      <c r="L3" s="30"/>
    </row>
    <row r="4" spans="1:32" ht="27" customHeight="1" x14ac:dyDescent="0.35">
      <c r="B4" s="30" t="s">
        <v>811</v>
      </c>
      <c r="C4" s="30"/>
      <c r="D4" s="30"/>
      <c r="E4" s="30"/>
      <c r="F4" s="30"/>
      <c r="H4" s="30" t="s">
        <v>812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8593</v>
      </c>
      <c r="D12" s="12">
        <v>330</v>
      </c>
      <c r="E12" s="12">
        <v>372</v>
      </c>
      <c r="F12" s="12">
        <v>204</v>
      </c>
      <c r="G12" s="12">
        <v>205</v>
      </c>
      <c r="H12" s="12">
        <v>429</v>
      </c>
      <c r="I12" s="12">
        <v>541</v>
      </c>
      <c r="J12" s="12">
        <v>113</v>
      </c>
      <c r="K12" s="12">
        <v>266</v>
      </c>
      <c r="L12" s="12">
        <v>528</v>
      </c>
      <c r="M12" s="12">
        <v>449</v>
      </c>
      <c r="N12" s="12">
        <v>411</v>
      </c>
      <c r="O12" s="12">
        <v>261</v>
      </c>
      <c r="P12" s="12">
        <v>392</v>
      </c>
      <c r="Q12" s="12">
        <v>382</v>
      </c>
      <c r="R12" s="12">
        <v>270</v>
      </c>
      <c r="S12" s="12">
        <v>412</v>
      </c>
      <c r="T12" s="12">
        <v>430</v>
      </c>
      <c r="U12" s="12">
        <v>145</v>
      </c>
      <c r="V12" s="12">
        <v>366</v>
      </c>
      <c r="W12" s="12">
        <v>243</v>
      </c>
      <c r="X12" s="12">
        <v>243</v>
      </c>
      <c r="Y12" s="12">
        <v>389</v>
      </c>
      <c r="Z12" s="12">
        <v>246</v>
      </c>
      <c r="AA12" s="12">
        <v>347</v>
      </c>
      <c r="AB12" s="12">
        <v>258</v>
      </c>
      <c r="AC12" s="12">
        <v>347</v>
      </c>
      <c r="AD12" s="12">
        <v>374</v>
      </c>
      <c r="AE12" s="12">
        <v>217</v>
      </c>
      <c r="AF12" s="12">
        <v>242</v>
      </c>
    </row>
    <row r="13" spans="1:32" x14ac:dyDescent="0.35">
      <c r="A13" s="31"/>
      <c r="B13" s="13" t="s">
        <v>503</v>
      </c>
      <c r="C13" s="14">
        <v>0.33</v>
      </c>
      <c r="D13" s="14">
        <v>0.32</v>
      </c>
      <c r="E13" s="14">
        <v>0.36</v>
      </c>
      <c r="F13" s="14">
        <v>0.2</v>
      </c>
      <c r="G13" s="14">
        <v>0.2</v>
      </c>
      <c r="H13" s="14">
        <v>0.35</v>
      </c>
      <c r="I13" s="14">
        <v>0.35</v>
      </c>
      <c r="J13" s="14">
        <v>0.38</v>
      </c>
      <c r="K13" s="14">
        <v>0.26</v>
      </c>
      <c r="L13" s="14">
        <v>0.53</v>
      </c>
      <c r="M13" s="14">
        <v>0.45</v>
      </c>
      <c r="N13" s="14">
        <v>0.41</v>
      </c>
      <c r="O13" s="14">
        <v>0.26</v>
      </c>
      <c r="P13" s="14">
        <v>0.39</v>
      </c>
      <c r="Q13" s="14">
        <v>0.37</v>
      </c>
      <c r="R13" s="14">
        <v>0.54</v>
      </c>
      <c r="S13" s="14">
        <v>0.4</v>
      </c>
      <c r="T13" s="14">
        <v>0.42</v>
      </c>
      <c r="U13" s="14">
        <v>0.28999999999999998</v>
      </c>
      <c r="V13" s="14">
        <v>0.36</v>
      </c>
      <c r="W13" s="14">
        <v>0.49</v>
      </c>
      <c r="X13" s="14">
        <v>0.24</v>
      </c>
      <c r="Y13" s="14">
        <v>0.39</v>
      </c>
      <c r="Z13" s="14">
        <v>0.24</v>
      </c>
      <c r="AA13" s="14">
        <v>0.34</v>
      </c>
      <c r="AB13" s="14">
        <v>0.24</v>
      </c>
      <c r="AC13" s="14">
        <v>0.34</v>
      </c>
      <c r="AD13" s="14">
        <v>0.37</v>
      </c>
      <c r="AE13" s="14">
        <v>0.22</v>
      </c>
      <c r="AF13" s="14">
        <v>0.24</v>
      </c>
    </row>
    <row r="14" spans="1:32" x14ac:dyDescent="0.35">
      <c r="A14" s="31"/>
      <c r="B14" s="11" t="s">
        <v>504</v>
      </c>
      <c r="C14" s="12">
        <v>12362</v>
      </c>
      <c r="D14" s="12">
        <v>502</v>
      </c>
      <c r="E14" s="12">
        <v>429</v>
      </c>
      <c r="F14" s="12">
        <v>533</v>
      </c>
      <c r="G14" s="12">
        <v>502</v>
      </c>
      <c r="H14" s="12">
        <v>586</v>
      </c>
      <c r="I14" s="12">
        <v>704</v>
      </c>
      <c r="J14" s="12">
        <v>119</v>
      </c>
      <c r="K14" s="12">
        <v>513</v>
      </c>
      <c r="L14" s="12">
        <v>375</v>
      </c>
      <c r="M14" s="12">
        <v>424</v>
      </c>
      <c r="N14" s="12">
        <v>368</v>
      </c>
      <c r="O14" s="12">
        <v>490</v>
      </c>
      <c r="P14" s="12">
        <v>470</v>
      </c>
      <c r="Q14" s="12">
        <v>494</v>
      </c>
      <c r="R14" s="12">
        <v>144</v>
      </c>
      <c r="S14" s="12">
        <v>445</v>
      </c>
      <c r="T14" s="12">
        <v>449</v>
      </c>
      <c r="U14" s="12">
        <v>243</v>
      </c>
      <c r="V14" s="12">
        <v>463</v>
      </c>
      <c r="W14" s="12">
        <v>182</v>
      </c>
      <c r="X14" s="12">
        <v>510</v>
      </c>
      <c r="Y14" s="12">
        <v>412</v>
      </c>
      <c r="Z14" s="12">
        <v>602</v>
      </c>
      <c r="AA14" s="12">
        <v>473</v>
      </c>
      <c r="AB14" s="12">
        <v>461</v>
      </c>
      <c r="AC14" s="12">
        <v>453</v>
      </c>
      <c r="AD14" s="12">
        <v>431</v>
      </c>
      <c r="AE14" s="12">
        <v>451</v>
      </c>
      <c r="AF14" s="12">
        <v>554</v>
      </c>
    </row>
    <row r="15" spans="1:32" x14ac:dyDescent="0.35">
      <c r="A15" s="31"/>
      <c r="B15" s="13" t="s">
        <v>505</v>
      </c>
      <c r="C15" s="14">
        <v>0.47</v>
      </c>
      <c r="D15" s="14">
        <v>0.49</v>
      </c>
      <c r="E15" s="14">
        <v>0.41</v>
      </c>
      <c r="F15" s="14">
        <v>0.52</v>
      </c>
      <c r="G15" s="14">
        <v>0.49</v>
      </c>
      <c r="H15" s="14">
        <v>0.48</v>
      </c>
      <c r="I15" s="14">
        <v>0.46</v>
      </c>
      <c r="J15" s="14">
        <v>0.4</v>
      </c>
      <c r="K15" s="14">
        <v>0.51</v>
      </c>
      <c r="L15" s="14">
        <v>0.37</v>
      </c>
      <c r="M15" s="14">
        <v>0.42</v>
      </c>
      <c r="N15" s="14">
        <v>0.37</v>
      </c>
      <c r="O15" s="14">
        <v>0.49</v>
      </c>
      <c r="P15" s="14">
        <v>0.47</v>
      </c>
      <c r="Q15" s="14">
        <v>0.48</v>
      </c>
      <c r="R15" s="14">
        <v>0.28999999999999998</v>
      </c>
      <c r="S15" s="14">
        <v>0.44</v>
      </c>
      <c r="T15" s="14">
        <v>0.44</v>
      </c>
      <c r="U15" s="14">
        <v>0.48</v>
      </c>
      <c r="V15" s="14">
        <v>0.45</v>
      </c>
      <c r="W15" s="14">
        <v>0.36</v>
      </c>
      <c r="X15" s="14">
        <v>0.51</v>
      </c>
      <c r="Y15" s="14">
        <v>0.41</v>
      </c>
      <c r="Z15" s="14">
        <v>0.59</v>
      </c>
      <c r="AA15" s="14">
        <v>0.46</v>
      </c>
      <c r="AB15" s="14">
        <v>0.44</v>
      </c>
      <c r="AC15" s="14">
        <v>0.45</v>
      </c>
      <c r="AD15" s="14">
        <v>0.43</v>
      </c>
      <c r="AE15" s="14">
        <v>0.45</v>
      </c>
      <c r="AF15" s="14">
        <v>0.54</v>
      </c>
    </row>
    <row r="16" spans="1:32" x14ac:dyDescent="0.35">
      <c r="A16" s="31"/>
      <c r="B16" s="11" t="s">
        <v>506</v>
      </c>
      <c r="C16" s="12">
        <v>3045</v>
      </c>
      <c r="D16" s="12">
        <v>144</v>
      </c>
      <c r="E16" s="12">
        <v>115</v>
      </c>
      <c r="F16" s="12">
        <v>175</v>
      </c>
      <c r="G16" s="12">
        <v>173</v>
      </c>
      <c r="H16" s="12">
        <v>129</v>
      </c>
      <c r="I16" s="12">
        <v>169</v>
      </c>
      <c r="J16" s="12">
        <v>40</v>
      </c>
      <c r="K16" s="12">
        <v>132</v>
      </c>
      <c r="L16" s="12">
        <v>49</v>
      </c>
      <c r="M16" s="12">
        <v>51</v>
      </c>
      <c r="N16" s="12">
        <v>91</v>
      </c>
      <c r="O16" s="12">
        <v>119</v>
      </c>
      <c r="P16" s="12">
        <v>103</v>
      </c>
      <c r="Q16" s="12">
        <v>94</v>
      </c>
      <c r="R16" s="12">
        <v>40</v>
      </c>
      <c r="S16" s="12">
        <v>84</v>
      </c>
      <c r="T16" s="12">
        <v>38</v>
      </c>
      <c r="U16" s="12">
        <v>69</v>
      </c>
      <c r="V16" s="12">
        <v>128</v>
      </c>
      <c r="W16" s="12">
        <v>67</v>
      </c>
      <c r="X16" s="12">
        <v>205</v>
      </c>
      <c r="Y16" s="12">
        <v>99</v>
      </c>
      <c r="Z16" s="12">
        <v>94</v>
      </c>
      <c r="AA16" s="12">
        <v>85</v>
      </c>
      <c r="AB16" s="12">
        <v>212</v>
      </c>
      <c r="AC16" s="12">
        <v>142</v>
      </c>
      <c r="AD16" s="12">
        <v>105</v>
      </c>
      <c r="AE16" s="12">
        <v>216</v>
      </c>
      <c r="AF16" s="12">
        <v>164</v>
      </c>
    </row>
    <row r="17" spans="1:32" x14ac:dyDescent="0.35">
      <c r="A17" s="31"/>
      <c r="B17" s="13" t="s">
        <v>507</v>
      </c>
      <c r="C17" s="14">
        <v>0.11</v>
      </c>
      <c r="D17" s="14">
        <v>0.14000000000000001</v>
      </c>
      <c r="E17" s="14">
        <v>0.11</v>
      </c>
      <c r="F17" s="14">
        <v>0.17</v>
      </c>
      <c r="G17" s="14">
        <v>0.17</v>
      </c>
      <c r="H17" s="14">
        <v>0.1</v>
      </c>
      <c r="I17" s="14">
        <v>0.11</v>
      </c>
      <c r="J17" s="14">
        <v>0.14000000000000001</v>
      </c>
      <c r="K17" s="14">
        <v>0.13</v>
      </c>
      <c r="L17" s="14">
        <v>0.05</v>
      </c>
      <c r="M17" s="14">
        <v>0.05</v>
      </c>
      <c r="N17" s="14">
        <v>0.09</v>
      </c>
      <c r="O17" s="14">
        <v>0.12</v>
      </c>
      <c r="P17" s="14">
        <v>0.1</v>
      </c>
      <c r="Q17" s="14">
        <v>0.09</v>
      </c>
      <c r="R17" s="14">
        <v>0.08</v>
      </c>
      <c r="S17" s="14">
        <v>0.08</v>
      </c>
      <c r="T17" s="14">
        <v>0.04</v>
      </c>
      <c r="U17" s="14">
        <v>0.13</v>
      </c>
      <c r="V17" s="14">
        <v>0.13</v>
      </c>
      <c r="W17" s="14">
        <v>0.13</v>
      </c>
      <c r="X17" s="14">
        <v>0.2</v>
      </c>
      <c r="Y17" s="14">
        <v>0.1</v>
      </c>
      <c r="Z17" s="14">
        <v>0.09</v>
      </c>
      <c r="AA17" s="14">
        <v>0.08</v>
      </c>
      <c r="AB17" s="14">
        <v>0.2</v>
      </c>
      <c r="AC17" s="14">
        <v>0.14000000000000001</v>
      </c>
      <c r="AD17" s="14">
        <v>0.11</v>
      </c>
      <c r="AE17" s="14">
        <v>0.21</v>
      </c>
      <c r="AF17" s="14">
        <v>0.16</v>
      </c>
    </row>
    <row r="18" spans="1:32" x14ac:dyDescent="0.35">
      <c r="A18" s="31"/>
      <c r="B18" s="11" t="s">
        <v>508</v>
      </c>
      <c r="C18" s="12">
        <v>1097</v>
      </c>
      <c r="D18" s="12">
        <v>36</v>
      </c>
      <c r="E18" s="12">
        <v>42</v>
      </c>
      <c r="F18" s="12">
        <v>39</v>
      </c>
      <c r="G18" s="12">
        <v>61</v>
      </c>
      <c r="H18" s="12">
        <v>52</v>
      </c>
      <c r="I18" s="12">
        <v>67</v>
      </c>
      <c r="J18" s="12">
        <v>16</v>
      </c>
      <c r="K18" s="12">
        <v>34</v>
      </c>
      <c r="L18" s="12">
        <v>8</v>
      </c>
      <c r="M18" s="12">
        <v>40</v>
      </c>
      <c r="N18" s="12">
        <v>50</v>
      </c>
      <c r="O18" s="12">
        <v>51</v>
      </c>
      <c r="P18" s="12">
        <v>21</v>
      </c>
      <c r="Q18" s="12">
        <v>30</v>
      </c>
      <c r="R18" s="12">
        <v>29</v>
      </c>
      <c r="S18" s="12">
        <v>18</v>
      </c>
      <c r="T18" s="12">
        <v>12</v>
      </c>
      <c r="U18" s="12">
        <v>25</v>
      </c>
      <c r="V18" s="12">
        <v>31</v>
      </c>
      <c r="W18" s="12">
        <v>4</v>
      </c>
      <c r="X18" s="12">
        <v>44</v>
      </c>
      <c r="Y18" s="12">
        <v>31</v>
      </c>
      <c r="Z18" s="12">
        <v>25</v>
      </c>
      <c r="AA18" s="12">
        <v>51</v>
      </c>
      <c r="AB18" s="12">
        <v>73</v>
      </c>
      <c r="AC18" s="12">
        <v>38</v>
      </c>
      <c r="AD18" s="12">
        <v>31</v>
      </c>
      <c r="AE18" s="12">
        <v>57</v>
      </c>
      <c r="AF18" s="12">
        <v>49</v>
      </c>
    </row>
    <row r="19" spans="1:32" x14ac:dyDescent="0.35">
      <c r="A19" s="31"/>
      <c r="B19" s="13" t="s">
        <v>509</v>
      </c>
      <c r="C19" s="14">
        <v>0.04</v>
      </c>
      <c r="D19" s="14">
        <v>0.04</v>
      </c>
      <c r="E19" s="14">
        <v>0.04</v>
      </c>
      <c r="F19" s="14">
        <v>0.04</v>
      </c>
      <c r="G19" s="14">
        <v>0.06</v>
      </c>
      <c r="H19" s="14">
        <v>0.04</v>
      </c>
      <c r="I19" s="14">
        <v>0.05</v>
      </c>
      <c r="J19" s="14">
        <v>0.05</v>
      </c>
      <c r="K19" s="14">
        <v>0.04</v>
      </c>
      <c r="L19" s="14">
        <v>0.01</v>
      </c>
      <c r="M19" s="14">
        <v>0.04</v>
      </c>
      <c r="N19" s="14">
        <v>0.05</v>
      </c>
      <c r="O19" s="14">
        <v>0.05</v>
      </c>
      <c r="P19" s="14">
        <v>0.02</v>
      </c>
      <c r="Q19" s="14">
        <v>0.03</v>
      </c>
      <c r="R19" s="14">
        <v>0.06</v>
      </c>
      <c r="S19" s="14">
        <v>0.02</v>
      </c>
      <c r="T19" s="14">
        <v>0.01</v>
      </c>
      <c r="U19" s="14">
        <v>0.05</v>
      </c>
      <c r="V19" s="14">
        <v>0.03</v>
      </c>
      <c r="W19" s="14">
        <v>0.01</v>
      </c>
      <c r="X19" s="14">
        <v>0.04</v>
      </c>
      <c r="Y19" s="14">
        <v>0.03</v>
      </c>
      <c r="Z19" s="14">
        <v>0.03</v>
      </c>
      <c r="AA19" s="14">
        <v>0.05</v>
      </c>
      <c r="AB19" s="14">
        <v>7.0000000000000007E-2</v>
      </c>
      <c r="AC19" s="14">
        <v>0.04</v>
      </c>
      <c r="AD19" s="14">
        <v>0.03</v>
      </c>
      <c r="AE19" s="14">
        <v>0.06</v>
      </c>
      <c r="AF19" s="14">
        <v>0.05</v>
      </c>
    </row>
    <row r="20" spans="1:32" x14ac:dyDescent="0.35">
      <c r="A20" s="31"/>
      <c r="B20" s="11" t="s">
        <v>344</v>
      </c>
      <c r="C20" s="12">
        <v>1314</v>
      </c>
      <c r="D20" s="12">
        <v>14</v>
      </c>
      <c r="E20" s="12">
        <v>81</v>
      </c>
      <c r="F20" s="12">
        <v>67</v>
      </c>
      <c r="G20" s="12">
        <v>77</v>
      </c>
      <c r="H20" s="12">
        <v>37</v>
      </c>
      <c r="I20" s="12">
        <v>47</v>
      </c>
      <c r="J20" s="12">
        <v>10</v>
      </c>
      <c r="K20" s="12">
        <v>64</v>
      </c>
      <c r="L20" s="12">
        <v>45</v>
      </c>
      <c r="M20" s="12">
        <v>40</v>
      </c>
      <c r="N20" s="12">
        <v>80</v>
      </c>
      <c r="O20" s="12">
        <v>79</v>
      </c>
      <c r="P20" s="12">
        <v>18</v>
      </c>
      <c r="Q20" s="12">
        <v>34</v>
      </c>
      <c r="R20" s="12">
        <v>18</v>
      </c>
      <c r="S20" s="12">
        <v>62</v>
      </c>
      <c r="T20" s="12">
        <v>88</v>
      </c>
      <c r="U20" s="12">
        <v>27</v>
      </c>
      <c r="V20" s="12">
        <v>27</v>
      </c>
      <c r="W20" s="12">
        <v>5</v>
      </c>
      <c r="X20" s="12">
        <v>8</v>
      </c>
      <c r="Y20" s="12">
        <v>72</v>
      </c>
      <c r="Z20" s="12">
        <v>51</v>
      </c>
      <c r="AA20" s="12">
        <v>74</v>
      </c>
      <c r="AB20" s="12">
        <v>52</v>
      </c>
      <c r="AC20" s="12">
        <v>33</v>
      </c>
      <c r="AD20" s="12">
        <v>63</v>
      </c>
      <c r="AE20" s="12">
        <v>65</v>
      </c>
      <c r="AF20" s="12">
        <v>11</v>
      </c>
    </row>
    <row r="21" spans="1:32" x14ac:dyDescent="0.35">
      <c r="A21" s="31"/>
      <c r="B21" s="13" t="s">
        <v>357</v>
      </c>
      <c r="C21" s="14">
        <v>0.05</v>
      </c>
      <c r="D21" s="14">
        <v>0.01</v>
      </c>
      <c r="E21" s="14">
        <v>0.08</v>
      </c>
      <c r="F21" s="14">
        <v>7.0000000000000007E-2</v>
      </c>
      <c r="G21" s="14">
        <v>0.08</v>
      </c>
      <c r="H21" s="14">
        <v>0.03</v>
      </c>
      <c r="I21" s="14">
        <v>0.03</v>
      </c>
      <c r="J21" s="14">
        <v>0.03</v>
      </c>
      <c r="K21" s="14">
        <v>0.06</v>
      </c>
      <c r="L21" s="14">
        <v>0.04</v>
      </c>
      <c r="M21" s="14">
        <v>0.04</v>
      </c>
      <c r="N21" s="14">
        <v>0.08</v>
      </c>
      <c r="O21" s="14">
        <v>0.08</v>
      </c>
      <c r="P21" s="14">
        <v>0.02</v>
      </c>
      <c r="Q21" s="14">
        <v>0.03</v>
      </c>
      <c r="R21" s="14">
        <v>0.03</v>
      </c>
      <c r="S21" s="14">
        <v>0.06</v>
      </c>
      <c r="T21" s="14">
        <v>0.09</v>
      </c>
      <c r="U21" s="14">
        <v>0.05</v>
      </c>
      <c r="V21" s="14">
        <v>0.03</v>
      </c>
      <c r="W21" s="14">
        <v>0.01</v>
      </c>
      <c r="X21" s="14">
        <v>0.01</v>
      </c>
      <c r="Y21" s="14">
        <v>7.0000000000000007E-2</v>
      </c>
      <c r="Z21" s="14">
        <v>0.05</v>
      </c>
      <c r="AA21" s="14">
        <v>7.0000000000000007E-2</v>
      </c>
      <c r="AB21" s="14">
        <v>0.05</v>
      </c>
      <c r="AC21" s="14">
        <v>0.03</v>
      </c>
      <c r="AD21" s="14">
        <v>0.06</v>
      </c>
      <c r="AE21" s="14">
        <v>0.06</v>
      </c>
      <c r="AF21" s="14">
        <v>0.01</v>
      </c>
    </row>
    <row r="22" spans="1:32" x14ac:dyDescent="0.35">
      <c r="A22" s="31"/>
      <c r="B22" s="11" t="s">
        <v>510</v>
      </c>
      <c r="C22" s="12">
        <v>20955</v>
      </c>
      <c r="D22" s="12">
        <v>832</v>
      </c>
      <c r="E22" s="12">
        <v>801</v>
      </c>
      <c r="F22" s="12">
        <v>737</v>
      </c>
      <c r="G22" s="12">
        <v>707</v>
      </c>
      <c r="H22" s="12">
        <v>1015</v>
      </c>
      <c r="I22" s="12">
        <v>1245</v>
      </c>
      <c r="J22" s="12">
        <v>232</v>
      </c>
      <c r="K22" s="12">
        <v>779</v>
      </c>
      <c r="L22" s="12">
        <v>903</v>
      </c>
      <c r="M22" s="12">
        <v>873</v>
      </c>
      <c r="N22" s="12">
        <v>779</v>
      </c>
      <c r="O22" s="12">
        <v>751</v>
      </c>
      <c r="P22" s="12">
        <v>862</v>
      </c>
      <c r="Q22" s="12">
        <v>876</v>
      </c>
      <c r="R22" s="12">
        <v>414</v>
      </c>
      <c r="S22" s="12">
        <v>857</v>
      </c>
      <c r="T22" s="12">
        <v>879</v>
      </c>
      <c r="U22" s="12">
        <v>388</v>
      </c>
      <c r="V22" s="12">
        <v>829</v>
      </c>
      <c r="W22" s="12">
        <v>425</v>
      </c>
      <c r="X22" s="12">
        <v>753</v>
      </c>
      <c r="Y22" s="12">
        <v>801</v>
      </c>
      <c r="Z22" s="12">
        <v>848</v>
      </c>
      <c r="AA22" s="12">
        <v>820</v>
      </c>
      <c r="AB22" s="12">
        <v>719</v>
      </c>
      <c r="AC22" s="12">
        <v>800</v>
      </c>
      <c r="AD22" s="12">
        <v>805</v>
      </c>
      <c r="AE22" s="12">
        <v>668</v>
      </c>
      <c r="AF22" s="12">
        <v>796</v>
      </c>
    </row>
    <row r="23" spans="1:32" x14ac:dyDescent="0.35">
      <c r="A23" s="31"/>
      <c r="B23" s="13" t="s">
        <v>511</v>
      </c>
      <c r="C23" s="14">
        <v>0.8</v>
      </c>
      <c r="D23" s="14">
        <v>0.81</v>
      </c>
      <c r="E23" s="14">
        <v>0.77</v>
      </c>
      <c r="F23" s="14">
        <v>0.72</v>
      </c>
      <c r="G23" s="14">
        <v>0.69000000000000006</v>
      </c>
      <c r="H23" s="14">
        <v>0.83000000000000007</v>
      </c>
      <c r="I23" s="14">
        <v>0.81</v>
      </c>
      <c r="J23" s="14">
        <v>0.78</v>
      </c>
      <c r="K23" s="14">
        <v>0.77</v>
      </c>
      <c r="L23" s="14">
        <v>0.9</v>
      </c>
      <c r="M23" s="14">
        <v>0.87</v>
      </c>
      <c r="N23" s="14">
        <v>0.78</v>
      </c>
      <c r="O23" s="14">
        <v>0.75</v>
      </c>
      <c r="P23" s="14">
        <v>0.86</v>
      </c>
      <c r="Q23" s="14">
        <v>0.85</v>
      </c>
      <c r="R23" s="14">
        <v>0.83000000000000007</v>
      </c>
      <c r="S23" s="14">
        <v>0.84</v>
      </c>
      <c r="T23" s="14">
        <v>0.86</v>
      </c>
      <c r="U23" s="14">
        <v>0.77</v>
      </c>
      <c r="V23" s="14">
        <v>0.81</v>
      </c>
      <c r="W23" s="14">
        <v>0.85</v>
      </c>
      <c r="X23" s="14">
        <v>0.75</v>
      </c>
      <c r="Y23" s="14">
        <v>0.8</v>
      </c>
      <c r="Z23" s="14">
        <v>0.83000000000000007</v>
      </c>
      <c r="AA23" s="14">
        <v>0.8</v>
      </c>
      <c r="AB23" s="14">
        <v>0.68</v>
      </c>
      <c r="AC23" s="14">
        <v>0.79</v>
      </c>
      <c r="AD23" s="14">
        <v>0.8</v>
      </c>
      <c r="AE23" s="14">
        <v>0.67</v>
      </c>
      <c r="AF23" s="14">
        <v>0.78</v>
      </c>
    </row>
    <row r="24" spans="1:32" x14ac:dyDescent="0.35">
      <c r="A24" s="31"/>
      <c r="B24" s="11" t="s">
        <v>512</v>
      </c>
      <c r="C24" s="12">
        <v>4142</v>
      </c>
      <c r="D24" s="12">
        <v>180</v>
      </c>
      <c r="E24" s="12">
        <v>157</v>
      </c>
      <c r="F24" s="12">
        <v>214</v>
      </c>
      <c r="G24" s="12">
        <v>234</v>
      </c>
      <c r="H24" s="12">
        <v>181</v>
      </c>
      <c r="I24" s="12">
        <v>236</v>
      </c>
      <c r="J24" s="12">
        <v>56</v>
      </c>
      <c r="K24" s="12">
        <v>166</v>
      </c>
      <c r="L24" s="12">
        <v>57</v>
      </c>
      <c r="M24" s="12">
        <v>91</v>
      </c>
      <c r="N24" s="12">
        <v>141</v>
      </c>
      <c r="O24" s="12">
        <v>170</v>
      </c>
      <c r="P24" s="12">
        <v>124</v>
      </c>
      <c r="Q24" s="12">
        <v>124</v>
      </c>
      <c r="R24" s="12">
        <v>69</v>
      </c>
      <c r="S24" s="12">
        <v>102</v>
      </c>
      <c r="T24" s="12">
        <v>50</v>
      </c>
      <c r="U24" s="12">
        <v>94</v>
      </c>
      <c r="V24" s="12">
        <v>159</v>
      </c>
      <c r="W24" s="12">
        <v>71</v>
      </c>
      <c r="X24" s="12">
        <v>249</v>
      </c>
      <c r="Y24" s="12">
        <v>130</v>
      </c>
      <c r="Z24" s="12">
        <v>119</v>
      </c>
      <c r="AA24" s="12">
        <v>136</v>
      </c>
      <c r="AB24" s="12">
        <v>285</v>
      </c>
      <c r="AC24" s="12">
        <v>180</v>
      </c>
      <c r="AD24" s="12">
        <v>136</v>
      </c>
      <c r="AE24" s="12">
        <v>273</v>
      </c>
      <c r="AF24" s="12">
        <v>213</v>
      </c>
    </row>
    <row r="25" spans="1:32" x14ac:dyDescent="0.35">
      <c r="A25" s="31"/>
      <c r="B25" s="13" t="s">
        <v>513</v>
      </c>
      <c r="C25" s="14">
        <v>0.15</v>
      </c>
      <c r="D25" s="14">
        <v>0.18</v>
      </c>
      <c r="E25" s="14">
        <v>0.15</v>
      </c>
      <c r="F25" s="14">
        <v>0.21</v>
      </c>
      <c r="G25" s="14">
        <v>0.23</v>
      </c>
      <c r="H25" s="14">
        <v>0.14000000000000001</v>
      </c>
      <c r="I25" s="14">
        <v>0.16</v>
      </c>
      <c r="J25" s="14">
        <v>0.19</v>
      </c>
      <c r="K25" s="14">
        <v>0.17</v>
      </c>
      <c r="L25" s="14">
        <v>0.06</v>
      </c>
      <c r="M25" s="14">
        <v>0.09</v>
      </c>
      <c r="N25" s="14">
        <v>0.14000000000000001</v>
      </c>
      <c r="O25" s="14">
        <v>0.17</v>
      </c>
      <c r="P25" s="14">
        <v>0.12</v>
      </c>
      <c r="Q25" s="14">
        <v>0.12</v>
      </c>
      <c r="R25" s="14">
        <v>0.14000000000000001</v>
      </c>
      <c r="S25" s="14">
        <v>0.1</v>
      </c>
      <c r="T25" s="14">
        <v>0.05</v>
      </c>
      <c r="U25" s="14">
        <v>0.18</v>
      </c>
      <c r="V25" s="14">
        <v>0.16</v>
      </c>
      <c r="W25" s="14">
        <v>0.14000000000000001</v>
      </c>
      <c r="X25" s="14">
        <v>0.24</v>
      </c>
      <c r="Y25" s="14">
        <v>0.13</v>
      </c>
      <c r="Z25" s="14">
        <v>0.12</v>
      </c>
      <c r="AA25" s="14">
        <v>0.13</v>
      </c>
      <c r="AB25" s="14">
        <v>0.27</v>
      </c>
      <c r="AC25" s="14">
        <v>0.18</v>
      </c>
      <c r="AD25" s="14">
        <v>0.14000000000000001</v>
      </c>
      <c r="AE25" s="14">
        <v>0.27</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813</v>
      </c>
      <c r="C3" s="30"/>
      <c r="D3" s="30"/>
      <c r="E3" s="30"/>
      <c r="F3" s="30"/>
      <c r="H3" s="30" t="s">
        <v>814</v>
      </c>
      <c r="I3" s="30"/>
      <c r="J3" s="30"/>
      <c r="K3" s="30"/>
      <c r="L3" s="30"/>
    </row>
    <row r="4" spans="1:32" ht="27" customHeight="1" x14ac:dyDescent="0.35">
      <c r="B4" s="30" t="s">
        <v>815</v>
      </c>
      <c r="C4" s="30"/>
      <c r="D4" s="30"/>
      <c r="E4" s="30"/>
      <c r="F4" s="30"/>
      <c r="H4" s="30" t="s">
        <v>816</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10073</v>
      </c>
      <c r="D12" s="12">
        <v>359</v>
      </c>
      <c r="E12" s="12">
        <v>404</v>
      </c>
      <c r="F12" s="12">
        <v>252</v>
      </c>
      <c r="G12" s="12">
        <v>382</v>
      </c>
      <c r="H12" s="12">
        <v>458</v>
      </c>
      <c r="I12" s="12">
        <v>571</v>
      </c>
      <c r="J12" s="12">
        <v>112</v>
      </c>
      <c r="K12" s="12">
        <v>300</v>
      </c>
      <c r="L12" s="12">
        <v>577</v>
      </c>
      <c r="M12" s="12">
        <v>556</v>
      </c>
      <c r="N12" s="12">
        <v>518</v>
      </c>
      <c r="O12" s="12">
        <v>317</v>
      </c>
      <c r="P12" s="12">
        <v>466</v>
      </c>
      <c r="Q12" s="12">
        <v>441</v>
      </c>
      <c r="R12" s="12">
        <v>297</v>
      </c>
      <c r="S12" s="12">
        <v>446</v>
      </c>
      <c r="T12" s="12">
        <v>501</v>
      </c>
      <c r="U12" s="12">
        <v>199</v>
      </c>
      <c r="V12" s="12">
        <v>424</v>
      </c>
      <c r="W12" s="12">
        <v>276</v>
      </c>
      <c r="X12" s="12">
        <v>337</v>
      </c>
      <c r="Y12" s="12">
        <v>441</v>
      </c>
      <c r="Z12" s="12">
        <v>273</v>
      </c>
      <c r="AA12" s="12">
        <v>394</v>
      </c>
      <c r="AB12" s="12">
        <v>287</v>
      </c>
      <c r="AC12" s="12">
        <v>409</v>
      </c>
      <c r="AD12" s="12">
        <v>411</v>
      </c>
      <c r="AE12" s="12">
        <v>247</v>
      </c>
      <c r="AF12" s="12">
        <v>421</v>
      </c>
    </row>
    <row r="13" spans="1:32" x14ac:dyDescent="0.35">
      <c r="A13" s="31"/>
      <c r="B13" s="13" t="s">
        <v>503</v>
      </c>
      <c r="C13" s="14">
        <v>0.38</v>
      </c>
      <c r="D13" s="14">
        <v>0.35</v>
      </c>
      <c r="E13" s="14">
        <v>0.39</v>
      </c>
      <c r="F13" s="14">
        <v>0.25</v>
      </c>
      <c r="G13" s="14">
        <v>0.38</v>
      </c>
      <c r="H13" s="14">
        <v>0.37</v>
      </c>
      <c r="I13" s="14">
        <v>0.37</v>
      </c>
      <c r="J13" s="14">
        <v>0.38</v>
      </c>
      <c r="K13" s="14">
        <v>0.3</v>
      </c>
      <c r="L13" s="14">
        <v>0.57000000000000006</v>
      </c>
      <c r="M13" s="14">
        <v>0.56000000000000005</v>
      </c>
      <c r="N13" s="14">
        <v>0.52</v>
      </c>
      <c r="O13" s="14">
        <v>0.32</v>
      </c>
      <c r="P13" s="14">
        <v>0.47</v>
      </c>
      <c r="Q13" s="14">
        <v>0.43</v>
      </c>
      <c r="R13" s="14">
        <v>0.59</v>
      </c>
      <c r="S13" s="14">
        <v>0.44</v>
      </c>
      <c r="T13" s="14">
        <v>0.49</v>
      </c>
      <c r="U13" s="14">
        <v>0.39</v>
      </c>
      <c r="V13" s="14">
        <v>0.42</v>
      </c>
      <c r="W13" s="14">
        <v>0.55000000000000004</v>
      </c>
      <c r="X13" s="14">
        <v>0.33</v>
      </c>
      <c r="Y13" s="14">
        <v>0.44</v>
      </c>
      <c r="Z13" s="14">
        <v>0.27</v>
      </c>
      <c r="AA13" s="14">
        <v>0.38</v>
      </c>
      <c r="AB13" s="14">
        <v>0.27</v>
      </c>
      <c r="AC13" s="14">
        <v>0.4</v>
      </c>
      <c r="AD13" s="14">
        <v>0.41</v>
      </c>
      <c r="AE13" s="14">
        <v>0.24</v>
      </c>
      <c r="AF13" s="14">
        <v>0.41</v>
      </c>
    </row>
    <row r="14" spans="1:32" x14ac:dyDescent="0.35">
      <c r="A14" s="31"/>
      <c r="B14" s="11" t="s">
        <v>504</v>
      </c>
      <c r="C14" s="12">
        <v>12547</v>
      </c>
      <c r="D14" s="12">
        <v>543</v>
      </c>
      <c r="E14" s="12">
        <v>466</v>
      </c>
      <c r="F14" s="12">
        <v>571</v>
      </c>
      <c r="G14" s="12">
        <v>463</v>
      </c>
      <c r="H14" s="12">
        <v>599</v>
      </c>
      <c r="I14" s="12">
        <v>729</v>
      </c>
      <c r="J14" s="12">
        <v>131</v>
      </c>
      <c r="K14" s="12">
        <v>537</v>
      </c>
      <c r="L14" s="12">
        <v>357</v>
      </c>
      <c r="M14" s="12">
        <v>374</v>
      </c>
      <c r="N14" s="12">
        <v>353</v>
      </c>
      <c r="O14" s="12">
        <v>516</v>
      </c>
      <c r="P14" s="12">
        <v>444</v>
      </c>
      <c r="Q14" s="12">
        <v>482</v>
      </c>
      <c r="R14" s="12">
        <v>145</v>
      </c>
      <c r="S14" s="12">
        <v>462</v>
      </c>
      <c r="T14" s="12">
        <v>402</v>
      </c>
      <c r="U14" s="12">
        <v>268</v>
      </c>
      <c r="V14" s="12">
        <v>470</v>
      </c>
      <c r="W14" s="12">
        <v>188</v>
      </c>
      <c r="X14" s="12">
        <v>525</v>
      </c>
      <c r="Y14" s="12">
        <v>412</v>
      </c>
      <c r="Z14" s="12">
        <v>612</v>
      </c>
      <c r="AA14" s="12">
        <v>510</v>
      </c>
      <c r="AB14" s="12">
        <v>489</v>
      </c>
      <c r="AC14" s="12">
        <v>482</v>
      </c>
      <c r="AD14" s="12">
        <v>482</v>
      </c>
      <c r="AE14" s="12">
        <v>523</v>
      </c>
      <c r="AF14" s="12">
        <v>461</v>
      </c>
    </row>
    <row r="15" spans="1:32" x14ac:dyDescent="0.35">
      <c r="A15" s="31"/>
      <c r="B15" s="13" t="s">
        <v>505</v>
      </c>
      <c r="C15" s="14">
        <v>0.48</v>
      </c>
      <c r="D15" s="14">
        <v>0.53</v>
      </c>
      <c r="E15" s="14">
        <v>0.45</v>
      </c>
      <c r="F15" s="14">
        <v>0.56000000000000005</v>
      </c>
      <c r="G15" s="14">
        <v>0.45</v>
      </c>
      <c r="H15" s="14">
        <v>0.49</v>
      </c>
      <c r="I15" s="14">
        <v>0.48</v>
      </c>
      <c r="J15" s="14">
        <v>0.44</v>
      </c>
      <c r="K15" s="14">
        <v>0.53</v>
      </c>
      <c r="L15" s="14">
        <v>0.36</v>
      </c>
      <c r="M15" s="14">
        <v>0.37</v>
      </c>
      <c r="N15" s="14">
        <v>0.35</v>
      </c>
      <c r="O15" s="14">
        <v>0.51</v>
      </c>
      <c r="P15" s="14">
        <v>0.44</v>
      </c>
      <c r="Q15" s="14">
        <v>0.46</v>
      </c>
      <c r="R15" s="14">
        <v>0.28999999999999998</v>
      </c>
      <c r="S15" s="14">
        <v>0.45</v>
      </c>
      <c r="T15" s="14">
        <v>0.4</v>
      </c>
      <c r="U15" s="14">
        <v>0.52</v>
      </c>
      <c r="V15" s="14">
        <v>0.46</v>
      </c>
      <c r="W15" s="14">
        <v>0.38</v>
      </c>
      <c r="X15" s="14">
        <v>0.52</v>
      </c>
      <c r="Y15" s="14">
        <v>0.41</v>
      </c>
      <c r="Z15" s="14">
        <v>0.6</v>
      </c>
      <c r="AA15" s="14">
        <v>0.5</v>
      </c>
      <c r="AB15" s="14">
        <v>0.46</v>
      </c>
      <c r="AC15" s="14">
        <v>0.48</v>
      </c>
      <c r="AD15" s="14">
        <v>0.48</v>
      </c>
      <c r="AE15" s="14">
        <v>0.52</v>
      </c>
      <c r="AF15" s="14">
        <v>0.45</v>
      </c>
    </row>
    <row r="16" spans="1:32" x14ac:dyDescent="0.35">
      <c r="A16" s="31"/>
      <c r="B16" s="11" t="s">
        <v>506</v>
      </c>
      <c r="C16" s="12">
        <v>2037</v>
      </c>
      <c r="D16" s="12">
        <v>81</v>
      </c>
      <c r="E16" s="12">
        <v>90</v>
      </c>
      <c r="F16" s="12">
        <v>124</v>
      </c>
      <c r="G16" s="12">
        <v>90</v>
      </c>
      <c r="H16" s="12">
        <v>86</v>
      </c>
      <c r="I16" s="12">
        <v>119</v>
      </c>
      <c r="J16" s="12">
        <v>33</v>
      </c>
      <c r="K16" s="12">
        <v>74</v>
      </c>
      <c r="L16" s="12">
        <v>23</v>
      </c>
      <c r="M16" s="12">
        <v>30</v>
      </c>
      <c r="N16" s="12">
        <v>45</v>
      </c>
      <c r="O16" s="12">
        <v>77</v>
      </c>
      <c r="P16" s="12">
        <v>63</v>
      </c>
      <c r="Q16" s="12">
        <v>71</v>
      </c>
      <c r="R16" s="12">
        <v>26</v>
      </c>
      <c r="S16" s="12">
        <v>49</v>
      </c>
      <c r="T16" s="12">
        <v>31</v>
      </c>
      <c r="U16" s="12">
        <v>29</v>
      </c>
      <c r="V16" s="12">
        <v>81</v>
      </c>
      <c r="W16" s="12">
        <v>27</v>
      </c>
      <c r="X16" s="12">
        <v>124</v>
      </c>
      <c r="Y16" s="12">
        <v>76</v>
      </c>
      <c r="Z16" s="12">
        <v>67</v>
      </c>
      <c r="AA16" s="12">
        <v>55</v>
      </c>
      <c r="AB16" s="12">
        <v>180</v>
      </c>
      <c r="AC16" s="12">
        <v>73</v>
      </c>
      <c r="AD16" s="12">
        <v>71</v>
      </c>
      <c r="AE16" s="12">
        <v>158</v>
      </c>
      <c r="AF16" s="12">
        <v>93</v>
      </c>
    </row>
    <row r="17" spans="1:32" x14ac:dyDescent="0.35">
      <c r="A17" s="31"/>
      <c r="B17" s="13" t="s">
        <v>507</v>
      </c>
      <c r="C17" s="14">
        <v>0.08</v>
      </c>
      <c r="D17" s="14">
        <v>0.08</v>
      </c>
      <c r="E17" s="14">
        <v>0.09</v>
      </c>
      <c r="F17" s="14">
        <v>0.12</v>
      </c>
      <c r="G17" s="14">
        <v>0.09</v>
      </c>
      <c r="H17" s="14">
        <v>7.0000000000000007E-2</v>
      </c>
      <c r="I17" s="14">
        <v>0.08</v>
      </c>
      <c r="J17" s="14">
        <v>0.11</v>
      </c>
      <c r="K17" s="14">
        <v>7.0000000000000007E-2</v>
      </c>
      <c r="L17" s="14">
        <v>0.02</v>
      </c>
      <c r="M17" s="14">
        <v>0.03</v>
      </c>
      <c r="N17" s="14">
        <v>0.05</v>
      </c>
      <c r="O17" s="14">
        <v>0.08</v>
      </c>
      <c r="P17" s="14">
        <v>0.06</v>
      </c>
      <c r="Q17" s="14">
        <v>7.0000000000000007E-2</v>
      </c>
      <c r="R17" s="14">
        <v>0.05</v>
      </c>
      <c r="S17" s="14">
        <v>0.05</v>
      </c>
      <c r="T17" s="14">
        <v>0.03</v>
      </c>
      <c r="U17" s="14">
        <v>0.06</v>
      </c>
      <c r="V17" s="14">
        <v>0.08</v>
      </c>
      <c r="W17" s="14">
        <v>0.05</v>
      </c>
      <c r="X17" s="14">
        <v>0.12</v>
      </c>
      <c r="Y17" s="14">
        <v>0.08</v>
      </c>
      <c r="Z17" s="14">
        <v>7.0000000000000007E-2</v>
      </c>
      <c r="AA17" s="14">
        <v>0.05</v>
      </c>
      <c r="AB17" s="14">
        <v>0.17</v>
      </c>
      <c r="AC17" s="14">
        <v>7.0000000000000007E-2</v>
      </c>
      <c r="AD17" s="14">
        <v>7.0000000000000007E-2</v>
      </c>
      <c r="AE17" s="14">
        <v>0.16</v>
      </c>
      <c r="AF17" s="14">
        <v>0.09</v>
      </c>
    </row>
    <row r="18" spans="1:32" x14ac:dyDescent="0.35">
      <c r="A18" s="31"/>
      <c r="B18" s="11" t="s">
        <v>508</v>
      </c>
      <c r="C18" s="12">
        <v>654</v>
      </c>
      <c r="D18" s="12">
        <v>29</v>
      </c>
      <c r="E18" s="12">
        <v>25</v>
      </c>
      <c r="F18" s="12">
        <v>23</v>
      </c>
      <c r="G18" s="12">
        <v>22</v>
      </c>
      <c r="H18" s="12">
        <v>40</v>
      </c>
      <c r="I18" s="12">
        <v>53</v>
      </c>
      <c r="J18" s="12">
        <v>13</v>
      </c>
      <c r="K18" s="12">
        <v>25</v>
      </c>
      <c r="L18" s="12">
        <v>8</v>
      </c>
      <c r="M18" s="12">
        <v>21</v>
      </c>
      <c r="N18" s="12">
        <v>23</v>
      </c>
      <c r="O18" s="12">
        <v>33</v>
      </c>
      <c r="P18" s="12">
        <v>13</v>
      </c>
      <c r="Q18" s="12">
        <v>14</v>
      </c>
      <c r="R18" s="12">
        <v>19</v>
      </c>
      <c r="S18" s="12">
        <v>18</v>
      </c>
      <c r="T18" s="12">
        <v>4</v>
      </c>
      <c r="U18" s="12">
        <v>8</v>
      </c>
      <c r="V18" s="12">
        <v>22</v>
      </c>
      <c r="W18" s="12">
        <v>5</v>
      </c>
      <c r="X18" s="12">
        <v>18</v>
      </c>
      <c r="Y18" s="12">
        <v>14</v>
      </c>
      <c r="Z18" s="12">
        <v>14</v>
      </c>
      <c r="AA18" s="12">
        <v>8</v>
      </c>
      <c r="AB18" s="12">
        <v>52</v>
      </c>
      <c r="AC18" s="12">
        <v>28</v>
      </c>
      <c r="AD18" s="12">
        <v>10</v>
      </c>
      <c r="AE18" s="12">
        <v>29</v>
      </c>
      <c r="AF18" s="12">
        <v>35</v>
      </c>
    </row>
    <row r="19" spans="1:32" x14ac:dyDescent="0.35">
      <c r="A19" s="31"/>
      <c r="B19" s="13" t="s">
        <v>509</v>
      </c>
      <c r="C19" s="14">
        <v>0.02</v>
      </c>
      <c r="D19" s="14">
        <v>0.03</v>
      </c>
      <c r="E19" s="14">
        <v>0.02</v>
      </c>
      <c r="F19" s="14">
        <v>0.02</v>
      </c>
      <c r="G19" s="14">
        <v>0.02</v>
      </c>
      <c r="H19" s="14">
        <v>0.03</v>
      </c>
      <c r="I19" s="14">
        <v>0.03</v>
      </c>
      <c r="J19" s="14">
        <v>0.04</v>
      </c>
      <c r="K19" s="14">
        <v>0.03</v>
      </c>
      <c r="L19" s="14">
        <v>0.01</v>
      </c>
      <c r="M19" s="14">
        <v>0.02</v>
      </c>
      <c r="N19" s="14">
        <v>0.02</v>
      </c>
      <c r="O19" s="14">
        <v>0.03</v>
      </c>
      <c r="P19" s="14">
        <v>0.01</v>
      </c>
      <c r="Q19" s="14">
        <v>0.01</v>
      </c>
      <c r="R19" s="14">
        <v>0.04</v>
      </c>
      <c r="S19" s="14">
        <v>0.02</v>
      </c>
      <c r="T19" s="15" t="s">
        <v>333</v>
      </c>
      <c r="U19" s="14">
        <v>0.02</v>
      </c>
      <c r="V19" s="14">
        <v>0.02</v>
      </c>
      <c r="W19" s="14">
        <v>0.01</v>
      </c>
      <c r="X19" s="14">
        <v>0.02</v>
      </c>
      <c r="Y19" s="14">
        <v>0.01</v>
      </c>
      <c r="Z19" s="14">
        <v>0.01</v>
      </c>
      <c r="AA19" s="14">
        <v>0.01</v>
      </c>
      <c r="AB19" s="14">
        <v>0.05</v>
      </c>
      <c r="AC19" s="14">
        <v>0.03</v>
      </c>
      <c r="AD19" s="14">
        <v>0.01</v>
      </c>
      <c r="AE19" s="14">
        <v>0.03</v>
      </c>
      <c r="AF19" s="14">
        <v>0.04</v>
      </c>
    </row>
    <row r="20" spans="1:32" x14ac:dyDescent="0.35">
      <c r="A20" s="31"/>
      <c r="B20" s="11" t="s">
        <v>344</v>
      </c>
      <c r="C20" s="12">
        <v>1099</v>
      </c>
      <c r="D20" s="12">
        <v>13</v>
      </c>
      <c r="E20" s="12">
        <v>55</v>
      </c>
      <c r="F20" s="12">
        <v>48</v>
      </c>
      <c r="G20" s="12">
        <v>60</v>
      </c>
      <c r="H20" s="12">
        <v>48</v>
      </c>
      <c r="I20" s="12">
        <v>58</v>
      </c>
      <c r="J20" s="12">
        <v>9</v>
      </c>
      <c r="K20" s="12">
        <v>74</v>
      </c>
      <c r="L20" s="12">
        <v>38</v>
      </c>
      <c r="M20" s="12">
        <v>23</v>
      </c>
      <c r="N20" s="12">
        <v>61</v>
      </c>
      <c r="O20" s="12">
        <v>57</v>
      </c>
      <c r="P20" s="12">
        <v>19</v>
      </c>
      <c r="Q20" s="12">
        <v>28</v>
      </c>
      <c r="R20" s="12">
        <v>16</v>
      </c>
      <c r="S20" s="12">
        <v>47</v>
      </c>
      <c r="T20" s="12">
        <v>79</v>
      </c>
      <c r="U20" s="12">
        <v>5</v>
      </c>
      <c r="V20" s="12">
        <v>17</v>
      </c>
      <c r="W20" s="12">
        <v>5</v>
      </c>
      <c r="X20" s="12">
        <v>7</v>
      </c>
      <c r="Y20" s="12">
        <v>61</v>
      </c>
      <c r="Z20" s="12">
        <v>53</v>
      </c>
      <c r="AA20" s="12">
        <v>64</v>
      </c>
      <c r="AB20" s="12">
        <v>49</v>
      </c>
      <c r="AC20" s="12">
        <v>21</v>
      </c>
      <c r="AD20" s="12">
        <v>30</v>
      </c>
      <c r="AE20" s="12">
        <v>50</v>
      </c>
      <c r="AF20" s="12">
        <v>9</v>
      </c>
    </row>
    <row r="21" spans="1:32" x14ac:dyDescent="0.35">
      <c r="A21" s="31"/>
      <c r="B21" s="13" t="s">
        <v>357</v>
      </c>
      <c r="C21" s="14">
        <v>0.04</v>
      </c>
      <c r="D21" s="14">
        <v>0.01</v>
      </c>
      <c r="E21" s="14">
        <v>0.05</v>
      </c>
      <c r="F21" s="14">
        <v>0.05</v>
      </c>
      <c r="G21" s="14">
        <v>0.06</v>
      </c>
      <c r="H21" s="14">
        <v>0.04</v>
      </c>
      <c r="I21" s="14">
        <v>0.04</v>
      </c>
      <c r="J21" s="14">
        <v>0.03</v>
      </c>
      <c r="K21" s="14">
        <v>7.0000000000000007E-2</v>
      </c>
      <c r="L21" s="14">
        <v>0.04</v>
      </c>
      <c r="M21" s="14">
        <v>0.02</v>
      </c>
      <c r="N21" s="14">
        <v>0.06</v>
      </c>
      <c r="O21" s="14">
        <v>0.06</v>
      </c>
      <c r="P21" s="14">
        <v>0.02</v>
      </c>
      <c r="Q21" s="14">
        <v>0.03</v>
      </c>
      <c r="R21" s="14">
        <v>0.03</v>
      </c>
      <c r="S21" s="14">
        <v>0.04</v>
      </c>
      <c r="T21" s="14">
        <v>0.08</v>
      </c>
      <c r="U21" s="14">
        <v>0.01</v>
      </c>
      <c r="V21" s="14">
        <v>0.02</v>
      </c>
      <c r="W21" s="14">
        <v>0.01</v>
      </c>
      <c r="X21" s="14">
        <v>0.01</v>
      </c>
      <c r="Y21" s="14">
        <v>0.06</v>
      </c>
      <c r="Z21" s="14">
        <v>0.05</v>
      </c>
      <c r="AA21" s="14">
        <v>0.06</v>
      </c>
      <c r="AB21" s="14">
        <v>0.05</v>
      </c>
      <c r="AC21" s="14">
        <v>0.02</v>
      </c>
      <c r="AD21" s="14">
        <v>0.03</v>
      </c>
      <c r="AE21" s="14">
        <v>0.05</v>
      </c>
      <c r="AF21" s="14">
        <v>0.01</v>
      </c>
    </row>
    <row r="22" spans="1:32" x14ac:dyDescent="0.35">
      <c r="A22" s="31"/>
      <c r="B22" s="11" t="s">
        <v>510</v>
      </c>
      <c r="C22" s="12">
        <v>22620</v>
      </c>
      <c r="D22" s="12">
        <v>902</v>
      </c>
      <c r="E22" s="12">
        <v>870</v>
      </c>
      <c r="F22" s="12">
        <v>823</v>
      </c>
      <c r="G22" s="12">
        <v>845</v>
      </c>
      <c r="H22" s="12">
        <v>1057</v>
      </c>
      <c r="I22" s="12">
        <v>1300</v>
      </c>
      <c r="J22" s="12">
        <v>243</v>
      </c>
      <c r="K22" s="12">
        <v>837</v>
      </c>
      <c r="L22" s="12">
        <v>934</v>
      </c>
      <c r="M22" s="12">
        <v>930</v>
      </c>
      <c r="N22" s="12">
        <v>871</v>
      </c>
      <c r="O22" s="12">
        <v>833</v>
      </c>
      <c r="P22" s="12">
        <v>910</v>
      </c>
      <c r="Q22" s="12">
        <v>923</v>
      </c>
      <c r="R22" s="12">
        <v>442</v>
      </c>
      <c r="S22" s="12">
        <v>908</v>
      </c>
      <c r="T22" s="12">
        <v>903</v>
      </c>
      <c r="U22" s="12">
        <v>467</v>
      </c>
      <c r="V22" s="12">
        <v>894</v>
      </c>
      <c r="W22" s="12">
        <v>464</v>
      </c>
      <c r="X22" s="12">
        <v>862</v>
      </c>
      <c r="Y22" s="12">
        <v>853</v>
      </c>
      <c r="Z22" s="12">
        <v>885</v>
      </c>
      <c r="AA22" s="12">
        <v>904</v>
      </c>
      <c r="AB22" s="12">
        <v>776</v>
      </c>
      <c r="AC22" s="12">
        <v>891</v>
      </c>
      <c r="AD22" s="12">
        <v>893</v>
      </c>
      <c r="AE22" s="12">
        <v>770</v>
      </c>
      <c r="AF22" s="12">
        <v>882</v>
      </c>
    </row>
    <row r="23" spans="1:32" x14ac:dyDescent="0.35">
      <c r="A23" s="31"/>
      <c r="B23" s="13" t="s">
        <v>511</v>
      </c>
      <c r="C23" s="14">
        <v>0.86</v>
      </c>
      <c r="D23" s="14">
        <v>0.88</v>
      </c>
      <c r="E23" s="14">
        <v>0.84</v>
      </c>
      <c r="F23" s="14">
        <v>0.81</v>
      </c>
      <c r="G23" s="14">
        <v>0.83000000000000007</v>
      </c>
      <c r="H23" s="14">
        <v>0.86</v>
      </c>
      <c r="I23" s="14">
        <v>0.85</v>
      </c>
      <c r="J23" s="14">
        <v>0.82000000000000006</v>
      </c>
      <c r="K23" s="14">
        <v>0.83000000000000007</v>
      </c>
      <c r="L23" s="14">
        <v>0.93</v>
      </c>
      <c r="M23" s="14">
        <v>0.93</v>
      </c>
      <c r="N23" s="14">
        <v>0.87</v>
      </c>
      <c r="O23" s="14">
        <v>0.83000000000000007</v>
      </c>
      <c r="P23" s="14">
        <v>0.91</v>
      </c>
      <c r="Q23" s="14">
        <v>0.89</v>
      </c>
      <c r="R23" s="14">
        <v>0.88</v>
      </c>
      <c r="S23" s="14">
        <v>0.89</v>
      </c>
      <c r="T23" s="14">
        <v>0.89</v>
      </c>
      <c r="U23" s="14">
        <v>0.91</v>
      </c>
      <c r="V23" s="14">
        <v>0.88</v>
      </c>
      <c r="W23" s="14">
        <v>0.93</v>
      </c>
      <c r="X23" s="14">
        <v>0.85</v>
      </c>
      <c r="Y23" s="14">
        <v>0.85</v>
      </c>
      <c r="Z23" s="14">
        <v>0.87</v>
      </c>
      <c r="AA23" s="14">
        <v>0.88</v>
      </c>
      <c r="AB23" s="14">
        <v>0.73</v>
      </c>
      <c r="AC23" s="14">
        <v>0.88</v>
      </c>
      <c r="AD23" s="14">
        <v>0.89</v>
      </c>
      <c r="AE23" s="14">
        <v>0.76</v>
      </c>
      <c r="AF23" s="14">
        <v>0.86</v>
      </c>
    </row>
    <row r="24" spans="1:32" x14ac:dyDescent="0.35">
      <c r="A24" s="31"/>
      <c r="B24" s="11" t="s">
        <v>512</v>
      </c>
      <c r="C24" s="12">
        <v>2691</v>
      </c>
      <c r="D24" s="12">
        <v>110</v>
      </c>
      <c r="E24" s="12">
        <v>115</v>
      </c>
      <c r="F24" s="12">
        <v>147</v>
      </c>
      <c r="G24" s="12">
        <v>112</v>
      </c>
      <c r="H24" s="12">
        <v>126</v>
      </c>
      <c r="I24" s="12">
        <v>172</v>
      </c>
      <c r="J24" s="12">
        <v>46</v>
      </c>
      <c r="K24" s="12">
        <v>99</v>
      </c>
      <c r="L24" s="12">
        <v>31</v>
      </c>
      <c r="M24" s="12">
        <v>51</v>
      </c>
      <c r="N24" s="12">
        <v>68</v>
      </c>
      <c r="O24" s="12">
        <v>110</v>
      </c>
      <c r="P24" s="12">
        <v>76</v>
      </c>
      <c r="Q24" s="12">
        <v>85</v>
      </c>
      <c r="R24" s="12">
        <v>45</v>
      </c>
      <c r="S24" s="12">
        <v>67</v>
      </c>
      <c r="T24" s="12">
        <v>35</v>
      </c>
      <c r="U24" s="12">
        <v>37</v>
      </c>
      <c r="V24" s="12">
        <v>103</v>
      </c>
      <c r="W24" s="12">
        <v>32</v>
      </c>
      <c r="X24" s="12">
        <v>142</v>
      </c>
      <c r="Y24" s="12">
        <v>90</v>
      </c>
      <c r="Z24" s="12">
        <v>81</v>
      </c>
      <c r="AA24" s="12">
        <v>63</v>
      </c>
      <c r="AB24" s="12">
        <v>232</v>
      </c>
      <c r="AC24" s="12">
        <v>101</v>
      </c>
      <c r="AD24" s="12">
        <v>81</v>
      </c>
      <c r="AE24" s="12">
        <v>187</v>
      </c>
      <c r="AF24" s="12">
        <v>128</v>
      </c>
    </row>
    <row r="25" spans="1:32" x14ac:dyDescent="0.35">
      <c r="A25" s="31"/>
      <c r="B25" s="13" t="s">
        <v>513</v>
      </c>
      <c r="C25" s="14">
        <v>0.1</v>
      </c>
      <c r="D25" s="14">
        <v>0.11</v>
      </c>
      <c r="E25" s="14">
        <v>0.11</v>
      </c>
      <c r="F25" s="14">
        <v>0.14000000000000001</v>
      </c>
      <c r="G25" s="14">
        <v>0.11</v>
      </c>
      <c r="H25" s="14">
        <v>0.1</v>
      </c>
      <c r="I25" s="14">
        <v>0.11</v>
      </c>
      <c r="J25" s="14">
        <v>0.15</v>
      </c>
      <c r="K25" s="14">
        <v>0.1</v>
      </c>
      <c r="L25" s="14">
        <v>0.03</v>
      </c>
      <c r="M25" s="14">
        <v>0.05</v>
      </c>
      <c r="N25" s="14">
        <v>7.0000000000000007E-2</v>
      </c>
      <c r="O25" s="14">
        <v>0.11</v>
      </c>
      <c r="P25" s="14">
        <v>7.0000000000000007E-2</v>
      </c>
      <c r="Q25" s="14">
        <v>0.08</v>
      </c>
      <c r="R25" s="14">
        <v>0.09</v>
      </c>
      <c r="S25" s="14">
        <v>7.0000000000000007E-2</v>
      </c>
      <c r="T25" s="14">
        <v>0.03</v>
      </c>
      <c r="U25" s="14">
        <v>0.08</v>
      </c>
      <c r="V25" s="14">
        <v>0.1</v>
      </c>
      <c r="W25" s="14">
        <v>0.06</v>
      </c>
      <c r="X25" s="14">
        <v>0.14000000000000001</v>
      </c>
      <c r="Y25" s="14">
        <v>0.09</v>
      </c>
      <c r="Z25" s="14">
        <v>0.08</v>
      </c>
      <c r="AA25" s="14">
        <v>0.06</v>
      </c>
      <c r="AB25" s="14">
        <v>0.22</v>
      </c>
      <c r="AC25" s="14">
        <v>0.1</v>
      </c>
      <c r="AD25" s="14">
        <v>0.08</v>
      </c>
      <c r="AE25" s="14">
        <v>0.19</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7"/>
  <sheetViews>
    <sheetView workbookViewId="0">
      <pane xSplit="3" ySplit="9" topLeftCell="D10" activePane="bottomRight" state="frozen"/>
      <selection pane="topRight"/>
      <selection pane="bottomLeft"/>
      <selection pane="bottomRight" activeCell="C31" sqref="C31"/>
    </sheetView>
  </sheetViews>
  <sheetFormatPr defaultRowHeight="14.5" x14ac:dyDescent="0.35"/>
  <cols>
    <col min="1" max="1" width="8.453125" customWidth="1"/>
    <col min="2" max="2" width="19.26953125" customWidth="1"/>
    <col min="3" max="32" width="12.453125" customWidth="1"/>
  </cols>
  <sheetData>
    <row r="1" spans="1:32" x14ac:dyDescent="0.35">
      <c r="A1" s="16"/>
      <c r="B1" s="16"/>
      <c r="C1" s="16"/>
      <c r="D1" s="16"/>
      <c r="E1" s="16"/>
      <c r="F1" s="16"/>
      <c r="G1" s="16"/>
      <c r="H1" s="16"/>
      <c r="I1" s="7" t="s">
        <v>297</v>
      </c>
      <c r="J1" s="17"/>
      <c r="K1" s="16"/>
      <c r="L1" s="16"/>
      <c r="M1" s="16"/>
      <c r="N1" s="16"/>
      <c r="O1" s="16"/>
      <c r="P1" s="16"/>
      <c r="Q1" s="16"/>
      <c r="R1" s="16"/>
      <c r="S1" s="16"/>
      <c r="T1" s="16"/>
      <c r="U1" s="16"/>
      <c r="V1" s="16"/>
      <c r="W1" s="16"/>
      <c r="X1" s="16"/>
      <c r="Y1" s="16"/>
      <c r="Z1" s="16"/>
      <c r="AA1" s="16"/>
      <c r="AB1" s="16"/>
      <c r="AC1" s="16"/>
      <c r="AD1" s="16"/>
      <c r="AE1" s="16"/>
      <c r="AF1" s="16"/>
    </row>
    <row r="2" spans="1:32" x14ac:dyDescent="0.35">
      <c r="A2" s="16"/>
      <c r="B2" s="16"/>
      <c r="C2" s="7" t="s">
        <v>298</v>
      </c>
      <c r="D2" s="16"/>
      <c r="E2" s="16"/>
      <c r="F2" s="16"/>
      <c r="G2" s="16"/>
      <c r="H2" s="7" t="s">
        <v>299</v>
      </c>
      <c r="I2" s="17"/>
      <c r="J2" s="17"/>
      <c r="K2" s="16"/>
      <c r="L2" s="16"/>
      <c r="M2" s="16"/>
      <c r="N2" s="16"/>
      <c r="O2" s="16"/>
      <c r="P2" s="16"/>
      <c r="Q2" s="16"/>
      <c r="R2" s="16"/>
      <c r="S2" s="16"/>
      <c r="T2" s="16"/>
      <c r="U2" s="16"/>
      <c r="V2" s="16"/>
      <c r="W2" s="16"/>
      <c r="X2" s="16"/>
      <c r="Y2" s="16"/>
      <c r="Z2" s="16"/>
      <c r="AA2" s="16"/>
      <c r="AB2" s="16"/>
      <c r="AC2" s="16"/>
      <c r="AD2" s="16"/>
      <c r="AE2" s="16"/>
      <c r="AF2" s="16"/>
    </row>
    <row r="3" spans="1:32" ht="36" customHeight="1" x14ac:dyDescent="0.35">
      <c r="A3" s="16"/>
      <c r="B3" s="35" t="s">
        <v>817</v>
      </c>
      <c r="C3" s="35"/>
      <c r="D3" s="35"/>
      <c r="E3" s="35"/>
      <c r="F3" s="35"/>
      <c r="G3" s="16"/>
      <c r="H3" s="35" t="s">
        <v>122</v>
      </c>
      <c r="I3" s="35"/>
      <c r="J3" s="35"/>
      <c r="K3" s="35"/>
      <c r="L3" s="35"/>
      <c r="M3" s="16"/>
      <c r="N3" s="16"/>
      <c r="O3" s="16"/>
      <c r="P3" s="16"/>
      <c r="Q3" s="16"/>
      <c r="R3" s="16"/>
      <c r="S3" s="16"/>
      <c r="T3" s="16"/>
      <c r="U3" s="16"/>
      <c r="V3" s="16"/>
      <c r="W3" s="16"/>
      <c r="X3" s="16"/>
      <c r="Y3" s="16"/>
      <c r="Z3" s="16"/>
      <c r="AA3" s="16"/>
      <c r="AB3" s="16"/>
      <c r="AC3" s="16"/>
      <c r="AD3" s="16"/>
      <c r="AE3" s="16"/>
      <c r="AF3" s="16"/>
    </row>
    <row r="4" spans="1:32" ht="27" customHeight="1" x14ac:dyDescent="0.35">
      <c r="A4" s="16"/>
      <c r="B4" s="35"/>
      <c r="C4" s="35"/>
      <c r="D4" s="35"/>
      <c r="E4" s="35"/>
      <c r="F4" s="35"/>
      <c r="G4" s="16"/>
      <c r="H4" s="35"/>
      <c r="I4" s="35"/>
      <c r="J4" s="35"/>
      <c r="K4" s="35"/>
      <c r="L4" s="35"/>
      <c r="M4" s="16"/>
      <c r="N4" s="16"/>
      <c r="O4" s="16"/>
      <c r="P4" s="16"/>
      <c r="Q4" s="16"/>
      <c r="R4" s="16"/>
      <c r="S4" s="16"/>
      <c r="T4" s="16"/>
      <c r="U4" s="16"/>
      <c r="V4" s="16"/>
      <c r="W4" s="16"/>
      <c r="X4" s="16"/>
      <c r="Y4" s="16"/>
      <c r="Z4" s="16"/>
      <c r="AA4" s="16"/>
      <c r="AB4" s="16"/>
      <c r="AC4" s="16"/>
      <c r="AD4" s="16"/>
      <c r="AE4" s="16"/>
      <c r="AF4" s="16"/>
    </row>
    <row r="5" spans="1:32" ht="12" customHeight="1" x14ac:dyDescent="0.35">
      <c r="A5" s="16"/>
      <c r="B5" s="35" t="s">
        <v>300</v>
      </c>
      <c r="C5" s="35"/>
      <c r="D5" s="35"/>
      <c r="E5" s="35"/>
      <c r="F5" s="35"/>
      <c r="G5" s="16"/>
      <c r="H5" s="35" t="s">
        <v>301</v>
      </c>
      <c r="I5" s="35"/>
      <c r="J5" s="35"/>
      <c r="K5" s="35"/>
      <c r="L5" s="35"/>
      <c r="M5" s="16"/>
      <c r="N5" s="16"/>
      <c r="O5" s="16"/>
      <c r="P5" s="16"/>
      <c r="Q5" s="16"/>
      <c r="R5" s="16"/>
      <c r="S5" s="16"/>
      <c r="T5" s="16"/>
      <c r="U5" s="16"/>
      <c r="V5" s="16"/>
      <c r="W5" s="16"/>
      <c r="X5" s="16"/>
      <c r="Y5" s="16"/>
      <c r="Z5" s="16"/>
      <c r="AA5" s="16"/>
      <c r="AB5" s="16"/>
      <c r="AC5" s="16"/>
      <c r="AD5" s="16"/>
      <c r="AE5" s="16"/>
      <c r="AF5" s="16"/>
    </row>
    <row r="6" spans="1:32" ht="1" customHeight="1"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row>
    <row r="7" spans="1:32" ht="1" customHeight="1" x14ac:dyDescent="0.3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row>
    <row r="8" spans="1:32" x14ac:dyDescent="0.35">
      <c r="A8" s="16"/>
      <c r="B8" s="1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row>
    <row r="9" spans="1:32" x14ac:dyDescent="0.35">
      <c r="A9" s="18" t="s">
        <v>818</v>
      </c>
      <c r="B9" s="5"/>
      <c r="C9" s="12" t="s">
        <v>819</v>
      </c>
      <c r="D9" s="19" t="s">
        <v>303</v>
      </c>
      <c r="E9" s="19" t="s">
        <v>304</v>
      </c>
      <c r="F9" s="19" t="s">
        <v>305</v>
      </c>
      <c r="G9" s="19" t="s">
        <v>306</v>
      </c>
      <c r="H9" s="19" t="s">
        <v>307</v>
      </c>
      <c r="I9" s="19" t="s">
        <v>308</v>
      </c>
      <c r="J9" s="19" t="s">
        <v>309</v>
      </c>
      <c r="K9" s="19" t="s">
        <v>310</v>
      </c>
      <c r="L9" s="19" t="s">
        <v>311</v>
      </c>
      <c r="M9" s="19" t="s">
        <v>312</v>
      </c>
      <c r="N9" s="19" t="s">
        <v>313</v>
      </c>
      <c r="O9" s="19" t="s">
        <v>314</v>
      </c>
      <c r="P9" s="19" t="s">
        <v>315</v>
      </c>
      <c r="Q9" s="19" t="s">
        <v>316</v>
      </c>
      <c r="R9" s="19" t="s">
        <v>317</v>
      </c>
      <c r="S9" s="19" t="s">
        <v>318</v>
      </c>
      <c r="T9" s="19" t="s">
        <v>319</v>
      </c>
      <c r="U9" s="19" t="s">
        <v>320</v>
      </c>
      <c r="V9" s="19" t="s">
        <v>321</v>
      </c>
      <c r="W9" s="19" t="s">
        <v>322</v>
      </c>
      <c r="X9" s="19" t="s">
        <v>323</v>
      </c>
      <c r="Y9" s="19" t="s">
        <v>324</v>
      </c>
      <c r="Z9" s="19" t="s">
        <v>325</v>
      </c>
      <c r="AA9" s="19" t="s">
        <v>326</v>
      </c>
      <c r="AB9" s="19" t="s">
        <v>327</v>
      </c>
      <c r="AC9" s="19" t="s">
        <v>328</v>
      </c>
      <c r="AD9" s="19" t="s">
        <v>329</v>
      </c>
      <c r="AE9" s="19" t="s">
        <v>330</v>
      </c>
      <c r="AF9" s="19" t="s">
        <v>331</v>
      </c>
    </row>
    <row r="10" spans="1:32" x14ac:dyDescent="0.35">
      <c r="A10" s="37" t="s">
        <v>820</v>
      </c>
      <c r="B10" s="33" t="s">
        <v>332</v>
      </c>
      <c r="C10" s="20">
        <v>26410</v>
      </c>
      <c r="D10" s="20">
        <v>1025</v>
      </c>
      <c r="E10" s="20">
        <v>1039</v>
      </c>
      <c r="F10" s="20">
        <v>1018</v>
      </c>
      <c r="G10" s="20">
        <v>1017</v>
      </c>
      <c r="H10" s="20">
        <v>1232</v>
      </c>
      <c r="I10" s="20">
        <v>1530</v>
      </c>
      <c r="J10" s="20">
        <v>298</v>
      </c>
      <c r="K10" s="20">
        <v>1009</v>
      </c>
      <c r="L10" s="20">
        <v>1004</v>
      </c>
      <c r="M10" s="20">
        <v>1004</v>
      </c>
      <c r="N10" s="20">
        <v>1000</v>
      </c>
      <c r="O10" s="20">
        <v>1000</v>
      </c>
      <c r="P10" s="20">
        <v>1004</v>
      </c>
      <c r="Q10" s="20">
        <v>1035</v>
      </c>
      <c r="R10" s="20">
        <v>501</v>
      </c>
      <c r="S10" s="20">
        <v>1021</v>
      </c>
      <c r="T10" s="20">
        <v>1017</v>
      </c>
      <c r="U10" s="20">
        <v>509</v>
      </c>
      <c r="V10" s="20">
        <v>1014</v>
      </c>
      <c r="W10" s="20">
        <v>501</v>
      </c>
      <c r="X10" s="20">
        <v>1010</v>
      </c>
      <c r="Y10" s="20">
        <v>1003</v>
      </c>
      <c r="Z10" s="20">
        <v>1019</v>
      </c>
      <c r="AA10" s="20">
        <v>1030</v>
      </c>
      <c r="AB10" s="20">
        <v>1056</v>
      </c>
      <c r="AC10" s="20">
        <v>1013</v>
      </c>
      <c r="AD10" s="20">
        <v>1004</v>
      </c>
      <c r="AE10" s="20">
        <v>1007</v>
      </c>
      <c r="AF10" s="20">
        <v>1020</v>
      </c>
    </row>
    <row r="11" spans="1:32" x14ac:dyDescent="0.35">
      <c r="A11" s="38"/>
      <c r="B11" s="34"/>
      <c r="C11" s="21" t="s">
        <v>820</v>
      </c>
      <c r="D11" s="21" t="s">
        <v>820</v>
      </c>
      <c r="E11" s="21" t="s">
        <v>820</v>
      </c>
      <c r="F11" s="21" t="s">
        <v>820</v>
      </c>
      <c r="G11" s="21" t="s">
        <v>820</v>
      </c>
      <c r="H11" s="21" t="s">
        <v>820</v>
      </c>
      <c r="I11" s="21" t="s">
        <v>820</v>
      </c>
      <c r="J11" s="21" t="s">
        <v>820</v>
      </c>
      <c r="K11" s="21" t="s">
        <v>820</v>
      </c>
      <c r="L11" s="21" t="s">
        <v>820</v>
      </c>
      <c r="M11" s="21" t="s">
        <v>820</v>
      </c>
      <c r="N11" s="21" t="s">
        <v>820</v>
      </c>
      <c r="O11" s="21" t="s">
        <v>820</v>
      </c>
      <c r="P11" s="21" t="s">
        <v>820</v>
      </c>
      <c r="Q11" s="21" t="s">
        <v>820</v>
      </c>
      <c r="R11" s="21" t="s">
        <v>820</v>
      </c>
      <c r="S11" s="21" t="s">
        <v>820</v>
      </c>
      <c r="T11" s="21" t="s">
        <v>820</v>
      </c>
      <c r="U11" s="21" t="s">
        <v>820</v>
      </c>
      <c r="V11" s="21" t="s">
        <v>820</v>
      </c>
      <c r="W11" s="21" t="s">
        <v>820</v>
      </c>
      <c r="X11" s="21" t="s">
        <v>820</v>
      </c>
      <c r="Y11" s="21" t="s">
        <v>820</v>
      </c>
      <c r="Z11" s="21" t="s">
        <v>820</v>
      </c>
      <c r="AA11" s="21" t="s">
        <v>820</v>
      </c>
      <c r="AB11" s="21" t="s">
        <v>820</v>
      </c>
      <c r="AC11" s="21" t="s">
        <v>820</v>
      </c>
      <c r="AD11" s="21" t="s">
        <v>820</v>
      </c>
      <c r="AE11" s="21" t="s">
        <v>820</v>
      </c>
      <c r="AF11" s="21" t="s">
        <v>820</v>
      </c>
    </row>
    <row r="12" spans="1:32" ht="78.75" customHeight="1" x14ac:dyDescent="0.35">
      <c r="A12" s="38"/>
      <c r="B12" s="22" t="s">
        <v>821</v>
      </c>
      <c r="C12" s="23">
        <v>13364</v>
      </c>
      <c r="D12" s="23">
        <v>465</v>
      </c>
      <c r="E12" s="23">
        <v>572</v>
      </c>
      <c r="F12" s="23">
        <v>444</v>
      </c>
      <c r="G12" s="23">
        <v>634</v>
      </c>
      <c r="H12" s="23">
        <v>625</v>
      </c>
      <c r="I12" s="23">
        <v>779</v>
      </c>
      <c r="J12" s="23">
        <v>154</v>
      </c>
      <c r="K12" s="23">
        <v>407</v>
      </c>
      <c r="L12" s="23">
        <v>515</v>
      </c>
      <c r="M12" s="23">
        <v>704</v>
      </c>
      <c r="N12" s="23">
        <v>513</v>
      </c>
      <c r="O12" s="23">
        <v>515</v>
      </c>
      <c r="P12" s="23">
        <v>585</v>
      </c>
      <c r="Q12" s="23">
        <v>541</v>
      </c>
      <c r="R12" s="23">
        <v>301</v>
      </c>
      <c r="S12" s="23">
        <v>397</v>
      </c>
      <c r="T12" s="23">
        <v>485</v>
      </c>
      <c r="U12" s="23">
        <v>243</v>
      </c>
      <c r="V12" s="23">
        <v>495</v>
      </c>
      <c r="W12" s="23">
        <v>286</v>
      </c>
      <c r="X12" s="23">
        <v>549</v>
      </c>
      <c r="Y12" s="23">
        <v>558</v>
      </c>
      <c r="Z12" s="23">
        <v>350</v>
      </c>
      <c r="AA12" s="23">
        <v>551</v>
      </c>
      <c r="AB12" s="23">
        <v>430</v>
      </c>
      <c r="AC12" s="23">
        <v>561</v>
      </c>
      <c r="AD12" s="23">
        <v>631</v>
      </c>
      <c r="AE12" s="23">
        <v>530</v>
      </c>
      <c r="AF12" s="23">
        <v>689</v>
      </c>
    </row>
    <row r="13" spans="1:32" ht="59.25" customHeight="1" x14ac:dyDescent="0.35">
      <c r="A13" s="38"/>
      <c r="B13" s="24" t="s">
        <v>822</v>
      </c>
      <c r="C13" s="25">
        <v>0.51</v>
      </c>
      <c r="D13" s="25">
        <v>0.45</v>
      </c>
      <c r="E13" s="25">
        <v>0.55000000000000004</v>
      </c>
      <c r="F13" s="25">
        <v>0.44</v>
      </c>
      <c r="G13" s="25">
        <v>0.62</v>
      </c>
      <c r="H13" s="25">
        <v>0.51</v>
      </c>
      <c r="I13" s="25">
        <v>0.51</v>
      </c>
      <c r="J13" s="25">
        <v>0.52</v>
      </c>
      <c r="K13" s="25">
        <v>0.4</v>
      </c>
      <c r="L13" s="25">
        <v>0.51</v>
      </c>
      <c r="M13" s="25">
        <v>0.7</v>
      </c>
      <c r="N13" s="25">
        <v>0.51</v>
      </c>
      <c r="O13" s="25">
        <v>0.52</v>
      </c>
      <c r="P13" s="25">
        <v>0.57999999999999996</v>
      </c>
      <c r="Q13" s="25">
        <v>0.52</v>
      </c>
      <c r="R13" s="25">
        <v>0.6</v>
      </c>
      <c r="S13" s="25">
        <v>0.39</v>
      </c>
      <c r="T13" s="25">
        <v>0.48</v>
      </c>
      <c r="U13" s="25">
        <v>0.48</v>
      </c>
      <c r="V13" s="25">
        <v>0.49</v>
      </c>
      <c r="W13" s="25">
        <v>0.56999999999999995</v>
      </c>
      <c r="X13" s="25">
        <v>0.54</v>
      </c>
      <c r="Y13" s="25">
        <v>0.56000000000000005</v>
      </c>
      <c r="Z13" s="25">
        <v>0.34</v>
      </c>
      <c r="AA13" s="25">
        <v>0.54</v>
      </c>
      <c r="AB13" s="25">
        <v>0.41</v>
      </c>
      <c r="AC13" s="25">
        <v>0.55000000000000004</v>
      </c>
      <c r="AD13" s="25">
        <v>0.63</v>
      </c>
      <c r="AE13" s="25">
        <v>0.53</v>
      </c>
      <c r="AF13" s="25">
        <v>0.68</v>
      </c>
    </row>
    <row r="14" spans="1:32" ht="48.75" customHeight="1" x14ac:dyDescent="0.35">
      <c r="A14" s="38"/>
      <c r="B14" s="26" t="s">
        <v>823</v>
      </c>
      <c r="C14" s="23">
        <v>13056</v>
      </c>
      <c r="D14" s="23">
        <v>468</v>
      </c>
      <c r="E14" s="23">
        <v>481</v>
      </c>
      <c r="F14" s="23">
        <v>516</v>
      </c>
      <c r="G14" s="23">
        <v>561</v>
      </c>
      <c r="H14" s="23">
        <v>561</v>
      </c>
      <c r="I14" s="23">
        <v>705</v>
      </c>
      <c r="J14" s="23">
        <v>144</v>
      </c>
      <c r="K14" s="23">
        <v>485</v>
      </c>
      <c r="L14" s="23">
        <v>489</v>
      </c>
      <c r="M14" s="23">
        <v>639</v>
      </c>
      <c r="N14" s="23">
        <v>487</v>
      </c>
      <c r="O14" s="23">
        <v>550</v>
      </c>
      <c r="P14" s="23">
        <v>572</v>
      </c>
      <c r="Q14" s="23">
        <v>488</v>
      </c>
      <c r="R14" s="23">
        <v>283</v>
      </c>
      <c r="S14" s="23">
        <v>431</v>
      </c>
      <c r="T14" s="23">
        <v>391</v>
      </c>
      <c r="U14" s="23">
        <v>220</v>
      </c>
      <c r="V14" s="23">
        <v>547</v>
      </c>
      <c r="W14" s="23">
        <v>307</v>
      </c>
      <c r="X14" s="23">
        <v>441</v>
      </c>
      <c r="Y14" s="23">
        <v>518</v>
      </c>
      <c r="Z14" s="23">
        <v>510</v>
      </c>
      <c r="AA14" s="23">
        <v>465</v>
      </c>
      <c r="AB14" s="23">
        <v>448</v>
      </c>
      <c r="AC14" s="23">
        <v>524</v>
      </c>
      <c r="AD14" s="23">
        <v>575</v>
      </c>
      <c r="AE14" s="23">
        <v>605</v>
      </c>
      <c r="AF14" s="23">
        <v>561</v>
      </c>
    </row>
    <row r="15" spans="1:32" ht="48.75" customHeight="1" x14ac:dyDescent="0.35">
      <c r="A15" s="38"/>
      <c r="B15" s="24" t="s">
        <v>824</v>
      </c>
      <c r="C15" s="25">
        <v>0.49</v>
      </c>
      <c r="D15" s="25">
        <v>0.46</v>
      </c>
      <c r="E15" s="25">
        <v>0.46</v>
      </c>
      <c r="F15" s="25">
        <v>0.51</v>
      </c>
      <c r="G15" s="25">
        <v>0.55000000000000004</v>
      </c>
      <c r="H15" s="25">
        <v>0.46</v>
      </c>
      <c r="I15" s="25">
        <v>0.46</v>
      </c>
      <c r="J15" s="25">
        <v>0.48</v>
      </c>
      <c r="K15" s="25">
        <v>0.48</v>
      </c>
      <c r="L15" s="25">
        <v>0.49</v>
      </c>
      <c r="M15" s="25">
        <v>0.64</v>
      </c>
      <c r="N15" s="25">
        <v>0.49</v>
      </c>
      <c r="O15" s="25">
        <v>0.55000000000000004</v>
      </c>
      <c r="P15" s="25">
        <v>0.56999999999999995</v>
      </c>
      <c r="Q15" s="25">
        <v>0.47</v>
      </c>
      <c r="R15" s="25">
        <v>0.56000000000000005</v>
      </c>
      <c r="S15" s="25">
        <v>0.42</v>
      </c>
      <c r="T15" s="25">
        <v>0.38</v>
      </c>
      <c r="U15" s="25">
        <v>0.43</v>
      </c>
      <c r="V15" s="25">
        <v>0.54</v>
      </c>
      <c r="W15" s="25">
        <v>0.61</v>
      </c>
      <c r="X15" s="25">
        <v>0.44</v>
      </c>
      <c r="Y15" s="25">
        <v>0.52</v>
      </c>
      <c r="Z15" s="25">
        <v>0.5</v>
      </c>
      <c r="AA15" s="25">
        <v>0.45</v>
      </c>
      <c r="AB15" s="25">
        <v>0.42</v>
      </c>
      <c r="AC15" s="25">
        <v>0.52</v>
      </c>
      <c r="AD15" s="25">
        <v>0.56999999999999995</v>
      </c>
      <c r="AE15" s="25">
        <v>0.6</v>
      </c>
      <c r="AF15" s="25">
        <v>0.55000000000000004</v>
      </c>
    </row>
    <row r="16" spans="1:32" ht="89.25" customHeight="1" x14ac:dyDescent="0.35">
      <c r="A16" s="38"/>
      <c r="B16" s="26" t="s">
        <v>825</v>
      </c>
      <c r="C16" s="23">
        <v>13781</v>
      </c>
      <c r="D16" s="23">
        <v>506</v>
      </c>
      <c r="E16" s="23">
        <v>567</v>
      </c>
      <c r="F16" s="23">
        <v>473</v>
      </c>
      <c r="G16" s="23">
        <v>464</v>
      </c>
      <c r="H16" s="23">
        <v>579</v>
      </c>
      <c r="I16" s="23">
        <v>743</v>
      </c>
      <c r="J16" s="23">
        <v>165</v>
      </c>
      <c r="K16" s="23">
        <v>446</v>
      </c>
      <c r="L16" s="23">
        <v>517</v>
      </c>
      <c r="M16" s="23">
        <v>600</v>
      </c>
      <c r="N16" s="23">
        <v>555</v>
      </c>
      <c r="O16" s="23">
        <v>570</v>
      </c>
      <c r="P16" s="23">
        <v>590</v>
      </c>
      <c r="Q16" s="23">
        <v>585</v>
      </c>
      <c r="R16" s="23">
        <v>261</v>
      </c>
      <c r="S16" s="23">
        <v>433</v>
      </c>
      <c r="T16" s="23">
        <v>449</v>
      </c>
      <c r="U16" s="23">
        <v>267</v>
      </c>
      <c r="V16" s="23">
        <v>612</v>
      </c>
      <c r="W16" s="23">
        <v>284</v>
      </c>
      <c r="X16" s="23">
        <v>582</v>
      </c>
      <c r="Y16" s="23">
        <v>487</v>
      </c>
      <c r="Z16" s="23">
        <v>424</v>
      </c>
      <c r="AA16" s="23">
        <v>545</v>
      </c>
      <c r="AB16" s="23">
        <v>447</v>
      </c>
      <c r="AC16" s="23">
        <v>616</v>
      </c>
      <c r="AD16" s="23">
        <v>525</v>
      </c>
      <c r="AE16" s="23">
        <v>366</v>
      </c>
      <c r="AF16" s="23">
        <v>637</v>
      </c>
    </row>
    <row r="17" spans="1:32" ht="89.25" customHeight="1" x14ac:dyDescent="0.35">
      <c r="A17" s="38"/>
      <c r="B17" s="24" t="s">
        <v>826</v>
      </c>
      <c r="C17" s="25">
        <v>0.52</v>
      </c>
      <c r="D17" s="25">
        <v>0.49</v>
      </c>
      <c r="E17" s="25">
        <v>0.55000000000000004</v>
      </c>
      <c r="F17" s="25">
        <v>0.46</v>
      </c>
      <c r="G17" s="25">
        <v>0.46</v>
      </c>
      <c r="H17" s="25">
        <v>0.47</v>
      </c>
      <c r="I17" s="25">
        <v>0.49</v>
      </c>
      <c r="J17" s="25">
        <v>0.55000000000000004</v>
      </c>
      <c r="K17" s="25">
        <v>0.44</v>
      </c>
      <c r="L17" s="25">
        <v>0.52</v>
      </c>
      <c r="M17" s="25">
        <v>0.6</v>
      </c>
      <c r="N17" s="25">
        <v>0.56000000000000005</v>
      </c>
      <c r="O17" s="25">
        <v>0.56999999999999995</v>
      </c>
      <c r="P17" s="25">
        <v>0.59</v>
      </c>
      <c r="Q17" s="25">
        <v>0.56999999999999995</v>
      </c>
      <c r="R17" s="25">
        <v>0.52</v>
      </c>
      <c r="S17" s="25">
        <v>0.42</v>
      </c>
      <c r="T17" s="25">
        <v>0.44</v>
      </c>
      <c r="U17" s="25">
        <v>0.52</v>
      </c>
      <c r="V17" s="25">
        <v>0.6</v>
      </c>
      <c r="W17" s="25">
        <v>0.56999999999999995</v>
      </c>
      <c r="X17" s="25">
        <v>0.57999999999999996</v>
      </c>
      <c r="Y17" s="25">
        <v>0.49</v>
      </c>
      <c r="Z17" s="25">
        <v>0.42</v>
      </c>
      <c r="AA17" s="25">
        <v>0.53</v>
      </c>
      <c r="AB17" s="25">
        <v>0.42</v>
      </c>
      <c r="AC17" s="25">
        <v>0.61</v>
      </c>
      <c r="AD17" s="25">
        <v>0.52</v>
      </c>
      <c r="AE17" s="25">
        <v>0.36</v>
      </c>
      <c r="AF17" s="25">
        <v>0.62</v>
      </c>
    </row>
    <row r="18" spans="1:32" ht="13.5" customHeight="1" x14ac:dyDescent="0.35">
      <c r="A18" s="38"/>
      <c r="B18" s="26" t="s">
        <v>827</v>
      </c>
      <c r="C18" s="23">
        <v>390</v>
      </c>
      <c r="D18" s="23">
        <v>16</v>
      </c>
      <c r="E18" s="23">
        <v>26</v>
      </c>
      <c r="F18" s="23">
        <v>2</v>
      </c>
      <c r="G18" s="23">
        <v>1</v>
      </c>
      <c r="H18" s="23">
        <v>24</v>
      </c>
      <c r="I18" s="23">
        <v>29</v>
      </c>
      <c r="J18" s="23">
        <v>5</v>
      </c>
      <c r="K18" s="23">
        <v>48</v>
      </c>
      <c r="L18" s="23">
        <v>15</v>
      </c>
      <c r="M18" s="23">
        <v>18</v>
      </c>
      <c r="N18" s="23">
        <v>13</v>
      </c>
      <c r="O18" s="23">
        <v>9</v>
      </c>
      <c r="P18" s="23">
        <v>3</v>
      </c>
      <c r="Q18" s="23">
        <v>16</v>
      </c>
      <c r="R18" s="23">
        <v>1</v>
      </c>
      <c r="S18" s="23">
        <v>34</v>
      </c>
      <c r="T18" s="23">
        <v>105</v>
      </c>
      <c r="U18" s="23">
        <v>11</v>
      </c>
      <c r="V18" s="23">
        <v>13</v>
      </c>
      <c r="W18" s="23">
        <v>0</v>
      </c>
      <c r="X18" s="23">
        <v>12</v>
      </c>
      <c r="Y18" s="23">
        <v>25</v>
      </c>
      <c r="Z18" s="23">
        <v>4</v>
      </c>
      <c r="AA18" s="23">
        <v>26</v>
      </c>
      <c r="AB18" s="23">
        <v>14</v>
      </c>
      <c r="AC18" s="23">
        <v>15</v>
      </c>
      <c r="AD18" s="23">
        <v>10</v>
      </c>
      <c r="AE18" s="23">
        <v>27</v>
      </c>
      <c r="AF18" s="23">
        <v>29</v>
      </c>
    </row>
    <row r="19" spans="1:32" ht="20.25" customHeight="1" x14ac:dyDescent="0.35">
      <c r="A19" s="38"/>
      <c r="B19" s="24" t="s">
        <v>828</v>
      </c>
      <c r="C19" s="25">
        <v>0.01</v>
      </c>
      <c r="D19" s="25">
        <v>0.02</v>
      </c>
      <c r="E19" s="25">
        <v>0.02</v>
      </c>
      <c r="F19" s="27" t="s">
        <v>333</v>
      </c>
      <c r="G19" s="27" t="s">
        <v>333</v>
      </c>
      <c r="H19" s="25">
        <v>0.02</v>
      </c>
      <c r="I19" s="25">
        <v>0.02</v>
      </c>
      <c r="J19" s="25">
        <v>0.02</v>
      </c>
      <c r="K19" s="25">
        <v>0.05</v>
      </c>
      <c r="L19" s="25">
        <v>0.02</v>
      </c>
      <c r="M19" s="25">
        <v>0.02</v>
      </c>
      <c r="N19" s="25">
        <v>0.01</v>
      </c>
      <c r="O19" s="25">
        <v>0.01</v>
      </c>
      <c r="P19" s="27" t="s">
        <v>333</v>
      </c>
      <c r="Q19" s="25">
        <v>0.02</v>
      </c>
      <c r="R19" s="27" t="s">
        <v>333</v>
      </c>
      <c r="S19" s="25">
        <v>0.03</v>
      </c>
      <c r="T19" s="25">
        <v>0.1</v>
      </c>
      <c r="U19" s="25">
        <v>0.02</v>
      </c>
      <c r="V19" s="25">
        <v>0.01</v>
      </c>
      <c r="W19" s="27" t="s">
        <v>333</v>
      </c>
      <c r="X19" s="25">
        <v>0.01</v>
      </c>
      <c r="Y19" s="25">
        <v>0.02</v>
      </c>
      <c r="Z19" s="27" t="s">
        <v>333</v>
      </c>
      <c r="AA19" s="25">
        <v>0.02</v>
      </c>
      <c r="AB19" s="25">
        <v>0.01</v>
      </c>
      <c r="AC19" s="25">
        <v>0.01</v>
      </c>
      <c r="AD19" s="25">
        <v>0.01</v>
      </c>
      <c r="AE19" s="25">
        <v>0.03</v>
      </c>
      <c r="AF19" s="25">
        <v>0.03</v>
      </c>
    </row>
    <row r="20" spans="1:32" ht="20.25" customHeight="1" x14ac:dyDescent="0.35">
      <c r="A20" s="38"/>
      <c r="B20" s="26" t="s">
        <v>829</v>
      </c>
      <c r="C20" s="23">
        <v>744</v>
      </c>
      <c r="D20" s="23">
        <v>55</v>
      </c>
      <c r="E20" s="23">
        <v>12</v>
      </c>
      <c r="F20" s="23">
        <v>34</v>
      </c>
      <c r="G20" s="23">
        <v>27</v>
      </c>
      <c r="H20" s="23">
        <v>51</v>
      </c>
      <c r="I20" s="23">
        <v>60</v>
      </c>
      <c r="J20" s="23">
        <v>8</v>
      </c>
      <c r="K20" s="23">
        <v>69</v>
      </c>
      <c r="L20" s="23">
        <v>26</v>
      </c>
      <c r="M20" s="23">
        <v>8</v>
      </c>
      <c r="N20" s="23">
        <v>19</v>
      </c>
      <c r="O20" s="23">
        <v>28</v>
      </c>
      <c r="P20" s="23">
        <v>14</v>
      </c>
      <c r="Q20" s="23">
        <v>20</v>
      </c>
      <c r="R20" s="23">
        <v>33</v>
      </c>
      <c r="S20" s="23">
        <v>26</v>
      </c>
      <c r="T20" s="23">
        <v>27</v>
      </c>
      <c r="U20" s="23">
        <v>12</v>
      </c>
      <c r="V20" s="23">
        <v>5</v>
      </c>
      <c r="W20" s="23">
        <v>26</v>
      </c>
      <c r="X20" s="23">
        <v>16</v>
      </c>
      <c r="Y20" s="23">
        <v>36</v>
      </c>
      <c r="Z20" s="23">
        <v>22</v>
      </c>
      <c r="AA20" s="23">
        <v>38</v>
      </c>
      <c r="AB20" s="23">
        <v>55</v>
      </c>
      <c r="AC20" s="23">
        <v>18</v>
      </c>
      <c r="AD20" s="23">
        <v>21</v>
      </c>
      <c r="AE20" s="23">
        <v>47</v>
      </c>
      <c r="AF20" s="23">
        <v>32</v>
      </c>
    </row>
    <row r="21" spans="1:32" ht="20.25" customHeight="1" x14ac:dyDescent="0.35">
      <c r="A21" s="39"/>
      <c r="B21" s="24" t="s">
        <v>830</v>
      </c>
      <c r="C21" s="25">
        <v>0.03</v>
      </c>
      <c r="D21" s="25">
        <v>0.05</v>
      </c>
      <c r="E21" s="25">
        <v>0.01</v>
      </c>
      <c r="F21" s="25">
        <v>0.03</v>
      </c>
      <c r="G21" s="25">
        <v>0.03</v>
      </c>
      <c r="H21" s="25">
        <v>0.04</v>
      </c>
      <c r="I21" s="25">
        <v>0.04</v>
      </c>
      <c r="J21" s="25">
        <v>0.03</v>
      </c>
      <c r="K21" s="25">
        <v>7.0000000000000007E-2</v>
      </c>
      <c r="L21" s="25">
        <v>0.03</v>
      </c>
      <c r="M21" s="25">
        <v>0.01</v>
      </c>
      <c r="N21" s="25">
        <v>0.02</v>
      </c>
      <c r="O21" s="25">
        <v>0.03</v>
      </c>
      <c r="P21" s="25">
        <v>0.01</v>
      </c>
      <c r="Q21" s="25">
        <v>0.02</v>
      </c>
      <c r="R21" s="25">
        <v>7.0000000000000007E-2</v>
      </c>
      <c r="S21" s="25">
        <v>0.03</v>
      </c>
      <c r="T21" s="25">
        <v>0.03</v>
      </c>
      <c r="U21" s="25">
        <v>0.02</v>
      </c>
      <c r="V21" s="27" t="s">
        <v>333</v>
      </c>
      <c r="W21" s="25">
        <v>0.05</v>
      </c>
      <c r="X21" s="25">
        <v>0.02</v>
      </c>
      <c r="Y21" s="25">
        <v>0.04</v>
      </c>
      <c r="Z21" s="25">
        <v>0.02</v>
      </c>
      <c r="AA21" s="25">
        <v>0.04</v>
      </c>
      <c r="AB21" s="25">
        <v>0.05</v>
      </c>
      <c r="AC21" s="25">
        <v>0.02</v>
      </c>
      <c r="AD21" s="25">
        <v>0.02</v>
      </c>
      <c r="AE21" s="25">
        <v>0.05</v>
      </c>
      <c r="AF21" s="25">
        <v>0.03</v>
      </c>
    </row>
    <row r="22" spans="1:32" ht="31.5" x14ac:dyDescent="0.35">
      <c r="A22" s="38" t="s">
        <v>820</v>
      </c>
      <c r="B22" s="26" t="s">
        <v>831</v>
      </c>
      <c r="C22" s="23">
        <v>24544</v>
      </c>
      <c r="D22" s="23">
        <v>953</v>
      </c>
      <c r="E22" s="23">
        <v>986</v>
      </c>
      <c r="F22" s="23">
        <v>923</v>
      </c>
      <c r="G22" s="23">
        <v>945</v>
      </c>
      <c r="H22" s="23">
        <v>1102</v>
      </c>
      <c r="I22" s="23">
        <v>1385</v>
      </c>
      <c r="J22" s="23">
        <v>283</v>
      </c>
      <c r="K22" s="23">
        <v>860</v>
      </c>
      <c r="L22" s="23">
        <v>949</v>
      </c>
      <c r="M22" s="23">
        <v>991</v>
      </c>
      <c r="N22" s="23">
        <v>917</v>
      </c>
      <c r="O22" s="23">
        <v>929</v>
      </c>
      <c r="P22" s="23">
        <v>977</v>
      </c>
      <c r="Q22" s="23">
        <v>997</v>
      </c>
      <c r="R22" s="23">
        <v>437</v>
      </c>
      <c r="S22" s="23">
        <v>891</v>
      </c>
      <c r="T22" s="23">
        <v>916</v>
      </c>
      <c r="U22" s="23">
        <v>485</v>
      </c>
      <c r="V22" s="23">
        <v>998</v>
      </c>
      <c r="W22" s="23">
        <v>462</v>
      </c>
      <c r="X22" s="23">
        <v>984</v>
      </c>
      <c r="Y22" s="23">
        <v>907</v>
      </c>
      <c r="Z22" s="23">
        <v>951</v>
      </c>
      <c r="AA22" s="23">
        <v>879</v>
      </c>
      <c r="AB22" s="23">
        <v>937</v>
      </c>
      <c r="AC22" s="23">
        <v>984</v>
      </c>
      <c r="AD22" s="23">
        <v>963</v>
      </c>
      <c r="AE22" s="23">
        <v>912</v>
      </c>
      <c r="AF22" s="23">
        <v>983</v>
      </c>
    </row>
    <row r="23" spans="1:32" ht="20.25" customHeight="1" x14ac:dyDescent="0.35">
      <c r="A23" s="38"/>
      <c r="B23" s="24" t="s">
        <v>832</v>
      </c>
      <c r="C23" s="25">
        <v>0.93</v>
      </c>
      <c r="D23" s="25">
        <v>0.93</v>
      </c>
      <c r="E23" s="25">
        <v>0.95</v>
      </c>
      <c r="F23" s="25">
        <v>0.91</v>
      </c>
      <c r="G23" s="25">
        <v>0.93</v>
      </c>
      <c r="H23" s="25">
        <v>0.9</v>
      </c>
      <c r="I23" s="25">
        <v>0.91</v>
      </c>
      <c r="J23" s="25">
        <v>0.95</v>
      </c>
      <c r="K23" s="25">
        <v>0.85</v>
      </c>
      <c r="L23" s="25">
        <v>0.94</v>
      </c>
      <c r="M23" s="25">
        <v>0.99</v>
      </c>
      <c r="N23" s="25">
        <v>0.92</v>
      </c>
      <c r="O23" s="25">
        <v>0.93</v>
      </c>
      <c r="P23" s="25">
        <v>0.97</v>
      </c>
      <c r="Q23" s="25">
        <v>0.96</v>
      </c>
      <c r="R23" s="25">
        <v>0.87</v>
      </c>
      <c r="S23" s="25">
        <v>0.87</v>
      </c>
      <c r="T23" s="25">
        <v>0.9</v>
      </c>
      <c r="U23" s="25">
        <v>0.95</v>
      </c>
      <c r="V23" s="25">
        <v>0.98</v>
      </c>
      <c r="W23" s="25">
        <v>0.92</v>
      </c>
      <c r="X23" s="25">
        <v>0.97</v>
      </c>
      <c r="Y23" s="25">
        <v>0.9</v>
      </c>
      <c r="Z23" s="25">
        <v>0.93</v>
      </c>
      <c r="AA23" s="25">
        <v>0.85</v>
      </c>
      <c r="AB23" s="25">
        <v>0.89</v>
      </c>
      <c r="AC23" s="25">
        <v>0.97</v>
      </c>
      <c r="AD23" s="25">
        <v>0.96</v>
      </c>
      <c r="AE23" s="25">
        <v>0.9</v>
      </c>
      <c r="AF23" s="25">
        <v>0.96</v>
      </c>
    </row>
    <row r="24" spans="1:32" x14ac:dyDescent="0.35">
      <c r="A24" s="38"/>
      <c r="B24" s="26" t="s">
        <v>368</v>
      </c>
      <c r="C24" s="23">
        <v>744</v>
      </c>
      <c r="D24" s="23">
        <v>55</v>
      </c>
      <c r="E24" s="23">
        <v>12</v>
      </c>
      <c r="F24" s="23">
        <v>34</v>
      </c>
      <c r="G24" s="23">
        <v>27</v>
      </c>
      <c r="H24" s="23">
        <v>51</v>
      </c>
      <c r="I24" s="23">
        <v>60</v>
      </c>
      <c r="J24" s="23">
        <v>8</v>
      </c>
      <c r="K24" s="23">
        <v>69</v>
      </c>
      <c r="L24" s="23">
        <v>26</v>
      </c>
      <c r="M24" s="23">
        <v>8</v>
      </c>
      <c r="N24" s="23">
        <v>19</v>
      </c>
      <c r="O24" s="23">
        <v>28</v>
      </c>
      <c r="P24" s="23">
        <v>14</v>
      </c>
      <c r="Q24" s="23">
        <v>20</v>
      </c>
      <c r="R24" s="23">
        <v>33</v>
      </c>
      <c r="S24" s="23">
        <v>26</v>
      </c>
      <c r="T24" s="23">
        <v>27</v>
      </c>
      <c r="U24" s="23">
        <v>12</v>
      </c>
      <c r="V24" s="23">
        <v>5</v>
      </c>
      <c r="W24" s="23">
        <v>26</v>
      </c>
      <c r="X24" s="23">
        <v>16</v>
      </c>
      <c r="Y24" s="23">
        <v>36</v>
      </c>
      <c r="Z24" s="23">
        <v>22</v>
      </c>
      <c r="AA24" s="23">
        <v>38</v>
      </c>
      <c r="AB24" s="23">
        <v>55</v>
      </c>
      <c r="AC24" s="23">
        <v>18</v>
      </c>
      <c r="AD24" s="23">
        <v>21</v>
      </c>
      <c r="AE24" s="23">
        <v>47</v>
      </c>
      <c r="AF24" s="23">
        <v>32</v>
      </c>
    </row>
    <row r="25" spans="1:32" x14ac:dyDescent="0.35">
      <c r="A25" s="38"/>
      <c r="B25" s="24" t="s">
        <v>369</v>
      </c>
      <c r="C25" s="25">
        <v>0.03</v>
      </c>
      <c r="D25" s="25">
        <v>0.05</v>
      </c>
      <c r="E25" s="25">
        <v>0.01</v>
      </c>
      <c r="F25" s="25">
        <v>0.03</v>
      </c>
      <c r="G25" s="25">
        <v>0.03</v>
      </c>
      <c r="H25" s="25">
        <v>0.04</v>
      </c>
      <c r="I25" s="25">
        <v>0.04</v>
      </c>
      <c r="J25" s="25">
        <v>0.03</v>
      </c>
      <c r="K25" s="25">
        <v>7.0000000000000007E-2</v>
      </c>
      <c r="L25" s="25">
        <v>0.03</v>
      </c>
      <c r="M25" s="25">
        <v>0.01</v>
      </c>
      <c r="N25" s="25">
        <v>0.02</v>
      </c>
      <c r="O25" s="25">
        <v>0.03</v>
      </c>
      <c r="P25" s="25">
        <v>0.02</v>
      </c>
      <c r="Q25" s="25">
        <v>0.02</v>
      </c>
      <c r="R25" s="25">
        <v>7.0000000000000007E-2</v>
      </c>
      <c r="S25" s="25">
        <v>0.03</v>
      </c>
      <c r="T25" s="25">
        <v>0.03</v>
      </c>
      <c r="U25" s="25">
        <v>0.03</v>
      </c>
      <c r="V25" s="25">
        <v>0.01</v>
      </c>
      <c r="W25" s="25">
        <v>0.05</v>
      </c>
      <c r="X25" s="25">
        <v>0.02</v>
      </c>
      <c r="Y25" s="25">
        <v>0.04</v>
      </c>
      <c r="Z25" s="25">
        <v>0.02</v>
      </c>
      <c r="AA25" s="25">
        <v>0.04</v>
      </c>
      <c r="AB25" s="25">
        <v>0.05</v>
      </c>
      <c r="AC25" s="25">
        <v>0.02</v>
      </c>
      <c r="AD25" s="25">
        <v>0.02</v>
      </c>
      <c r="AE25" s="25">
        <v>0.05</v>
      </c>
      <c r="AF25" s="25">
        <v>0.03</v>
      </c>
    </row>
    <row r="26" spans="1:32" x14ac:dyDescent="0.35">
      <c r="A26" s="38"/>
      <c r="B26" s="26" t="s">
        <v>344</v>
      </c>
      <c r="C26" s="23">
        <v>1122</v>
      </c>
      <c r="D26" s="23">
        <v>18</v>
      </c>
      <c r="E26" s="23">
        <v>41</v>
      </c>
      <c r="F26" s="23">
        <v>60</v>
      </c>
      <c r="G26" s="23">
        <v>45</v>
      </c>
      <c r="H26" s="23">
        <v>79</v>
      </c>
      <c r="I26" s="23">
        <v>85</v>
      </c>
      <c r="J26" s="23">
        <v>6</v>
      </c>
      <c r="K26" s="23">
        <v>81</v>
      </c>
      <c r="L26" s="23">
        <v>30</v>
      </c>
      <c r="M26" s="23">
        <v>5</v>
      </c>
      <c r="N26" s="23">
        <v>63</v>
      </c>
      <c r="O26" s="23">
        <v>43</v>
      </c>
      <c r="P26" s="23">
        <v>13</v>
      </c>
      <c r="Q26" s="23">
        <v>17</v>
      </c>
      <c r="R26" s="23">
        <v>30</v>
      </c>
      <c r="S26" s="23">
        <v>103</v>
      </c>
      <c r="T26" s="23">
        <v>73</v>
      </c>
      <c r="U26" s="23">
        <v>12</v>
      </c>
      <c r="V26" s="23">
        <v>11</v>
      </c>
      <c r="W26" s="23">
        <v>13</v>
      </c>
      <c r="X26" s="23">
        <v>9</v>
      </c>
      <c r="Y26" s="23">
        <v>60</v>
      </c>
      <c r="Z26" s="23">
        <v>46</v>
      </c>
      <c r="AA26" s="23">
        <v>113</v>
      </c>
      <c r="AB26" s="23">
        <v>63</v>
      </c>
      <c r="AC26" s="23">
        <v>10</v>
      </c>
      <c r="AD26" s="23">
        <v>20</v>
      </c>
      <c r="AE26" s="23">
        <v>47</v>
      </c>
      <c r="AF26" s="23">
        <v>5</v>
      </c>
    </row>
    <row r="27" spans="1:32" x14ac:dyDescent="0.35">
      <c r="A27" s="39"/>
      <c r="B27" s="24" t="s">
        <v>357</v>
      </c>
      <c r="C27" s="25">
        <v>0.04</v>
      </c>
      <c r="D27" s="25">
        <v>0.02</v>
      </c>
      <c r="E27" s="25">
        <v>0.04</v>
      </c>
      <c r="F27" s="25">
        <v>0.06</v>
      </c>
      <c r="G27" s="25">
        <v>0.04</v>
      </c>
      <c r="H27" s="25">
        <v>0.06</v>
      </c>
      <c r="I27" s="25">
        <v>0.05</v>
      </c>
      <c r="J27" s="25">
        <v>0.02</v>
      </c>
      <c r="K27" s="25">
        <v>0.08</v>
      </c>
      <c r="L27" s="25">
        <v>0.03</v>
      </c>
      <c r="M27" s="27" t="s">
        <v>333</v>
      </c>
      <c r="N27" s="25">
        <v>0.06</v>
      </c>
      <c r="O27" s="25">
        <v>0.04</v>
      </c>
      <c r="P27" s="25">
        <v>0.01</v>
      </c>
      <c r="Q27" s="25">
        <v>0.02</v>
      </c>
      <c r="R27" s="25">
        <v>0.06</v>
      </c>
      <c r="S27" s="25">
        <v>0.1</v>
      </c>
      <c r="T27" s="25">
        <v>7.0000000000000007E-2</v>
      </c>
      <c r="U27" s="25">
        <v>0.02</v>
      </c>
      <c r="V27" s="25">
        <v>0.01</v>
      </c>
      <c r="W27" s="25">
        <v>0.03</v>
      </c>
      <c r="X27" s="25">
        <v>0.01</v>
      </c>
      <c r="Y27" s="25">
        <v>0.06</v>
      </c>
      <c r="Z27" s="25">
        <v>0.05</v>
      </c>
      <c r="AA27" s="25">
        <v>0.11</v>
      </c>
      <c r="AB27" s="25">
        <v>0.06</v>
      </c>
      <c r="AC27" s="25">
        <v>0.01</v>
      </c>
      <c r="AD27" s="25">
        <v>0.02</v>
      </c>
      <c r="AE27" s="25">
        <v>0.05</v>
      </c>
      <c r="AF27" s="25">
        <v>0.01</v>
      </c>
    </row>
  </sheetData>
  <mergeCells count="10">
    <mergeCell ref="A10:A21"/>
    <mergeCell ref="A22:A27"/>
    <mergeCell ref="B10:B11"/>
    <mergeCell ref="H4:L4"/>
    <mergeCell ref="B4:F4"/>
    <mergeCell ref="H3:L3"/>
    <mergeCell ref="C8:AF8"/>
    <mergeCell ref="B3:F3"/>
    <mergeCell ref="B5:F5"/>
    <mergeCell ref="H5:L5"/>
  </mergeCells>
  <hyperlinks>
    <hyperlink ref="A9" location="Content!A62" display="&lt;&lt;Back to content" xr:uid="{B812BA32-ED0E-4EA0-B653-66017DDA498C}"/>
  </hyperlink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833</v>
      </c>
      <c r="C3" s="30"/>
      <c r="D3" s="30"/>
      <c r="E3" s="30"/>
      <c r="F3" s="30"/>
      <c r="H3" s="30" t="s">
        <v>834</v>
      </c>
      <c r="I3" s="30"/>
      <c r="J3" s="30"/>
      <c r="K3" s="30"/>
      <c r="L3" s="30"/>
    </row>
    <row r="4" spans="1:32" ht="27" customHeight="1" x14ac:dyDescent="0.35">
      <c r="B4" s="30" t="s">
        <v>835</v>
      </c>
      <c r="C4" s="30"/>
      <c r="D4" s="30"/>
      <c r="E4" s="30"/>
      <c r="F4" s="30"/>
      <c r="H4" s="30" t="s">
        <v>836</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14033</v>
      </c>
      <c r="D12" s="12">
        <v>564</v>
      </c>
      <c r="E12" s="12">
        <v>726</v>
      </c>
      <c r="F12" s="12">
        <v>631</v>
      </c>
      <c r="G12" s="12">
        <v>457</v>
      </c>
      <c r="H12" s="12">
        <v>610</v>
      </c>
      <c r="I12" s="12">
        <v>776</v>
      </c>
      <c r="J12" s="12">
        <v>166</v>
      </c>
      <c r="K12" s="12">
        <v>643</v>
      </c>
      <c r="L12" s="12">
        <v>742</v>
      </c>
      <c r="M12" s="12">
        <v>766</v>
      </c>
      <c r="N12" s="12">
        <v>574</v>
      </c>
      <c r="O12" s="12">
        <v>576</v>
      </c>
      <c r="P12" s="12">
        <v>580</v>
      </c>
      <c r="Q12" s="12">
        <v>506</v>
      </c>
      <c r="R12" s="12">
        <v>354</v>
      </c>
      <c r="S12" s="12">
        <v>661</v>
      </c>
      <c r="T12" s="12">
        <v>632</v>
      </c>
      <c r="U12" s="12">
        <v>259</v>
      </c>
      <c r="V12" s="12">
        <v>654</v>
      </c>
      <c r="W12" s="12">
        <v>337</v>
      </c>
      <c r="X12" s="12">
        <v>362</v>
      </c>
      <c r="Y12" s="12">
        <v>561</v>
      </c>
      <c r="Z12" s="12">
        <v>494</v>
      </c>
      <c r="AA12" s="12">
        <v>744</v>
      </c>
      <c r="AB12" s="12">
        <v>440</v>
      </c>
      <c r="AC12" s="12">
        <v>509</v>
      </c>
      <c r="AD12" s="12">
        <v>623</v>
      </c>
      <c r="AE12" s="12">
        <v>372</v>
      </c>
      <c r="AF12" s="12">
        <v>268</v>
      </c>
    </row>
    <row r="13" spans="1:32" x14ac:dyDescent="0.35">
      <c r="A13" s="31"/>
      <c r="B13" s="13" t="s">
        <v>589</v>
      </c>
      <c r="C13" s="14">
        <v>0.53</v>
      </c>
      <c r="D13" s="14">
        <v>0.55000000000000004</v>
      </c>
      <c r="E13" s="14">
        <v>0.70000000000000007</v>
      </c>
      <c r="F13" s="14">
        <v>0.62</v>
      </c>
      <c r="G13" s="14">
        <v>0.45</v>
      </c>
      <c r="H13" s="14">
        <v>0.5</v>
      </c>
      <c r="I13" s="14">
        <v>0.51</v>
      </c>
      <c r="J13" s="14">
        <v>0.56000000000000005</v>
      </c>
      <c r="K13" s="14">
        <v>0.64</v>
      </c>
      <c r="L13" s="14">
        <v>0.74</v>
      </c>
      <c r="M13" s="14">
        <v>0.76</v>
      </c>
      <c r="N13" s="14">
        <v>0.57000000000000006</v>
      </c>
      <c r="O13" s="14">
        <v>0.57999999999999996</v>
      </c>
      <c r="P13" s="14">
        <v>0.57999999999999996</v>
      </c>
      <c r="Q13" s="14">
        <v>0.49</v>
      </c>
      <c r="R13" s="14">
        <v>0.71</v>
      </c>
      <c r="S13" s="14">
        <v>0.65</v>
      </c>
      <c r="T13" s="14">
        <v>0.62</v>
      </c>
      <c r="U13" s="14">
        <v>0.51</v>
      </c>
      <c r="V13" s="14">
        <v>0.64</v>
      </c>
      <c r="W13" s="14">
        <v>0.67</v>
      </c>
      <c r="X13" s="14">
        <v>0.36</v>
      </c>
      <c r="Y13" s="14">
        <v>0.56000000000000005</v>
      </c>
      <c r="Z13" s="14">
        <v>0.48</v>
      </c>
      <c r="AA13" s="14">
        <v>0.72</v>
      </c>
      <c r="AB13" s="14">
        <v>0.42</v>
      </c>
      <c r="AC13" s="14">
        <v>0.5</v>
      </c>
      <c r="AD13" s="14">
        <v>0.62</v>
      </c>
      <c r="AE13" s="14">
        <v>0.37</v>
      </c>
      <c r="AF13" s="14">
        <v>0.26</v>
      </c>
    </row>
    <row r="14" spans="1:32" x14ac:dyDescent="0.35">
      <c r="A14" s="31"/>
      <c r="B14" s="11" t="s">
        <v>590</v>
      </c>
      <c r="C14" s="12">
        <v>10104</v>
      </c>
      <c r="D14" s="12">
        <v>389</v>
      </c>
      <c r="E14" s="12">
        <v>246</v>
      </c>
      <c r="F14" s="12">
        <v>291</v>
      </c>
      <c r="G14" s="12">
        <v>458</v>
      </c>
      <c r="H14" s="12">
        <v>510</v>
      </c>
      <c r="I14" s="12">
        <v>611</v>
      </c>
      <c r="J14" s="12">
        <v>101</v>
      </c>
      <c r="K14" s="12">
        <v>308</v>
      </c>
      <c r="L14" s="12">
        <v>231</v>
      </c>
      <c r="M14" s="12">
        <v>225</v>
      </c>
      <c r="N14" s="12">
        <v>377</v>
      </c>
      <c r="O14" s="12">
        <v>365</v>
      </c>
      <c r="P14" s="12">
        <v>336</v>
      </c>
      <c r="Q14" s="12">
        <v>447</v>
      </c>
      <c r="R14" s="12">
        <v>112</v>
      </c>
      <c r="S14" s="12">
        <v>306</v>
      </c>
      <c r="T14" s="12">
        <v>349</v>
      </c>
      <c r="U14" s="12">
        <v>206</v>
      </c>
      <c r="V14" s="12">
        <v>276</v>
      </c>
      <c r="W14" s="12">
        <v>136</v>
      </c>
      <c r="X14" s="12">
        <v>513</v>
      </c>
      <c r="Y14" s="12">
        <v>333</v>
      </c>
      <c r="Z14" s="12">
        <v>425</v>
      </c>
      <c r="AA14" s="12">
        <v>246</v>
      </c>
      <c r="AB14" s="12">
        <v>348</v>
      </c>
      <c r="AC14" s="12">
        <v>428</v>
      </c>
      <c r="AD14" s="12">
        <v>325</v>
      </c>
      <c r="AE14" s="12">
        <v>523</v>
      </c>
      <c r="AF14" s="12">
        <v>585</v>
      </c>
    </row>
    <row r="15" spans="1:32" x14ac:dyDescent="0.35">
      <c r="A15" s="31"/>
      <c r="B15" s="13" t="s">
        <v>591</v>
      </c>
      <c r="C15" s="14">
        <v>0.38</v>
      </c>
      <c r="D15" s="14">
        <v>0.38</v>
      </c>
      <c r="E15" s="14">
        <v>0.24</v>
      </c>
      <c r="F15" s="14">
        <v>0.28999999999999998</v>
      </c>
      <c r="G15" s="14">
        <v>0.45</v>
      </c>
      <c r="H15" s="14">
        <v>0.41</v>
      </c>
      <c r="I15" s="14">
        <v>0.4</v>
      </c>
      <c r="J15" s="14">
        <v>0.34</v>
      </c>
      <c r="K15" s="14">
        <v>0.31</v>
      </c>
      <c r="L15" s="14">
        <v>0.23</v>
      </c>
      <c r="M15" s="14">
        <v>0.23</v>
      </c>
      <c r="N15" s="14">
        <v>0.38</v>
      </c>
      <c r="O15" s="14">
        <v>0.36</v>
      </c>
      <c r="P15" s="14">
        <v>0.33</v>
      </c>
      <c r="Q15" s="14">
        <v>0.43</v>
      </c>
      <c r="R15" s="14">
        <v>0.22</v>
      </c>
      <c r="S15" s="14">
        <v>0.3</v>
      </c>
      <c r="T15" s="14">
        <v>0.34</v>
      </c>
      <c r="U15" s="14">
        <v>0.41</v>
      </c>
      <c r="V15" s="14">
        <v>0.27</v>
      </c>
      <c r="W15" s="14">
        <v>0.27</v>
      </c>
      <c r="X15" s="14">
        <v>0.51</v>
      </c>
      <c r="Y15" s="14">
        <v>0.33</v>
      </c>
      <c r="Z15" s="14">
        <v>0.42</v>
      </c>
      <c r="AA15" s="14">
        <v>0.24</v>
      </c>
      <c r="AB15" s="14">
        <v>0.33</v>
      </c>
      <c r="AC15" s="14">
        <v>0.42</v>
      </c>
      <c r="AD15" s="14">
        <v>0.32</v>
      </c>
      <c r="AE15" s="14">
        <v>0.52</v>
      </c>
      <c r="AF15" s="14">
        <v>0.57000000000000006</v>
      </c>
    </row>
    <row r="16" spans="1:32" x14ac:dyDescent="0.35">
      <c r="A16" s="31"/>
      <c r="B16" s="11" t="s">
        <v>592</v>
      </c>
      <c r="C16" s="12">
        <v>1812</v>
      </c>
      <c r="D16" s="12">
        <v>59</v>
      </c>
      <c r="E16" s="12">
        <v>51</v>
      </c>
      <c r="F16" s="12">
        <v>81</v>
      </c>
      <c r="G16" s="12">
        <v>87</v>
      </c>
      <c r="H16" s="12">
        <v>87</v>
      </c>
      <c r="I16" s="12">
        <v>116</v>
      </c>
      <c r="J16" s="12">
        <v>29</v>
      </c>
      <c r="K16" s="12">
        <v>49</v>
      </c>
      <c r="L16" s="12">
        <v>29</v>
      </c>
      <c r="M16" s="12">
        <v>10</v>
      </c>
      <c r="N16" s="12">
        <v>41</v>
      </c>
      <c r="O16" s="12">
        <v>45</v>
      </c>
      <c r="P16" s="12">
        <v>85</v>
      </c>
      <c r="Q16" s="12">
        <v>58</v>
      </c>
      <c r="R16" s="12">
        <v>25</v>
      </c>
      <c r="S16" s="12">
        <v>44</v>
      </c>
      <c r="T16" s="12">
        <v>30</v>
      </c>
      <c r="U16" s="12">
        <v>36</v>
      </c>
      <c r="V16" s="12">
        <v>77</v>
      </c>
      <c r="W16" s="12">
        <v>27</v>
      </c>
      <c r="X16" s="12">
        <v>126</v>
      </c>
      <c r="Y16" s="12">
        <v>87</v>
      </c>
      <c r="Z16" s="12">
        <v>75</v>
      </c>
      <c r="AA16" s="12">
        <v>28</v>
      </c>
      <c r="AB16" s="12">
        <v>193</v>
      </c>
      <c r="AC16" s="12">
        <v>60</v>
      </c>
      <c r="AD16" s="12">
        <v>50</v>
      </c>
      <c r="AE16" s="12">
        <v>102</v>
      </c>
      <c r="AF16" s="12">
        <v>159</v>
      </c>
    </row>
    <row r="17" spans="1:32" x14ac:dyDescent="0.35">
      <c r="A17" s="31"/>
      <c r="B17" s="13" t="s">
        <v>593</v>
      </c>
      <c r="C17" s="14">
        <v>7.0000000000000007E-2</v>
      </c>
      <c r="D17" s="14">
        <v>0.06</v>
      </c>
      <c r="E17" s="14">
        <v>0.05</v>
      </c>
      <c r="F17" s="14">
        <v>0.08</v>
      </c>
      <c r="G17" s="14">
        <v>0.09</v>
      </c>
      <c r="H17" s="14">
        <v>7.0000000000000007E-2</v>
      </c>
      <c r="I17" s="14">
        <v>0.08</v>
      </c>
      <c r="J17" s="14">
        <v>0.1</v>
      </c>
      <c r="K17" s="14">
        <v>0.05</v>
      </c>
      <c r="L17" s="14">
        <v>0.03</v>
      </c>
      <c r="M17" s="14">
        <v>0.01</v>
      </c>
      <c r="N17" s="14">
        <v>0.04</v>
      </c>
      <c r="O17" s="14">
        <v>0.05</v>
      </c>
      <c r="P17" s="14">
        <v>0.09</v>
      </c>
      <c r="Q17" s="14">
        <v>0.06</v>
      </c>
      <c r="R17" s="14">
        <v>0.05</v>
      </c>
      <c r="S17" s="14">
        <v>0.04</v>
      </c>
      <c r="T17" s="14">
        <v>0.03</v>
      </c>
      <c r="U17" s="14">
        <v>7.0000000000000007E-2</v>
      </c>
      <c r="V17" s="14">
        <v>0.08</v>
      </c>
      <c r="W17" s="14">
        <v>0.06</v>
      </c>
      <c r="X17" s="14">
        <v>0.12</v>
      </c>
      <c r="Y17" s="14">
        <v>0.09</v>
      </c>
      <c r="Z17" s="14">
        <v>7.0000000000000007E-2</v>
      </c>
      <c r="AA17" s="14">
        <v>0.03</v>
      </c>
      <c r="AB17" s="14">
        <v>0.18</v>
      </c>
      <c r="AC17" s="14">
        <v>0.06</v>
      </c>
      <c r="AD17" s="14">
        <v>0.05</v>
      </c>
      <c r="AE17" s="14">
        <v>0.1</v>
      </c>
      <c r="AF17" s="14">
        <v>0.16</v>
      </c>
    </row>
    <row r="18" spans="1:32" x14ac:dyDescent="0.35">
      <c r="A18" s="31"/>
      <c r="B18" s="11" t="s">
        <v>594</v>
      </c>
      <c r="C18" s="12">
        <v>365</v>
      </c>
      <c r="D18" s="12">
        <v>9</v>
      </c>
      <c r="E18" s="12">
        <v>14</v>
      </c>
      <c r="F18" s="12">
        <v>15</v>
      </c>
      <c r="G18" s="12">
        <v>12</v>
      </c>
      <c r="H18" s="12">
        <v>21</v>
      </c>
      <c r="I18" s="12">
        <v>23</v>
      </c>
      <c r="J18" s="12">
        <v>2</v>
      </c>
      <c r="K18" s="12">
        <v>4</v>
      </c>
      <c r="L18" s="12">
        <v>1</v>
      </c>
      <c r="M18" s="12">
        <v>1</v>
      </c>
      <c r="N18" s="12">
        <v>5</v>
      </c>
      <c r="O18" s="12">
        <v>10</v>
      </c>
      <c r="P18" s="12">
        <v>3</v>
      </c>
      <c r="Q18" s="12">
        <v>20</v>
      </c>
      <c r="R18" s="12">
        <v>8</v>
      </c>
      <c r="S18" s="12">
        <v>7</v>
      </c>
      <c r="T18" s="12">
        <v>5</v>
      </c>
      <c r="U18" s="12">
        <v>7</v>
      </c>
      <c r="V18" s="12">
        <v>8</v>
      </c>
      <c r="W18" s="12">
        <v>1</v>
      </c>
      <c r="X18" s="12">
        <v>9</v>
      </c>
      <c r="Y18" s="12">
        <v>19</v>
      </c>
      <c r="Z18" s="12">
        <v>17</v>
      </c>
      <c r="AA18" s="12">
        <v>3</v>
      </c>
      <c r="AB18" s="12">
        <v>68</v>
      </c>
      <c r="AC18" s="12">
        <v>14</v>
      </c>
      <c r="AD18" s="12">
        <v>6</v>
      </c>
      <c r="AE18" s="12">
        <v>4</v>
      </c>
      <c r="AF18" s="12">
        <v>9</v>
      </c>
    </row>
    <row r="19" spans="1:32" x14ac:dyDescent="0.35">
      <c r="A19" s="31"/>
      <c r="B19" s="13" t="s">
        <v>595</v>
      </c>
      <c r="C19" s="14">
        <v>0.02</v>
      </c>
      <c r="D19" s="14">
        <v>0.01</v>
      </c>
      <c r="E19" s="14">
        <v>0.01</v>
      </c>
      <c r="F19" s="14">
        <v>0.01</v>
      </c>
      <c r="G19" s="14">
        <v>0.01</v>
      </c>
      <c r="H19" s="14">
        <v>0.02</v>
      </c>
      <c r="I19" s="14">
        <v>0.01</v>
      </c>
      <c r="J19" s="15" t="s">
        <v>333</v>
      </c>
      <c r="K19" s="15" t="s">
        <v>333</v>
      </c>
      <c r="L19" s="15" t="s">
        <v>333</v>
      </c>
      <c r="M19" s="15" t="s">
        <v>333</v>
      </c>
      <c r="N19" s="14">
        <v>0.01</v>
      </c>
      <c r="O19" s="14">
        <v>0.01</v>
      </c>
      <c r="P19" s="15" t="s">
        <v>333</v>
      </c>
      <c r="Q19" s="14">
        <v>0.02</v>
      </c>
      <c r="R19" s="14">
        <v>0.02</v>
      </c>
      <c r="S19" s="14">
        <v>0.01</v>
      </c>
      <c r="T19" s="14">
        <v>0.01</v>
      </c>
      <c r="U19" s="14">
        <v>0.01</v>
      </c>
      <c r="V19" s="14">
        <v>0.01</v>
      </c>
      <c r="W19" s="15" t="s">
        <v>333</v>
      </c>
      <c r="X19" s="14">
        <v>0.01</v>
      </c>
      <c r="Y19" s="14">
        <v>0.02</v>
      </c>
      <c r="Z19" s="14">
        <v>0.02</v>
      </c>
      <c r="AA19" s="15" t="s">
        <v>333</v>
      </c>
      <c r="AB19" s="14">
        <v>0.06</v>
      </c>
      <c r="AC19" s="14">
        <v>0.02</v>
      </c>
      <c r="AD19" s="14">
        <v>0.01</v>
      </c>
      <c r="AE19" s="15" t="s">
        <v>333</v>
      </c>
      <c r="AF19" s="14">
        <v>0.01</v>
      </c>
    </row>
    <row r="20" spans="1:32" x14ac:dyDescent="0.35">
      <c r="A20" s="31"/>
      <c r="B20" s="11" t="s">
        <v>344</v>
      </c>
      <c r="C20" s="12">
        <v>97</v>
      </c>
      <c r="D20" s="12">
        <v>4</v>
      </c>
      <c r="E20" s="12">
        <v>3</v>
      </c>
      <c r="F20" s="12">
        <v>0</v>
      </c>
      <c r="G20" s="12">
        <v>2</v>
      </c>
      <c r="H20" s="12">
        <v>4</v>
      </c>
      <c r="I20" s="12">
        <v>4</v>
      </c>
      <c r="J20" s="12">
        <v>0</v>
      </c>
      <c r="K20" s="12">
        <v>4</v>
      </c>
      <c r="L20" s="12">
        <v>2</v>
      </c>
      <c r="M20" s="12">
        <v>1</v>
      </c>
      <c r="N20" s="12">
        <v>3</v>
      </c>
      <c r="O20" s="12">
        <v>4</v>
      </c>
      <c r="P20" s="12">
        <v>0</v>
      </c>
      <c r="Q20" s="12">
        <v>4</v>
      </c>
      <c r="R20" s="12">
        <v>3</v>
      </c>
      <c r="S20" s="12">
        <v>3</v>
      </c>
      <c r="T20" s="12">
        <v>1</v>
      </c>
      <c r="U20" s="12">
        <v>1</v>
      </c>
      <c r="V20" s="12">
        <v>1</v>
      </c>
      <c r="W20" s="12">
        <v>0</v>
      </c>
      <c r="X20" s="12">
        <v>1</v>
      </c>
      <c r="Y20" s="12">
        <v>3</v>
      </c>
      <c r="Z20" s="12">
        <v>9</v>
      </c>
      <c r="AA20" s="12">
        <v>9</v>
      </c>
      <c r="AB20" s="12">
        <v>8</v>
      </c>
      <c r="AC20" s="12">
        <v>1</v>
      </c>
      <c r="AD20" s="12">
        <v>1</v>
      </c>
      <c r="AE20" s="12">
        <v>5</v>
      </c>
      <c r="AF20" s="12">
        <v>0</v>
      </c>
    </row>
    <row r="21" spans="1:32" x14ac:dyDescent="0.35">
      <c r="A21" s="31"/>
      <c r="B21" s="13" t="s">
        <v>357</v>
      </c>
      <c r="C21" s="15" t="s">
        <v>333</v>
      </c>
      <c r="D21" s="15" t="s">
        <v>333</v>
      </c>
      <c r="E21" s="15" t="s">
        <v>333</v>
      </c>
      <c r="F21" s="15" t="s">
        <v>333</v>
      </c>
      <c r="G21" s="15" t="s">
        <v>333</v>
      </c>
      <c r="H21" s="15" t="s">
        <v>333</v>
      </c>
      <c r="I21" s="15" t="s">
        <v>333</v>
      </c>
      <c r="J21" s="15" t="s">
        <v>333</v>
      </c>
      <c r="K21" s="15" t="s">
        <v>333</v>
      </c>
      <c r="L21" s="15" t="s">
        <v>333</v>
      </c>
      <c r="M21" s="15" t="s">
        <v>333</v>
      </c>
      <c r="N21" s="15" t="s">
        <v>333</v>
      </c>
      <c r="O21" s="15" t="s">
        <v>333</v>
      </c>
      <c r="P21" s="15" t="s">
        <v>333</v>
      </c>
      <c r="Q21" s="15" t="s">
        <v>333</v>
      </c>
      <c r="R21" s="15" t="s">
        <v>333</v>
      </c>
      <c r="S21" s="15" t="s">
        <v>333</v>
      </c>
      <c r="T21" s="15" t="s">
        <v>333</v>
      </c>
      <c r="U21" s="15" t="s">
        <v>333</v>
      </c>
      <c r="V21" s="15" t="s">
        <v>333</v>
      </c>
      <c r="W21" s="15" t="s">
        <v>333</v>
      </c>
      <c r="X21" s="15" t="s">
        <v>333</v>
      </c>
      <c r="Y21" s="15" t="s">
        <v>333</v>
      </c>
      <c r="Z21" s="14">
        <v>0.01</v>
      </c>
      <c r="AA21" s="14">
        <v>0.01</v>
      </c>
      <c r="AB21" s="14">
        <v>0.01</v>
      </c>
      <c r="AC21" s="15" t="s">
        <v>333</v>
      </c>
      <c r="AD21" s="15" t="s">
        <v>333</v>
      </c>
      <c r="AE21" s="14">
        <v>0.01</v>
      </c>
      <c r="AF21" s="15" t="s">
        <v>333</v>
      </c>
    </row>
    <row r="22" spans="1:32" x14ac:dyDescent="0.35">
      <c r="A22" s="31"/>
      <c r="B22" s="11" t="s">
        <v>596</v>
      </c>
      <c r="C22" s="12">
        <v>24137</v>
      </c>
      <c r="D22" s="12">
        <v>953</v>
      </c>
      <c r="E22" s="12">
        <v>972</v>
      </c>
      <c r="F22" s="12">
        <v>922</v>
      </c>
      <c r="G22" s="12">
        <v>915</v>
      </c>
      <c r="H22" s="12">
        <v>1120</v>
      </c>
      <c r="I22" s="12">
        <v>1387</v>
      </c>
      <c r="J22" s="12">
        <v>267</v>
      </c>
      <c r="K22" s="12">
        <v>951</v>
      </c>
      <c r="L22" s="12">
        <v>973</v>
      </c>
      <c r="M22" s="12">
        <v>991</v>
      </c>
      <c r="N22" s="12">
        <v>951</v>
      </c>
      <c r="O22" s="12">
        <v>941</v>
      </c>
      <c r="P22" s="12">
        <v>916</v>
      </c>
      <c r="Q22" s="12">
        <v>953</v>
      </c>
      <c r="R22" s="12">
        <v>466</v>
      </c>
      <c r="S22" s="12">
        <v>967</v>
      </c>
      <c r="T22" s="12">
        <v>981</v>
      </c>
      <c r="U22" s="12">
        <v>465</v>
      </c>
      <c r="V22" s="12">
        <v>930</v>
      </c>
      <c r="W22" s="12">
        <v>473</v>
      </c>
      <c r="X22" s="12">
        <v>875</v>
      </c>
      <c r="Y22" s="12">
        <v>894</v>
      </c>
      <c r="Z22" s="12">
        <v>919</v>
      </c>
      <c r="AA22" s="12">
        <v>990</v>
      </c>
      <c r="AB22" s="12">
        <v>788</v>
      </c>
      <c r="AC22" s="12">
        <v>937</v>
      </c>
      <c r="AD22" s="12">
        <v>948</v>
      </c>
      <c r="AE22" s="12">
        <v>895</v>
      </c>
      <c r="AF22" s="12">
        <v>853</v>
      </c>
    </row>
    <row r="23" spans="1:32" x14ac:dyDescent="0.35">
      <c r="A23" s="31"/>
      <c r="B23" s="13" t="s">
        <v>596</v>
      </c>
      <c r="C23" s="14">
        <v>0.91</v>
      </c>
      <c r="D23" s="14">
        <v>0.93</v>
      </c>
      <c r="E23" s="14">
        <v>0.94000000000000006</v>
      </c>
      <c r="F23" s="14">
        <v>0.91</v>
      </c>
      <c r="G23" s="14">
        <v>0.9</v>
      </c>
      <c r="H23" s="14">
        <v>0.91</v>
      </c>
      <c r="I23" s="14">
        <v>0.91</v>
      </c>
      <c r="J23" s="14">
        <v>0.9</v>
      </c>
      <c r="K23" s="14">
        <v>0.95000000000000007</v>
      </c>
      <c r="L23" s="14">
        <v>0.97</v>
      </c>
      <c r="M23" s="14">
        <v>0.99</v>
      </c>
      <c r="N23" s="14">
        <v>0.95000000000000007</v>
      </c>
      <c r="O23" s="14">
        <v>0.94000000000000006</v>
      </c>
      <c r="P23" s="14">
        <v>0.91</v>
      </c>
      <c r="Q23" s="14">
        <v>0.92</v>
      </c>
      <c r="R23" s="14">
        <v>0.93</v>
      </c>
      <c r="S23" s="14">
        <v>0.95000000000000007</v>
      </c>
      <c r="T23" s="14">
        <v>0.96</v>
      </c>
      <c r="U23" s="14">
        <v>0.92</v>
      </c>
      <c r="V23" s="14">
        <v>0.91</v>
      </c>
      <c r="W23" s="14">
        <v>0.94000000000000006</v>
      </c>
      <c r="X23" s="14">
        <v>0.87</v>
      </c>
      <c r="Y23" s="14">
        <v>0.89</v>
      </c>
      <c r="Z23" s="14">
        <v>0.9</v>
      </c>
      <c r="AA23" s="14">
        <v>0.96</v>
      </c>
      <c r="AB23" s="14">
        <v>0.75</v>
      </c>
      <c r="AC23" s="14">
        <v>0.92</v>
      </c>
      <c r="AD23" s="14">
        <v>0.94000000000000006</v>
      </c>
      <c r="AE23" s="14">
        <v>0.89</v>
      </c>
      <c r="AF23" s="14">
        <v>0.83000000000000007</v>
      </c>
    </row>
    <row r="24" spans="1:32" x14ac:dyDescent="0.35">
      <c r="A24" s="31"/>
      <c r="B24" s="11" t="s">
        <v>597</v>
      </c>
      <c r="C24" s="12">
        <v>2177</v>
      </c>
      <c r="D24" s="12">
        <v>68</v>
      </c>
      <c r="E24" s="12">
        <v>65</v>
      </c>
      <c r="F24" s="12">
        <v>96</v>
      </c>
      <c r="G24" s="12">
        <v>99</v>
      </c>
      <c r="H24" s="12">
        <v>108</v>
      </c>
      <c r="I24" s="12">
        <v>139</v>
      </c>
      <c r="J24" s="12">
        <v>31</v>
      </c>
      <c r="K24" s="12">
        <v>53</v>
      </c>
      <c r="L24" s="12">
        <v>30</v>
      </c>
      <c r="M24" s="12">
        <v>11</v>
      </c>
      <c r="N24" s="12">
        <v>46</v>
      </c>
      <c r="O24" s="12">
        <v>55</v>
      </c>
      <c r="P24" s="12">
        <v>88</v>
      </c>
      <c r="Q24" s="12">
        <v>78</v>
      </c>
      <c r="R24" s="12">
        <v>33</v>
      </c>
      <c r="S24" s="12">
        <v>51</v>
      </c>
      <c r="T24" s="12">
        <v>35</v>
      </c>
      <c r="U24" s="12">
        <v>43</v>
      </c>
      <c r="V24" s="12">
        <v>85</v>
      </c>
      <c r="W24" s="12">
        <v>28</v>
      </c>
      <c r="X24" s="12">
        <v>135</v>
      </c>
      <c r="Y24" s="12">
        <v>106</v>
      </c>
      <c r="Z24" s="12">
        <v>92</v>
      </c>
      <c r="AA24" s="12">
        <v>31</v>
      </c>
      <c r="AB24" s="12">
        <v>261</v>
      </c>
      <c r="AC24" s="12">
        <v>74</v>
      </c>
      <c r="AD24" s="12">
        <v>56</v>
      </c>
      <c r="AE24" s="12">
        <v>106</v>
      </c>
      <c r="AF24" s="12">
        <v>168</v>
      </c>
    </row>
    <row r="25" spans="1:32" x14ac:dyDescent="0.35">
      <c r="A25" s="31"/>
      <c r="B25" s="13" t="s">
        <v>598</v>
      </c>
      <c r="C25" s="14">
        <v>0.09</v>
      </c>
      <c r="D25" s="14">
        <v>7.0000000000000007E-2</v>
      </c>
      <c r="E25" s="14">
        <v>0.06</v>
      </c>
      <c r="F25" s="14">
        <v>0.09</v>
      </c>
      <c r="G25" s="14">
        <v>0.1</v>
      </c>
      <c r="H25" s="14">
        <v>0.09</v>
      </c>
      <c r="I25" s="14">
        <v>0.09</v>
      </c>
      <c r="J25" s="14">
        <v>0.1</v>
      </c>
      <c r="K25" s="14">
        <v>0.05</v>
      </c>
      <c r="L25" s="14">
        <v>0.03</v>
      </c>
      <c r="M25" s="14">
        <v>0.01</v>
      </c>
      <c r="N25" s="14">
        <v>0.05</v>
      </c>
      <c r="O25" s="14">
        <v>0.06</v>
      </c>
      <c r="P25" s="14">
        <v>0.09</v>
      </c>
      <c r="Q25" s="14">
        <v>0.08</v>
      </c>
      <c r="R25" s="14">
        <v>7.0000000000000007E-2</v>
      </c>
      <c r="S25" s="14">
        <v>0.05</v>
      </c>
      <c r="T25" s="14">
        <v>0.04</v>
      </c>
      <c r="U25" s="14">
        <v>0.08</v>
      </c>
      <c r="V25" s="14">
        <v>0.09</v>
      </c>
      <c r="W25" s="14">
        <v>0.06</v>
      </c>
      <c r="X25" s="14">
        <v>0.13</v>
      </c>
      <c r="Y25" s="14">
        <v>0.11</v>
      </c>
      <c r="Z25" s="14">
        <v>0.09</v>
      </c>
      <c r="AA25" s="14">
        <v>0.03</v>
      </c>
      <c r="AB25" s="14">
        <v>0.24</v>
      </c>
      <c r="AC25" s="14">
        <v>0.08</v>
      </c>
      <c r="AD25" s="14">
        <v>0.06</v>
      </c>
      <c r="AE25" s="14">
        <v>0.1</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837</v>
      </c>
      <c r="C3" s="30"/>
      <c r="D3" s="30"/>
      <c r="E3" s="30"/>
      <c r="F3" s="30"/>
      <c r="H3" s="30" t="s">
        <v>838</v>
      </c>
      <c r="I3" s="30"/>
      <c r="J3" s="30"/>
      <c r="K3" s="30"/>
      <c r="L3" s="30"/>
    </row>
    <row r="4" spans="1:32" ht="27" customHeight="1" x14ac:dyDescent="0.35">
      <c r="B4" s="30" t="s">
        <v>839</v>
      </c>
      <c r="C4" s="30"/>
      <c r="D4" s="30"/>
      <c r="E4" s="30"/>
      <c r="F4" s="30"/>
      <c r="H4" s="30" t="s">
        <v>840</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15821</v>
      </c>
      <c r="D12" s="12">
        <v>658</v>
      </c>
      <c r="E12" s="12">
        <v>734</v>
      </c>
      <c r="F12" s="12">
        <v>674</v>
      </c>
      <c r="G12" s="12">
        <v>618</v>
      </c>
      <c r="H12" s="12">
        <v>807</v>
      </c>
      <c r="I12" s="12">
        <v>998</v>
      </c>
      <c r="J12" s="12">
        <v>191</v>
      </c>
      <c r="K12" s="12">
        <v>572</v>
      </c>
      <c r="L12" s="12">
        <v>718</v>
      </c>
      <c r="M12" s="12">
        <v>789</v>
      </c>
      <c r="N12" s="12">
        <v>616</v>
      </c>
      <c r="O12" s="12">
        <v>580</v>
      </c>
      <c r="P12" s="12">
        <v>486</v>
      </c>
      <c r="Q12" s="12">
        <v>599</v>
      </c>
      <c r="R12" s="12">
        <v>382</v>
      </c>
      <c r="S12" s="12">
        <v>700</v>
      </c>
      <c r="T12" s="12">
        <v>612</v>
      </c>
      <c r="U12" s="12">
        <v>358</v>
      </c>
      <c r="V12" s="12">
        <v>583</v>
      </c>
      <c r="W12" s="12">
        <v>373</v>
      </c>
      <c r="X12" s="12">
        <v>626</v>
      </c>
      <c r="Y12" s="12">
        <v>576</v>
      </c>
      <c r="Z12" s="12">
        <v>464</v>
      </c>
      <c r="AA12" s="12">
        <v>682</v>
      </c>
      <c r="AB12" s="12">
        <v>425</v>
      </c>
      <c r="AC12" s="12">
        <v>740</v>
      </c>
      <c r="AD12" s="12">
        <v>727</v>
      </c>
      <c r="AE12" s="12">
        <v>598</v>
      </c>
      <c r="AF12" s="12">
        <v>616</v>
      </c>
    </row>
    <row r="13" spans="1:32" x14ac:dyDescent="0.35">
      <c r="A13" s="31"/>
      <c r="B13" s="13" t="s">
        <v>589</v>
      </c>
      <c r="C13" s="14">
        <v>0.6</v>
      </c>
      <c r="D13" s="14">
        <v>0.64</v>
      </c>
      <c r="E13" s="14">
        <v>0.71</v>
      </c>
      <c r="F13" s="14">
        <v>0.66</v>
      </c>
      <c r="G13" s="14">
        <v>0.61</v>
      </c>
      <c r="H13" s="14">
        <v>0.65</v>
      </c>
      <c r="I13" s="14">
        <v>0.65</v>
      </c>
      <c r="J13" s="14">
        <v>0.64</v>
      </c>
      <c r="K13" s="14">
        <v>0.57000000000000006</v>
      </c>
      <c r="L13" s="14">
        <v>0.72</v>
      </c>
      <c r="M13" s="14">
        <v>0.79</v>
      </c>
      <c r="N13" s="14">
        <v>0.62</v>
      </c>
      <c r="O13" s="14">
        <v>0.57999999999999996</v>
      </c>
      <c r="P13" s="14">
        <v>0.49</v>
      </c>
      <c r="Q13" s="14">
        <v>0.57999999999999996</v>
      </c>
      <c r="R13" s="14">
        <v>0.76</v>
      </c>
      <c r="S13" s="14">
        <v>0.69000000000000006</v>
      </c>
      <c r="T13" s="14">
        <v>0.6</v>
      </c>
      <c r="U13" s="14">
        <v>0.70000000000000007</v>
      </c>
      <c r="V13" s="14">
        <v>0.57000000000000006</v>
      </c>
      <c r="W13" s="14">
        <v>0.75</v>
      </c>
      <c r="X13" s="14">
        <v>0.62</v>
      </c>
      <c r="Y13" s="14">
        <v>0.57999999999999996</v>
      </c>
      <c r="Z13" s="14">
        <v>0.45</v>
      </c>
      <c r="AA13" s="14">
        <v>0.66</v>
      </c>
      <c r="AB13" s="14">
        <v>0.4</v>
      </c>
      <c r="AC13" s="14">
        <v>0.73</v>
      </c>
      <c r="AD13" s="14">
        <v>0.72</v>
      </c>
      <c r="AE13" s="14">
        <v>0.6</v>
      </c>
      <c r="AF13" s="14">
        <v>0.61</v>
      </c>
    </row>
    <row r="14" spans="1:32" x14ac:dyDescent="0.35">
      <c r="A14" s="31"/>
      <c r="B14" s="11" t="s">
        <v>590</v>
      </c>
      <c r="C14" s="12">
        <v>9003</v>
      </c>
      <c r="D14" s="12">
        <v>315</v>
      </c>
      <c r="E14" s="12">
        <v>236</v>
      </c>
      <c r="F14" s="12">
        <v>264</v>
      </c>
      <c r="G14" s="12">
        <v>359</v>
      </c>
      <c r="H14" s="12">
        <v>378</v>
      </c>
      <c r="I14" s="12">
        <v>473</v>
      </c>
      <c r="J14" s="12">
        <v>95</v>
      </c>
      <c r="K14" s="12">
        <v>380</v>
      </c>
      <c r="L14" s="12">
        <v>263</v>
      </c>
      <c r="M14" s="12">
        <v>201</v>
      </c>
      <c r="N14" s="12">
        <v>351</v>
      </c>
      <c r="O14" s="12">
        <v>369</v>
      </c>
      <c r="P14" s="12">
        <v>426</v>
      </c>
      <c r="Q14" s="12">
        <v>355</v>
      </c>
      <c r="R14" s="12">
        <v>80</v>
      </c>
      <c r="S14" s="12">
        <v>287</v>
      </c>
      <c r="T14" s="12">
        <v>364</v>
      </c>
      <c r="U14" s="12">
        <v>134</v>
      </c>
      <c r="V14" s="12">
        <v>371</v>
      </c>
      <c r="W14" s="12">
        <v>107</v>
      </c>
      <c r="X14" s="12">
        <v>326</v>
      </c>
      <c r="Y14" s="12">
        <v>372</v>
      </c>
      <c r="Z14" s="12">
        <v>459</v>
      </c>
      <c r="AA14" s="12">
        <v>310</v>
      </c>
      <c r="AB14" s="12">
        <v>381</v>
      </c>
      <c r="AC14" s="12">
        <v>244</v>
      </c>
      <c r="AD14" s="12">
        <v>245</v>
      </c>
      <c r="AE14" s="12">
        <v>382</v>
      </c>
      <c r="AF14" s="12">
        <v>390</v>
      </c>
    </row>
    <row r="15" spans="1:32" x14ac:dyDescent="0.35">
      <c r="A15" s="31"/>
      <c r="B15" s="13" t="s">
        <v>591</v>
      </c>
      <c r="C15" s="14">
        <v>0.34</v>
      </c>
      <c r="D15" s="14">
        <v>0.31</v>
      </c>
      <c r="E15" s="14">
        <v>0.23</v>
      </c>
      <c r="F15" s="14">
        <v>0.26</v>
      </c>
      <c r="G15" s="14">
        <v>0.35</v>
      </c>
      <c r="H15" s="14">
        <v>0.31</v>
      </c>
      <c r="I15" s="14">
        <v>0.31</v>
      </c>
      <c r="J15" s="14">
        <v>0.32</v>
      </c>
      <c r="K15" s="14">
        <v>0.38</v>
      </c>
      <c r="L15" s="14">
        <v>0.26</v>
      </c>
      <c r="M15" s="14">
        <v>0.2</v>
      </c>
      <c r="N15" s="14">
        <v>0.35</v>
      </c>
      <c r="O15" s="14">
        <v>0.37</v>
      </c>
      <c r="P15" s="14">
        <v>0.42</v>
      </c>
      <c r="Q15" s="14">
        <v>0.34</v>
      </c>
      <c r="R15" s="14">
        <v>0.16</v>
      </c>
      <c r="S15" s="14">
        <v>0.28000000000000003</v>
      </c>
      <c r="T15" s="14">
        <v>0.36</v>
      </c>
      <c r="U15" s="14">
        <v>0.27</v>
      </c>
      <c r="V15" s="14">
        <v>0.37</v>
      </c>
      <c r="W15" s="14">
        <v>0.21</v>
      </c>
      <c r="X15" s="14">
        <v>0.32</v>
      </c>
      <c r="Y15" s="14">
        <v>0.37</v>
      </c>
      <c r="Z15" s="14">
        <v>0.45</v>
      </c>
      <c r="AA15" s="14">
        <v>0.3</v>
      </c>
      <c r="AB15" s="14">
        <v>0.36</v>
      </c>
      <c r="AC15" s="14">
        <v>0.24</v>
      </c>
      <c r="AD15" s="14">
        <v>0.25</v>
      </c>
      <c r="AE15" s="14">
        <v>0.38</v>
      </c>
      <c r="AF15" s="14">
        <v>0.38</v>
      </c>
    </row>
    <row r="16" spans="1:32" x14ac:dyDescent="0.35">
      <c r="A16" s="31"/>
      <c r="B16" s="11" t="s">
        <v>592</v>
      </c>
      <c r="C16" s="12">
        <v>1216</v>
      </c>
      <c r="D16" s="12">
        <v>43</v>
      </c>
      <c r="E16" s="12">
        <v>49</v>
      </c>
      <c r="F16" s="12">
        <v>68</v>
      </c>
      <c r="G16" s="12">
        <v>33</v>
      </c>
      <c r="H16" s="12">
        <v>37</v>
      </c>
      <c r="I16" s="12">
        <v>48</v>
      </c>
      <c r="J16" s="12">
        <v>11</v>
      </c>
      <c r="K16" s="12">
        <v>43</v>
      </c>
      <c r="L16" s="12">
        <v>18</v>
      </c>
      <c r="M16" s="12">
        <v>12</v>
      </c>
      <c r="N16" s="12">
        <v>25</v>
      </c>
      <c r="O16" s="12">
        <v>28</v>
      </c>
      <c r="P16" s="12">
        <v>84</v>
      </c>
      <c r="Q16" s="12">
        <v>64</v>
      </c>
      <c r="R16" s="12">
        <v>25</v>
      </c>
      <c r="S16" s="12">
        <v>28</v>
      </c>
      <c r="T16" s="12">
        <v>38</v>
      </c>
      <c r="U16" s="12">
        <v>10</v>
      </c>
      <c r="V16" s="12">
        <v>53</v>
      </c>
      <c r="W16" s="12">
        <v>18</v>
      </c>
      <c r="X16" s="12">
        <v>55</v>
      </c>
      <c r="Y16" s="12">
        <v>43</v>
      </c>
      <c r="Z16" s="12">
        <v>77</v>
      </c>
      <c r="AA16" s="12">
        <v>28</v>
      </c>
      <c r="AB16" s="12">
        <v>184</v>
      </c>
      <c r="AC16" s="12">
        <v>24</v>
      </c>
      <c r="AD16" s="12">
        <v>28</v>
      </c>
      <c r="AE16" s="12">
        <v>21</v>
      </c>
      <c r="AF16" s="12">
        <v>13</v>
      </c>
    </row>
    <row r="17" spans="1:32" x14ac:dyDescent="0.35">
      <c r="A17" s="31"/>
      <c r="B17" s="13" t="s">
        <v>593</v>
      </c>
      <c r="C17" s="14">
        <v>0.05</v>
      </c>
      <c r="D17" s="14">
        <v>0.04</v>
      </c>
      <c r="E17" s="14">
        <v>0.05</v>
      </c>
      <c r="F17" s="14">
        <v>7.0000000000000007E-2</v>
      </c>
      <c r="G17" s="14">
        <v>0.03</v>
      </c>
      <c r="H17" s="14">
        <v>0.03</v>
      </c>
      <c r="I17" s="14">
        <v>0.03</v>
      </c>
      <c r="J17" s="14">
        <v>0.04</v>
      </c>
      <c r="K17" s="14">
        <v>0.04</v>
      </c>
      <c r="L17" s="14">
        <v>0.02</v>
      </c>
      <c r="M17" s="14">
        <v>0.01</v>
      </c>
      <c r="N17" s="14">
        <v>0.03</v>
      </c>
      <c r="O17" s="14">
        <v>0.03</v>
      </c>
      <c r="P17" s="14">
        <v>0.08</v>
      </c>
      <c r="Q17" s="14">
        <v>0.06</v>
      </c>
      <c r="R17" s="14">
        <v>0.05</v>
      </c>
      <c r="S17" s="14">
        <v>0.03</v>
      </c>
      <c r="T17" s="14">
        <v>0.04</v>
      </c>
      <c r="U17" s="14">
        <v>0.02</v>
      </c>
      <c r="V17" s="14">
        <v>0.05</v>
      </c>
      <c r="W17" s="14">
        <v>0.04</v>
      </c>
      <c r="X17" s="14">
        <v>0.06</v>
      </c>
      <c r="Y17" s="14">
        <v>0.04</v>
      </c>
      <c r="Z17" s="14">
        <v>0.08</v>
      </c>
      <c r="AA17" s="14">
        <v>0.03</v>
      </c>
      <c r="AB17" s="14">
        <v>0.17</v>
      </c>
      <c r="AC17" s="14">
        <v>0.02</v>
      </c>
      <c r="AD17" s="14">
        <v>0.03</v>
      </c>
      <c r="AE17" s="14">
        <v>0.02</v>
      </c>
      <c r="AF17" s="14">
        <v>0.01</v>
      </c>
    </row>
    <row r="18" spans="1:32" x14ac:dyDescent="0.35">
      <c r="A18" s="31"/>
      <c r="B18" s="11" t="s">
        <v>594</v>
      </c>
      <c r="C18" s="12">
        <v>267</v>
      </c>
      <c r="D18" s="12">
        <v>7</v>
      </c>
      <c r="E18" s="12">
        <v>14</v>
      </c>
      <c r="F18" s="12">
        <v>11</v>
      </c>
      <c r="G18" s="12">
        <v>5</v>
      </c>
      <c r="H18" s="12">
        <v>6</v>
      </c>
      <c r="I18" s="12">
        <v>7</v>
      </c>
      <c r="J18" s="12">
        <v>1</v>
      </c>
      <c r="K18" s="12">
        <v>6</v>
      </c>
      <c r="L18" s="12">
        <v>1</v>
      </c>
      <c r="M18" s="12">
        <v>2</v>
      </c>
      <c r="N18" s="12">
        <v>5</v>
      </c>
      <c r="O18" s="12">
        <v>16</v>
      </c>
      <c r="P18" s="12">
        <v>8</v>
      </c>
      <c r="Q18" s="12">
        <v>12</v>
      </c>
      <c r="R18" s="12">
        <v>9</v>
      </c>
      <c r="S18" s="12">
        <v>3</v>
      </c>
      <c r="T18" s="12">
        <v>3</v>
      </c>
      <c r="U18" s="12">
        <v>7</v>
      </c>
      <c r="V18" s="12">
        <v>8</v>
      </c>
      <c r="W18" s="12">
        <v>2</v>
      </c>
      <c r="X18" s="12">
        <v>4</v>
      </c>
      <c r="Y18" s="12">
        <v>10</v>
      </c>
      <c r="Z18" s="12">
        <v>12</v>
      </c>
      <c r="AA18" s="12">
        <v>2</v>
      </c>
      <c r="AB18" s="12">
        <v>58</v>
      </c>
      <c r="AC18" s="12">
        <v>5</v>
      </c>
      <c r="AD18" s="12">
        <v>3</v>
      </c>
      <c r="AE18" s="12">
        <v>3</v>
      </c>
      <c r="AF18" s="12">
        <v>2</v>
      </c>
    </row>
    <row r="19" spans="1:32" x14ac:dyDescent="0.35">
      <c r="A19" s="31"/>
      <c r="B19" s="13" t="s">
        <v>595</v>
      </c>
      <c r="C19" s="14">
        <v>0.01</v>
      </c>
      <c r="D19" s="14">
        <v>0.01</v>
      </c>
      <c r="E19" s="14">
        <v>0.01</v>
      </c>
      <c r="F19" s="14">
        <v>0.01</v>
      </c>
      <c r="G19" s="14">
        <v>0.01</v>
      </c>
      <c r="H19" s="14">
        <v>0.01</v>
      </c>
      <c r="I19" s="14">
        <v>0.01</v>
      </c>
      <c r="J19" s="15" t="s">
        <v>333</v>
      </c>
      <c r="K19" s="15" t="s">
        <v>333</v>
      </c>
      <c r="L19" s="15" t="s">
        <v>333</v>
      </c>
      <c r="M19" s="15" t="s">
        <v>333</v>
      </c>
      <c r="N19" s="15" t="s">
        <v>333</v>
      </c>
      <c r="O19" s="14">
        <v>0.01</v>
      </c>
      <c r="P19" s="14">
        <v>0.01</v>
      </c>
      <c r="Q19" s="14">
        <v>0.01</v>
      </c>
      <c r="R19" s="14">
        <v>0.02</v>
      </c>
      <c r="S19" s="15" t="s">
        <v>333</v>
      </c>
      <c r="T19" s="15" t="s">
        <v>333</v>
      </c>
      <c r="U19" s="14">
        <v>0.01</v>
      </c>
      <c r="V19" s="14">
        <v>0.01</v>
      </c>
      <c r="W19" s="15" t="s">
        <v>333</v>
      </c>
      <c r="X19" s="15" t="s">
        <v>333</v>
      </c>
      <c r="Y19" s="14">
        <v>0.01</v>
      </c>
      <c r="Z19" s="14">
        <v>0.01</v>
      </c>
      <c r="AA19" s="15" t="s">
        <v>333</v>
      </c>
      <c r="AB19" s="14">
        <v>0.06</v>
      </c>
      <c r="AC19" s="14">
        <v>0.01</v>
      </c>
      <c r="AD19" s="15" t="s">
        <v>333</v>
      </c>
      <c r="AE19" s="15" t="s">
        <v>333</v>
      </c>
      <c r="AF19" s="15" t="s">
        <v>333</v>
      </c>
    </row>
    <row r="20" spans="1:32" x14ac:dyDescent="0.35">
      <c r="A20" s="31"/>
      <c r="B20" s="11" t="s">
        <v>344</v>
      </c>
      <c r="C20" s="12">
        <v>103</v>
      </c>
      <c r="D20" s="12">
        <v>3</v>
      </c>
      <c r="E20" s="12">
        <v>5</v>
      </c>
      <c r="F20" s="12">
        <v>1</v>
      </c>
      <c r="G20" s="12">
        <v>2</v>
      </c>
      <c r="H20" s="12">
        <v>4</v>
      </c>
      <c r="I20" s="12">
        <v>4</v>
      </c>
      <c r="J20" s="12">
        <v>0</v>
      </c>
      <c r="K20" s="12">
        <v>9</v>
      </c>
      <c r="L20" s="12">
        <v>3</v>
      </c>
      <c r="M20" s="12">
        <v>0</v>
      </c>
      <c r="N20" s="12">
        <v>3</v>
      </c>
      <c r="O20" s="12">
        <v>6</v>
      </c>
      <c r="P20" s="12">
        <v>0</v>
      </c>
      <c r="Q20" s="12">
        <v>5</v>
      </c>
      <c r="R20" s="12">
        <v>4</v>
      </c>
      <c r="S20" s="12">
        <v>2</v>
      </c>
      <c r="T20" s="12">
        <v>0</v>
      </c>
      <c r="U20" s="12">
        <v>0</v>
      </c>
      <c r="V20" s="12">
        <v>0</v>
      </c>
      <c r="W20" s="12">
        <v>0</v>
      </c>
      <c r="X20" s="12">
        <v>0</v>
      </c>
      <c r="Y20" s="12">
        <v>2</v>
      </c>
      <c r="Z20" s="12">
        <v>8</v>
      </c>
      <c r="AA20" s="12">
        <v>9</v>
      </c>
      <c r="AB20" s="12">
        <v>8</v>
      </c>
      <c r="AC20" s="12">
        <v>1</v>
      </c>
      <c r="AD20" s="12">
        <v>0</v>
      </c>
      <c r="AE20" s="12">
        <v>2</v>
      </c>
      <c r="AF20" s="12">
        <v>0</v>
      </c>
    </row>
    <row r="21" spans="1:32" x14ac:dyDescent="0.35">
      <c r="A21" s="31"/>
      <c r="B21" s="13" t="s">
        <v>357</v>
      </c>
      <c r="C21" s="15" t="s">
        <v>333</v>
      </c>
      <c r="D21" s="15" t="s">
        <v>333</v>
      </c>
      <c r="E21" s="15" t="s">
        <v>333</v>
      </c>
      <c r="F21" s="15" t="s">
        <v>333</v>
      </c>
      <c r="G21" s="15" t="s">
        <v>333</v>
      </c>
      <c r="H21" s="15" t="s">
        <v>333</v>
      </c>
      <c r="I21" s="15" t="s">
        <v>333</v>
      </c>
      <c r="J21" s="15" t="s">
        <v>333</v>
      </c>
      <c r="K21" s="14">
        <v>0.01</v>
      </c>
      <c r="L21" s="15" t="s">
        <v>333</v>
      </c>
      <c r="M21" s="15" t="s">
        <v>333</v>
      </c>
      <c r="N21" s="15" t="s">
        <v>333</v>
      </c>
      <c r="O21" s="14">
        <v>0.01</v>
      </c>
      <c r="P21" s="15" t="s">
        <v>333</v>
      </c>
      <c r="Q21" s="14">
        <v>0.01</v>
      </c>
      <c r="R21" s="14">
        <v>0.01</v>
      </c>
      <c r="S21" s="15" t="s">
        <v>333</v>
      </c>
      <c r="T21" s="15" t="s">
        <v>333</v>
      </c>
      <c r="U21" s="15" t="s">
        <v>333</v>
      </c>
      <c r="V21" s="15" t="s">
        <v>333</v>
      </c>
      <c r="W21" s="15" t="s">
        <v>333</v>
      </c>
      <c r="X21" s="15" t="s">
        <v>333</v>
      </c>
      <c r="Y21" s="15" t="s">
        <v>333</v>
      </c>
      <c r="Z21" s="14">
        <v>0.01</v>
      </c>
      <c r="AA21" s="14">
        <v>0.01</v>
      </c>
      <c r="AB21" s="14">
        <v>0.01</v>
      </c>
      <c r="AC21" s="15" t="s">
        <v>333</v>
      </c>
      <c r="AD21" s="15" t="s">
        <v>333</v>
      </c>
      <c r="AE21" s="15" t="s">
        <v>333</v>
      </c>
      <c r="AF21" s="15" t="s">
        <v>333</v>
      </c>
    </row>
    <row r="22" spans="1:32" x14ac:dyDescent="0.35">
      <c r="A22" s="31"/>
      <c r="B22" s="11" t="s">
        <v>596</v>
      </c>
      <c r="C22" s="12">
        <v>24824</v>
      </c>
      <c r="D22" s="12">
        <v>973</v>
      </c>
      <c r="E22" s="12">
        <v>970</v>
      </c>
      <c r="F22" s="12">
        <v>938</v>
      </c>
      <c r="G22" s="12">
        <v>977</v>
      </c>
      <c r="H22" s="12">
        <v>1185</v>
      </c>
      <c r="I22" s="12">
        <v>1471</v>
      </c>
      <c r="J22" s="12">
        <v>286</v>
      </c>
      <c r="K22" s="12">
        <v>952</v>
      </c>
      <c r="L22" s="12">
        <v>981</v>
      </c>
      <c r="M22" s="12">
        <v>990</v>
      </c>
      <c r="N22" s="12">
        <v>967</v>
      </c>
      <c r="O22" s="12">
        <v>949</v>
      </c>
      <c r="P22" s="12">
        <v>912</v>
      </c>
      <c r="Q22" s="12">
        <v>954</v>
      </c>
      <c r="R22" s="12">
        <v>462</v>
      </c>
      <c r="S22" s="12">
        <v>987</v>
      </c>
      <c r="T22" s="12">
        <v>976</v>
      </c>
      <c r="U22" s="12">
        <v>492</v>
      </c>
      <c r="V22" s="12">
        <v>954</v>
      </c>
      <c r="W22" s="12">
        <v>480</v>
      </c>
      <c r="X22" s="12">
        <v>952</v>
      </c>
      <c r="Y22" s="12">
        <v>948</v>
      </c>
      <c r="Z22" s="12">
        <v>923</v>
      </c>
      <c r="AA22" s="12">
        <v>992</v>
      </c>
      <c r="AB22" s="12">
        <v>806</v>
      </c>
      <c r="AC22" s="12">
        <v>984</v>
      </c>
      <c r="AD22" s="12">
        <v>972</v>
      </c>
      <c r="AE22" s="12">
        <v>980</v>
      </c>
      <c r="AF22" s="12">
        <v>1006</v>
      </c>
    </row>
    <row r="23" spans="1:32" x14ac:dyDescent="0.35">
      <c r="A23" s="31"/>
      <c r="B23" s="13" t="s">
        <v>596</v>
      </c>
      <c r="C23" s="14">
        <v>0.94000000000000006</v>
      </c>
      <c r="D23" s="14">
        <v>0.95000000000000007</v>
      </c>
      <c r="E23" s="14">
        <v>0.94000000000000006</v>
      </c>
      <c r="F23" s="14">
        <v>0.92</v>
      </c>
      <c r="G23" s="14">
        <v>0.96</v>
      </c>
      <c r="H23" s="14">
        <v>0.96</v>
      </c>
      <c r="I23" s="14">
        <v>0.96</v>
      </c>
      <c r="J23" s="14">
        <v>0.96</v>
      </c>
      <c r="K23" s="14">
        <v>0.95000000000000007</v>
      </c>
      <c r="L23" s="14">
        <v>0.98</v>
      </c>
      <c r="M23" s="14">
        <v>0.99</v>
      </c>
      <c r="N23" s="14">
        <v>0.97</v>
      </c>
      <c r="O23" s="14">
        <v>0.95000000000000007</v>
      </c>
      <c r="P23" s="14">
        <v>0.91</v>
      </c>
      <c r="Q23" s="14">
        <v>0.92</v>
      </c>
      <c r="R23" s="14">
        <v>0.92</v>
      </c>
      <c r="S23" s="14">
        <v>0.97</v>
      </c>
      <c r="T23" s="14">
        <v>0.96</v>
      </c>
      <c r="U23" s="14">
        <v>0.97</v>
      </c>
      <c r="V23" s="14">
        <v>0.94000000000000006</v>
      </c>
      <c r="W23" s="14">
        <v>0.96</v>
      </c>
      <c r="X23" s="14">
        <v>0.94000000000000006</v>
      </c>
      <c r="Y23" s="14">
        <v>0.95000000000000007</v>
      </c>
      <c r="Z23" s="14">
        <v>0.9</v>
      </c>
      <c r="AA23" s="14">
        <v>0.96</v>
      </c>
      <c r="AB23" s="14">
        <v>0.76</v>
      </c>
      <c r="AC23" s="14">
        <v>0.97</v>
      </c>
      <c r="AD23" s="14">
        <v>0.97</v>
      </c>
      <c r="AE23" s="14">
        <v>0.98</v>
      </c>
      <c r="AF23" s="14">
        <v>0.99</v>
      </c>
    </row>
    <row r="24" spans="1:32" x14ac:dyDescent="0.35">
      <c r="A24" s="31"/>
      <c r="B24" s="11" t="s">
        <v>597</v>
      </c>
      <c r="C24" s="12">
        <v>1483</v>
      </c>
      <c r="D24" s="12">
        <v>50</v>
      </c>
      <c r="E24" s="12">
        <v>63</v>
      </c>
      <c r="F24" s="12">
        <v>79</v>
      </c>
      <c r="G24" s="12">
        <v>38</v>
      </c>
      <c r="H24" s="12">
        <v>43</v>
      </c>
      <c r="I24" s="12">
        <v>55</v>
      </c>
      <c r="J24" s="12">
        <v>12</v>
      </c>
      <c r="K24" s="12">
        <v>49</v>
      </c>
      <c r="L24" s="12">
        <v>19</v>
      </c>
      <c r="M24" s="12">
        <v>14</v>
      </c>
      <c r="N24" s="12">
        <v>30</v>
      </c>
      <c r="O24" s="12">
        <v>44</v>
      </c>
      <c r="P24" s="12">
        <v>92</v>
      </c>
      <c r="Q24" s="12">
        <v>76</v>
      </c>
      <c r="R24" s="12">
        <v>34</v>
      </c>
      <c r="S24" s="12">
        <v>31</v>
      </c>
      <c r="T24" s="12">
        <v>41</v>
      </c>
      <c r="U24" s="12">
        <v>17</v>
      </c>
      <c r="V24" s="12">
        <v>61</v>
      </c>
      <c r="W24" s="12">
        <v>20</v>
      </c>
      <c r="X24" s="12">
        <v>59</v>
      </c>
      <c r="Y24" s="12">
        <v>53</v>
      </c>
      <c r="Z24" s="12">
        <v>89</v>
      </c>
      <c r="AA24" s="12">
        <v>30</v>
      </c>
      <c r="AB24" s="12">
        <v>242</v>
      </c>
      <c r="AC24" s="12">
        <v>29</v>
      </c>
      <c r="AD24" s="12">
        <v>31</v>
      </c>
      <c r="AE24" s="12">
        <v>24</v>
      </c>
      <c r="AF24" s="12">
        <v>15</v>
      </c>
    </row>
    <row r="25" spans="1:32" x14ac:dyDescent="0.35">
      <c r="A25" s="31"/>
      <c r="B25" s="13" t="s">
        <v>598</v>
      </c>
      <c r="C25" s="14">
        <v>0.06</v>
      </c>
      <c r="D25" s="14">
        <v>0.05</v>
      </c>
      <c r="E25" s="14">
        <v>0.06</v>
      </c>
      <c r="F25" s="14">
        <v>0.08</v>
      </c>
      <c r="G25" s="14">
        <v>0.04</v>
      </c>
      <c r="H25" s="14">
        <v>0.04</v>
      </c>
      <c r="I25" s="14">
        <v>0.04</v>
      </c>
      <c r="J25" s="14">
        <v>0.04</v>
      </c>
      <c r="K25" s="14">
        <v>0.04</v>
      </c>
      <c r="L25" s="14">
        <v>0.02</v>
      </c>
      <c r="M25" s="14">
        <v>0.01</v>
      </c>
      <c r="N25" s="14">
        <v>0.03</v>
      </c>
      <c r="O25" s="14">
        <v>0.04</v>
      </c>
      <c r="P25" s="14">
        <v>0.09</v>
      </c>
      <c r="Q25" s="14">
        <v>7.0000000000000007E-2</v>
      </c>
      <c r="R25" s="14">
        <v>7.0000000000000007E-2</v>
      </c>
      <c r="S25" s="14">
        <v>0.03</v>
      </c>
      <c r="T25" s="14">
        <v>0.04</v>
      </c>
      <c r="U25" s="14">
        <v>0.03</v>
      </c>
      <c r="V25" s="14">
        <v>0.06</v>
      </c>
      <c r="W25" s="14">
        <v>0.04</v>
      </c>
      <c r="X25" s="14">
        <v>0.06</v>
      </c>
      <c r="Y25" s="14">
        <v>0.05</v>
      </c>
      <c r="Z25" s="14">
        <v>0.09</v>
      </c>
      <c r="AA25" s="14">
        <v>0.03</v>
      </c>
      <c r="AB25" s="14">
        <v>0.23</v>
      </c>
      <c r="AC25" s="14">
        <v>0.03</v>
      </c>
      <c r="AD25" s="14">
        <v>0.03</v>
      </c>
      <c r="AE25" s="14">
        <v>0.02</v>
      </c>
      <c r="AF25" s="14">
        <v>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841</v>
      </c>
      <c r="C3" s="30"/>
      <c r="D3" s="30"/>
      <c r="E3" s="30"/>
      <c r="F3" s="30"/>
      <c r="H3" s="30" t="s">
        <v>842</v>
      </c>
      <c r="I3" s="30"/>
      <c r="J3" s="30"/>
      <c r="K3" s="30"/>
      <c r="L3" s="30"/>
    </row>
    <row r="4" spans="1:32" ht="27" customHeight="1" x14ac:dyDescent="0.35">
      <c r="B4" s="30" t="s">
        <v>843</v>
      </c>
      <c r="C4" s="30"/>
      <c r="D4" s="30"/>
      <c r="E4" s="30"/>
      <c r="F4" s="30"/>
      <c r="H4" s="30" t="s">
        <v>844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3736</v>
      </c>
      <c r="D12" s="12">
        <v>104</v>
      </c>
      <c r="E12" s="12">
        <v>309</v>
      </c>
      <c r="F12" s="12">
        <v>171</v>
      </c>
      <c r="G12" s="12">
        <v>70</v>
      </c>
      <c r="H12" s="12">
        <v>102</v>
      </c>
      <c r="I12" s="12">
        <v>134</v>
      </c>
      <c r="J12" s="12">
        <v>32</v>
      </c>
      <c r="K12" s="12">
        <v>117</v>
      </c>
      <c r="L12" s="12">
        <v>252</v>
      </c>
      <c r="M12" s="12">
        <v>234</v>
      </c>
      <c r="N12" s="12">
        <v>111</v>
      </c>
      <c r="O12" s="12">
        <v>83</v>
      </c>
      <c r="P12" s="12">
        <v>243</v>
      </c>
      <c r="Q12" s="12">
        <v>231</v>
      </c>
      <c r="R12" s="12">
        <v>61</v>
      </c>
      <c r="S12" s="12">
        <v>117</v>
      </c>
      <c r="T12" s="12">
        <v>129</v>
      </c>
      <c r="U12" s="12">
        <v>35</v>
      </c>
      <c r="V12" s="12">
        <v>297</v>
      </c>
      <c r="W12" s="12">
        <v>236</v>
      </c>
      <c r="X12" s="12">
        <v>48</v>
      </c>
      <c r="Y12" s="12">
        <v>187</v>
      </c>
      <c r="Z12" s="12">
        <v>196</v>
      </c>
      <c r="AA12" s="12">
        <v>160</v>
      </c>
      <c r="AB12" s="12">
        <v>223</v>
      </c>
      <c r="AC12" s="12">
        <v>167</v>
      </c>
      <c r="AD12" s="12">
        <v>195</v>
      </c>
      <c r="AE12" s="12">
        <v>61</v>
      </c>
      <c r="AF12" s="12">
        <v>69</v>
      </c>
    </row>
    <row r="13" spans="1:32" x14ac:dyDescent="0.35">
      <c r="A13" s="31"/>
      <c r="B13" s="13" t="s">
        <v>589</v>
      </c>
      <c r="C13" s="14">
        <v>0.14000000000000001</v>
      </c>
      <c r="D13" s="14">
        <v>0.1</v>
      </c>
      <c r="E13" s="14">
        <v>0.3</v>
      </c>
      <c r="F13" s="14">
        <v>0.17</v>
      </c>
      <c r="G13" s="14">
        <v>7.0000000000000007E-2</v>
      </c>
      <c r="H13" s="14">
        <v>0.08</v>
      </c>
      <c r="I13" s="14">
        <v>0.09</v>
      </c>
      <c r="J13" s="14">
        <v>0.11</v>
      </c>
      <c r="K13" s="14">
        <v>0.12</v>
      </c>
      <c r="L13" s="14">
        <v>0.25</v>
      </c>
      <c r="M13" s="14">
        <v>0.23</v>
      </c>
      <c r="N13" s="14">
        <v>0.11</v>
      </c>
      <c r="O13" s="14">
        <v>0.08</v>
      </c>
      <c r="P13" s="14">
        <v>0.24</v>
      </c>
      <c r="Q13" s="14">
        <v>0.22</v>
      </c>
      <c r="R13" s="14">
        <v>0.12</v>
      </c>
      <c r="S13" s="14">
        <v>0.11</v>
      </c>
      <c r="T13" s="14">
        <v>0.13</v>
      </c>
      <c r="U13" s="14">
        <v>7.0000000000000007E-2</v>
      </c>
      <c r="V13" s="14">
        <v>0.28999999999999998</v>
      </c>
      <c r="W13" s="14">
        <v>0.47</v>
      </c>
      <c r="X13" s="14">
        <v>0.05</v>
      </c>
      <c r="Y13" s="14">
        <v>0.19</v>
      </c>
      <c r="Z13" s="14">
        <v>0.19</v>
      </c>
      <c r="AA13" s="14">
        <v>0.15</v>
      </c>
      <c r="AB13" s="14">
        <v>0.21</v>
      </c>
      <c r="AC13" s="14">
        <v>0.17</v>
      </c>
      <c r="AD13" s="14">
        <v>0.2</v>
      </c>
      <c r="AE13" s="14">
        <v>0.06</v>
      </c>
      <c r="AF13" s="14">
        <v>7.0000000000000007E-2</v>
      </c>
    </row>
    <row r="14" spans="1:32" x14ac:dyDescent="0.35">
      <c r="A14" s="31"/>
      <c r="B14" s="11" t="s">
        <v>590</v>
      </c>
      <c r="C14" s="12">
        <v>9558</v>
      </c>
      <c r="D14" s="12">
        <v>325</v>
      </c>
      <c r="E14" s="12">
        <v>412</v>
      </c>
      <c r="F14" s="12">
        <v>367</v>
      </c>
      <c r="G14" s="12">
        <v>269</v>
      </c>
      <c r="H14" s="12">
        <v>341</v>
      </c>
      <c r="I14" s="12">
        <v>413</v>
      </c>
      <c r="J14" s="12">
        <v>72</v>
      </c>
      <c r="K14" s="12">
        <v>316</v>
      </c>
      <c r="L14" s="12">
        <v>330</v>
      </c>
      <c r="M14" s="12">
        <v>303</v>
      </c>
      <c r="N14" s="12">
        <v>356</v>
      </c>
      <c r="O14" s="12">
        <v>274</v>
      </c>
      <c r="P14" s="12">
        <v>404</v>
      </c>
      <c r="Q14" s="12">
        <v>539</v>
      </c>
      <c r="R14" s="12">
        <v>166</v>
      </c>
      <c r="S14" s="12">
        <v>343</v>
      </c>
      <c r="T14" s="12">
        <v>412</v>
      </c>
      <c r="U14" s="12">
        <v>136</v>
      </c>
      <c r="V14" s="12">
        <v>475</v>
      </c>
      <c r="W14" s="12">
        <v>133</v>
      </c>
      <c r="X14" s="12">
        <v>235</v>
      </c>
      <c r="Y14" s="12">
        <v>351</v>
      </c>
      <c r="Z14" s="12">
        <v>560</v>
      </c>
      <c r="AA14" s="12">
        <v>483</v>
      </c>
      <c r="AB14" s="12">
        <v>412</v>
      </c>
      <c r="AC14" s="12">
        <v>308</v>
      </c>
      <c r="AD14" s="12">
        <v>416</v>
      </c>
      <c r="AE14" s="12">
        <v>285</v>
      </c>
      <c r="AF14" s="12">
        <v>276</v>
      </c>
    </row>
    <row r="15" spans="1:32" x14ac:dyDescent="0.35">
      <c r="A15" s="31"/>
      <c r="B15" s="13" t="s">
        <v>591</v>
      </c>
      <c r="C15" s="14">
        <v>0.36</v>
      </c>
      <c r="D15" s="14">
        <v>0.32</v>
      </c>
      <c r="E15" s="14">
        <v>0.4</v>
      </c>
      <c r="F15" s="14">
        <v>0.36</v>
      </c>
      <c r="G15" s="14">
        <v>0.26</v>
      </c>
      <c r="H15" s="14">
        <v>0.28000000000000003</v>
      </c>
      <c r="I15" s="14">
        <v>0.27</v>
      </c>
      <c r="J15" s="14">
        <v>0.24</v>
      </c>
      <c r="K15" s="14">
        <v>0.31</v>
      </c>
      <c r="L15" s="14">
        <v>0.33</v>
      </c>
      <c r="M15" s="14">
        <v>0.3</v>
      </c>
      <c r="N15" s="14">
        <v>0.36</v>
      </c>
      <c r="O15" s="14">
        <v>0.27</v>
      </c>
      <c r="P15" s="14">
        <v>0.4</v>
      </c>
      <c r="Q15" s="14">
        <v>0.52</v>
      </c>
      <c r="R15" s="14">
        <v>0.33</v>
      </c>
      <c r="S15" s="14">
        <v>0.34</v>
      </c>
      <c r="T15" s="14">
        <v>0.41</v>
      </c>
      <c r="U15" s="14">
        <v>0.27</v>
      </c>
      <c r="V15" s="14">
        <v>0.47</v>
      </c>
      <c r="W15" s="14">
        <v>0.27</v>
      </c>
      <c r="X15" s="14">
        <v>0.23</v>
      </c>
      <c r="Y15" s="14">
        <v>0.35</v>
      </c>
      <c r="Z15" s="14">
        <v>0.55000000000000004</v>
      </c>
      <c r="AA15" s="14">
        <v>0.47</v>
      </c>
      <c r="AB15" s="14">
        <v>0.39</v>
      </c>
      <c r="AC15" s="14">
        <v>0.3</v>
      </c>
      <c r="AD15" s="14">
        <v>0.41</v>
      </c>
      <c r="AE15" s="14">
        <v>0.28000000000000003</v>
      </c>
      <c r="AF15" s="14">
        <v>0.27</v>
      </c>
    </row>
    <row r="16" spans="1:32" x14ac:dyDescent="0.35">
      <c r="A16" s="31"/>
      <c r="B16" s="11" t="s">
        <v>592</v>
      </c>
      <c r="C16" s="12">
        <v>9190</v>
      </c>
      <c r="D16" s="12">
        <v>421</v>
      </c>
      <c r="E16" s="12">
        <v>224</v>
      </c>
      <c r="F16" s="12">
        <v>344</v>
      </c>
      <c r="G16" s="12">
        <v>411</v>
      </c>
      <c r="H16" s="12">
        <v>536</v>
      </c>
      <c r="I16" s="12">
        <v>666</v>
      </c>
      <c r="J16" s="12">
        <v>130</v>
      </c>
      <c r="K16" s="12">
        <v>374</v>
      </c>
      <c r="L16" s="12">
        <v>328</v>
      </c>
      <c r="M16" s="12">
        <v>318</v>
      </c>
      <c r="N16" s="12">
        <v>360</v>
      </c>
      <c r="O16" s="12">
        <v>448</v>
      </c>
      <c r="P16" s="12">
        <v>276</v>
      </c>
      <c r="Q16" s="12">
        <v>200</v>
      </c>
      <c r="R16" s="12">
        <v>192</v>
      </c>
      <c r="S16" s="12">
        <v>414</v>
      </c>
      <c r="T16" s="12">
        <v>337</v>
      </c>
      <c r="U16" s="12">
        <v>196</v>
      </c>
      <c r="V16" s="12">
        <v>210</v>
      </c>
      <c r="W16" s="12">
        <v>85</v>
      </c>
      <c r="X16" s="12">
        <v>503</v>
      </c>
      <c r="Y16" s="12">
        <v>295</v>
      </c>
      <c r="Z16" s="12">
        <v>217</v>
      </c>
      <c r="AA16" s="12">
        <v>265</v>
      </c>
      <c r="AB16" s="12">
        <v>312</v>
      </c>
      <c r="AC16" s="12">
        <v>331</v>
      </c>
      <c r="AD16" s="12">
        <v>295</v>
      </c>
      <c r="AE16" s="12">
        <v>503</v>
      </c>
      <c r="AF16" s="12">
        <v>444</v>
      </c>
    </row>
    <row r="17" spans="1:32" x14ac:dyDescent="0.35">
      <c r="A17" s="31"/>
      <c r="B17" s="13" t="s">
        <v>593</v>
      </c>
      <c r="C17" s="14">
        <v>0.35</v>
      </c>
      <c r="D17" s="14">
        <v>0.41</v>
      </c>
      <c r="E17" s="14">
        <v>0.21</v>
      </c>
      <c r="F17" s="14">
        <v>0.34</v>
      </c>
      <c r="G17" s="14">
        <v>0.4</v>
      </c>
      <c r="H17" s="14">
        <v>0.44</v>
      </c>
      <c r="I17" s="14">
        <v>0.44</v>
      </c>
      <c r="J17" s="14">
        <v>0.44</v>
      </c>
      <c r="K17" s="14">
        <v>0.37</v>
      </c>
      <c r="L17" s="14">
        <v>0.33</v>
      </c>
      <c r="M17" s="14">
        <v>0.32</v>
      </c>
      <c r="N17" s="14">
        <v>0.36</v>
      </c>
      <c r="O17" s="14">
        <v>0.45</v>
      </c>
      <c r="P17" s="14">
        <v>0.28000000000000003</v>
      </c>
      <c r="Q17" s="14">
        <v>0.2</v>
      </c>
      <c r="R17" s="14">
        <v>0.38</v>
      </c>
      <c r="S17" s="14">
        <v>0.41</v>
      </c>
      <c r="T17" s="14">
        <v>0.33</v>
      </c>
      <c r="U17" s="14">
        <v>0.39</v>
      </c>
      <c r="V17" s="14">
        <v>0.21</v>
      </c>
      <c r="W17" s="14">
        <v>0.17</v>
      </c>
      <c r="X17" s="14">
        <v>0.5</v>
      </c>
      <c r="Y17" s="14">
        <v>0.28999999999999998</v>
      </c>
      <c r="Z17" s="14">
        <v>0.21</v>
      </c>
      <c r="AA17" s="14">
        <v>0.26</v>
      </c>
      <c r="AB17" s="14">
        <v>0.3</v>
      </c>
      <c r="AC17" s="14">
        <v>0.33</v>
      </c>
      <c r="AD17" s="14">
        <v>0.28999999999999998</v>
      </c>
      <c r="AE17" s="14">
        <v>0.5</v>
      </c>
      <c r="AF17" s="14">
        <v>0.44</v>
      </c>
    </row>
    <row r="18" spans="1:32" x14ac:dyDescent="0.35">
      <c r="A18" s="31"/>
      <c r="B18" s="11" t="s">
        <v>594</v>
      </c>
      <c r="C18" s="12">
        <v>3760</v>
      </c>
      <c r="D18" s="12">
        <v>171</v>
      </c>
      <c r="E18" s="12">
        <v>83</v>
      </c>
      <c r="F18" s="12">
        <v>133</v>
      </c>
      <c r="G18" s="12">
        <v>260</v>
      </c>
      <c r="H18" s="12">
        <v>249</v>
      </c>
      <c r="I18" s="12">
        <v>311</v>
      </c>
      <c r="J18" s="12">
        <v>62</v>
      </c>
      <c r="K18" s="12">
        <v>179</v>
      </c>
      <c r="L18" s="12">
        <v>93</v>
      </c>
      <c r="M18" s="12">
        <v>147</v>
      </c>
      <c r="N18" s="12">
        <v>170</v>
      </c>
      <c r="O18" s="12">
        <v>185</v>
      </c>
      <c r="P18" s="12">
        <v>81</v>
      </c>
      <c r="Q18" s="12">
        <v>55</v>
      </c>
      <c r="R18" s="12">
        <v>78</v>
      </c>
      <c r="S18" s="12">
        <v>142</v>
      </c>
      <c r="T18" s="12">
        <v>137</v>
      </c>
      <c r="U18" s="12">
        <v>139</v>
      </c>
      <c r="V18" s="12">
        <v>31</v>
      </c>
      <c r="W18" s="12">
        <v>46</v>
      </c>
      <c r="X18" s="12">
        <v>224</v>
      </c>
      <c r="Y18" s="12">
        <v>167</v>
      </c>
      <c r="Z18" s="12">
        <v>30</v>
      </c>
      <c r="AA18" s="12">
        <v>113</v>
      </c>
      <c r="AB18" s="12">
        <v>100</v>
      </c>
      <c r="AC18" s="12">
        <v>205</v>
      </c>
      <c r="AD18" s="12">
        <v>97</v>
      </c>
      <c r="AE18" s="12">
        <v>153</v>
      </c>
      <c r="AF18" s="12">
        <v>229</v>
      </c>
    </row>
    <row r="19" spans="1:32" x14ac:dyDescent="0.35">
      <c r="A19" s="31"/>
      <c r="B19" s="13" t="s">
        <v>595</v>
      </c>
      <c r="C19" s="14">
        <v>0.14000000000000001</v>
      </c>
      <c r="D19" s="14">
        <v>0.17</v>
      </c>
      <c r="E19" s="14">
        <v>0.08</v>
      </c>
      <c r="F19" s="14">
        <v>0.13</v>
      </c>
      <c r="G19" s="14">
        <v>0.26</v>
      </c>
      <c r="H19" s="14">
        <v>0.2</v>
      </c>
      <c r="I19" s="14">
        <v>0.2</v>
      </c>
      <c r="J19" s="14">
        <v>0.21</v>
      </c>
      <c r="K19" s="14">
        <v>0.18</v>
      </c>
      <c r="L19" s="14">
        <v>0.09</v>
      </c>
      <c r="M19" s="14">
        <v>0.15</v>
      </c>
      <c r="N19" s="14">
        <v>0.17</v>
      </c>
      <c r="O19" s="14">
        <v>0.19</v>
      </c>
      <c r="P19" s="14">
        <v>0.08</v>
      </c>
      <c r="Q19" s="14">
        <v>0.05</v>
      </c>
      <c r="R19" s="14">
        <v>0.16</v>
      </c>
      <c r="S19" s="14">
        <v>0.14000000000000001</v>
      </c>
      <c r="T19" s="14">
        <v>0.13</v>
      </c>
      <c r="U19" s="14">
        <v>0.27</v>
      </c>
      <c r="V19" s="14">
        <v>0.03</v>
      </c>
      <c r="W19" s="14">
        <v>0.09</v>
      </c>
      <c r="X19" s="14">
        <v>0.22</v>
      </c>
      <c r="Y19" s="14">
        <v>0.17</v>
      </c>
      <c r="Z19" s="14">
        <v>0.03</v>
      </c>
      <c r="AA19" s="14">
        <v>0.11</v>
      </c>
      <c r="AB19" s="14">
        <v>0.09</v>
      </c>
      <c r="AC19" s="14">
        <v>0.2</v>
      </c>
      <c r="AD19" s="14">
        <v>0.1</v>
      </c>
      <c r="AE19" s="14">
        <v>0.15</v>
      </c>
      <c r="AF19" s="14">
        <v>0.22</v>
      </c>
    </row>
    <row r="20" spans="1:32" x14ac:dyDescent="0.35">
      <c r="A20" s="31"/>
      <c r="B20" s="11" t="s">
        <v>344</v>
      </c>
      <c r="C20" s="12">
        <v>166</v>
      </c>
      <c r="D20" s="12">
        <v>5</v>
      </c>
      <c r="E20" s="12">
        <v>11</v>
      </c>
      <c r="F20" s="12">
        <v>3</v>
      </c>
      <c r="G20" s="12">
        <v>8</v>
      </c>
      <c r="H20" s="12">
        <v>4</v>
      </c>
      <c r="I20" s="12">
        <v>5</v>
      </c>
      <c r="J20" s="12">
        <v>1</v>
      </c>
      <c r="K20" s="12">
        <v>23</v>
      </c>
      <c r="L20" s="12">
        <v>1</v>
      </c>
      <c r="M20" s="12">
        <v>2</v>
      </c>
      <c r="N20" s="12">
        <v>3</v>
      </c>
      <c r="O20" s="12">
        <v>10</v>
      </c>
      <c r="P20" s="12">
        <v>0</v>
      </c>
      <c r="Q20" s="12">
        <v>10</v>
      </c>
      <c r="R20" s="12">
        <v>5</v>
      </c>
      <c r="S20" s="12">
        <v>5</v>
      </c>
      <c r="T20" s="12">
        <v>1</v>
      </c>
      <c r="U20" s="12">
        <v>3</v>
      </c>
      <c r="V20" s="12">
        <v>1</v>
      </c>
      <c r="W20" s="12">
        <v>1</v>
      </c>
      <c r="X20" s="12">
        <v>0</v>
      </c>
      <c r="Y20" s="12">
        <v>3</v>
      </c>
      <c r="Z20" s="12">
        <v>15</v>
      </c>
      <c r="AA20" s="12">
        <v>9</v>
      </c>
      <c r="AB20" s="12">
        <v>10</v>
      </c>
      <c r="AC20" s="12">
        <v>2</v>
      </c>
      <c r="AD20" s="12">
        <v>2</v>
      </c>
      <c r="AE20" s="12">
        <v>5</v>
      </c>
      <c r="AF20" s="12">
        <v>1</v>
      </c>
    </row>
    <row r="21" spans="1:32" x14ac:dyDescent="0.35">
      <c r="A21" s="31"/>
      <c r="B21" s="13" t="s">
        <v>357</v>
      </c>
      <c r="C21" s="14">
        <v>0.01</v>
      </c>
      <c r="D21" s="15" t="s">
        <v>333</v>
      </c>
      <c r="E21" s="14">
        <v>0.01</v>
      </c>
      <c r="F21" s="15" t="s">
        <v>333</v>
      </c>
      <c r="G21" s="14">
        <v>0.01</v>
      </c>
      <c r="H21" s="15" t="s">
        <v>333</v>
      </c>
      <c r="I21" s="15" t="s">
        <v>333</v>
      </c>
      <c r="J21" s="15" t="s">
        <v>333</v>
      </c>
      <c r="K21" s="14">
        <v>0.02</v>
      </c>
      <c r="L21" s="15" t="s">
        <v>333</v>
      </c>
      <c r="M21" s="15" t="s">
        <v>333</v>
      </c>
      <c r="N21" s="15" t="s">
        <v>333</v>
      </c>
      <c r="O21" s="14">
        <v>0.01</v>
      </c>
      <c r="P21" s="15" t="s">
        <v>333</v>
      </c>
      <c r="Q21" s="14">
        <v>0.01</v>
      </c>
      <c r="R21" s="14">
        <v>0.01</v>
      </c>
      <c r="S21" s="15" t="s">
        <v>333</v>
      </c>
      <c r="T21" s="15" t="s">
        <v>333</v>
      </c>
      <c r="U21" s="15" t="s">
        <v>333</v>
      </c>
      <c r="V21" s="15" t="s">
        <v>333</v>
      </c>
      <c r="W21" s="15" t="s">
        <v>333</v>
      </c>
      <c r="X21" s="15" t="s">
        <v>333</v>
      </c>
      <c r="Y21" s="15" t="s">
        <v>333</v>
      </c>
      <c r="Z21" s="14">
        <v>0.02</v>
      </c>
      <c r="AA21" s="14">
        <v>0.01</v>
      </c>
      <c r="AB21" s="14">
        <v>0.01</v>
      </c>
      <c r="AC21" s="15" t="s">
        <v>333</v>
      </c>
      <c r="AD21" s="15" t="s">
        <v>333</v>
      </c>
      <c r="AE21" s="14">
        <v>0.01</v>
      </c>
      <c r="AF21" s="15" t="s">
        <v>333</v>
      </c>
    </row>
    <row r="22" spans="1:32" x14ac:dyDescent="0.35">
      <c r="A22" s="31"/>
      <c r="B22" s="11" t="s">
        <v>596</v>
      </c>
      <c r="C22" s="12">
        <v>13294</v>
      </c>
      <c r="D22" s="12">
        <v>429</v>
      </c>
      <c r="E22" s="12">
        <v>721</v>
      </c>
      <c r="F22" s="12">
        <v>538</v>
      </c>
      <c r="G22" s="12">
        <v>339</v>
      </c>
      <c r="H22" s="12">
        <v>443</v>
      </c>
      <c r="I22" s="12">
        <v>547</v>
      </c>
      <c r="J22" s="12">
        <v>104</v>
      </c>
      <c r="K22" s="12">
        <v>433</v>
      </c>
      <c r="L22" s="12">
        <v>582</v>
      </c>
      <c r="M22" s="12">
        <v>537</v>
      </c>
      <c r="N22" s="12">
        <v>467</v>
      </c>
      <c r="O22" s="12">
        <v>357</v>
      </c>
      <c r="P22" s="12">
        <v>647</v>
      </c>
      <c r="Q22" s="12">
        <v>770</v>
      </c>
      <c r="R22" s="12">
        <v>227</v>
      </c>
      <c r="S22" s="12">
        <v>460</v>
      </c>
      <c r="T22" s="12">
        <v>541</v>
      </c>
      <c r="U22" s="12">
        <v>171</v>
      </c>
      <c r="V22" s="12">
        <v>772</v>
      </c>
      <c r="W22" s="12">
        <v>369</v>
      </c>
      <c r="X22" s="12">
        <v>283</v>
      </c>
      <c r="Y22" s="12">
        <v>538</v>
      </c>
      <c r="Z22" s="12">
        <v>756</v>
      </c>
      <c r="AA22" s="12">
        <v>643</v>
      </c>
      <c r="AB22" s="12">
        <v>635</v>
      </c>
      <c r="AC22" s="12">
        <v>475</v>
      </c>
      <c r="AD22" s="12">
        <v>611</v>
      </c>
      <c r="AE22" s="12">
        <v>346</v>
      </c>
      <c r="AF22" s="12">
        <v>345</v>
      </c>
    </row>
    <row r="23" spans="1:32" x14ac:dyDescent="0.35">
      <c r="A23" s="31"/>
      <c r="B23" s="13" t="s">
        <v>596</v>
      </c>
      <c r="C23" s="14">
        <v>0.5</v>
      </c>
      <c r="D23" s="14">
        <v>0.42</v>
      </c>
      <c r="E23" s="14">
        <v>0.70000000000000007</v>
      </c>
      <c r="F23" s="14">
        <v>0.53</v>
      </c>
      <c r="G23" s="14">
        <v>0.33</v>
      </c>
      <c r="H23" s="14">
        <v>0.36</v>
      </c>
      <c r="I23" s="14">
        <v>0.36</v>
      </c>
      <c r="J23" s="14">
        <v>0.35</v>
      </c>
      <c r="K23" s="14">
        <v>0.43</v>
      </c>
      <c r="L23" s="14">
        <v>0.57999999999999996</v>
      </c>
      <c r="M23" s="14">
        <v>0.53</v>
      </c>
      <c r="N23" s="14">
        <v>0.47</v>
      </c>
      <c r="O23" s="14">
        <v>0.35</v>
      </c>
      <c r="P23" s="14">
        <v>0.64</v>
      </c>
      <c r="Q23" s="14">
        <v>0.74</v>
      </c>
      <c r="R23" s="14">
        <v>0.45</v>
      </c>
      <c r="S23" s="14">
        <v>0.45</v>
      </c>
      <c r="T23" s="14">
        <v>0.54</v>
      </c>
      <c r="U23" s="14">
        <v>0.34</v>
      </c>
      <c r="V23" s="14">
        <v>0.76</v>
      </c>
      <c r="W23" s="14">
        <v>0.74</v>
      </c>
      <c r="X23" s="14">
        <v>0.28000000000000003</v>
      </c>
      <c r="Y23" s="14">
        <v>0.54</v>
      </c>
      <c r="Z23" s="14">
        <v>0.74</v>
      </c>
      <c r="AA23" s="14">
        <v>0.62</v>
      </c>
      <c r="AB23" s="14">
        <v>0.6</v>
      </c>
      <c r="AC23" s="14">
        <v>0.47</v>
      </c>
      <c r="AD23" s="14">
        <v>0.61</v>
      </c>
      <c r="AE23" s="14">
        <v>0.34</v>
      </c>
      <c r="AF23" s="14">
        <v>0.34</v>
      </c>
    </row>
    <row r="24" spans="1:32" x14ac:dyDescent="0.35">
      <c r="A24" s="31"/>
      <c r="B24" s="11" t="s">
        <v>597</v>
      </c>
      <c r="C24" s="12">
        <v>12950</v>
      </c>
      <c r="D24" s="12">
        <v>592</v>
      </c>
      <c r="E24" s="12">
        <v>307</v>
      </c>
      <c r="F24" s="12">
        <v>477</v>
      </c>
      <c r="G24" s="12">
        <v>671</v>
      </c>
      <c r="H24" s="12">
        <v>785</v>
      </c>
      <c r="I24" s="12">
        <v>977</v>
      </c>
      <c r="J24" s="12">
        <v>192</v>
      </c>
      <c r="K24" s="12">
        <v>553</v>
      </c>
      <c r="L24" s="12">
        <v>421</v>
      </c>
      <c r="M24" s="12">
        <v>465</v>
      </c>
      <c r="N24" s="12">
        <v>530</v>
      </c>
      <c r="O24" s="12">
        <v>633</v>
      </c>
      <c r="P24" s="12">
        <v>357</v>
      </c>
      <c r="Q24" s="12">
        <v>255</v>
      </c>
      <c r="R24" s="12">
        <v>270</v>
      </c>
      <c r="S24" s="12">
        <v>556</v>
      </c>
      <c r="T24" s="12">
        <v>474</v>
      </c>
      <c r="U24" s="12">
        <v>335</v>
      </c>
      <c r="V24" s="12">
        <v>241</v>
      </c>
      <c r="W24" s="12">
        <v>131</v>
      </c>
      <c r="X24" s="12">
        <v>727</v>
      </c>
      <c r="Y24" s="12">
        <v>462</v>
      </c>
      <c r="Z24" s="12">
        <v>247</v>
      </c>
      <c r="AA24" s="12">
        <v>378</v>
      </c>
      <c r="AB24" s="12">
        <v>412</v>
      </c>
      <c r="AC24" s="12">
        <v>536</v>
      </c>
      <c r="AD24" s="12">
        <v>392</v>
      </c>
      <c r="AE24" s="12">
        <v>656</v>
      </c>
      <c r="AF24" s="12">
        <v>673</v>
      </c>
    </row>
    <row r="25" spans="1:32" x14ac:dyDescent="0.35">
      <c r="A25" s="31"/>
      <c r="B25" s="13" t="s">
        <v>598</v>
      </c>
      <c r="C25" s="14">
        <v>0.49</v>
      </c>
      <c r="D25" s="14">
        <v>0.57999999999999996</v>
      </c>
      <c r="E25" s="14">
        <v>0.28999999999999998</v>
      </c>
      <c r="F25" s="14">
        <v>0.47</v>
      </c>
      <c r="G25" s="14">
        <v>0.66</v>
      </c>
      <c r="H25" s="14">
        <v>0.64</v>
      </c>
      <c r="I25" s="14">
        <v>0.64</v>
      </c>
      <c r="J25" s="14">
        <v>0.65</v>
      </c>
      <c r="K25" s="14">
        <v>0.55000000000000004</v>
      </c>
      <c r="L25" s="14">
        <v>0.42</v>
      </c>
      <c r="M25" s="14">
        <v>0.47</v>
      </c>
      <c r="N25" s="14">
        <v>0.53</v>
      </c>
      <c r="O25" s="14">
        <v>0.64</v>
      </c>
      <c r="P25" s="14">
        <v>0.36</v>
      </c>
      <c r="Q25" s="14">
        <v>0.25</v>
      </c>
      <c r="R25" s="14">
        <v>0.54</v>
      </c>
      <c r="S25" s="14">
        <v>0.55000000000000004</v>
      </c>
      <c r="T25" s="14">
        <v>0.46</v>
      </c>
      <c r="U25" s="14">
        <v>0.66</v>
      </c>
      <c r="V25" s="14">
        <v>0.24</v>
      </c>
      <c r="W25" s="14">
        <v>0.26</v>
      </c>
      <c r="X25" s="14">
        <v>0.72</v>
      </c>
      <c r="Y25" s="14">
        <v>0.46</v>
      </c>
      <c r="Z25" s="14">
        <v>0.24</v>
      </c>
      <c r="AA25" s="14">
        <v>0.37</v>
      </c>
      <c r="AB25" s="14">
        <v>0.39</v>
      </c>
      <c r="AC25" s="14">
        <v>0.53</v>
      </c>
      <c r="AD25" s="14">
        <v>0.39</v>
      </c>
      <c r="AE25" s="14">
        <v>0.65</v>
      </c>
      <c r="AF25" s="14">
        <v>0.66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845</v>
      </c>
      <c r="C3" s="30"/>
      <c r="D3" s="30"/>
      <c r="E3" s="30"/>
      <c r="F3" s="30"/>
      <c r="H3" s="30" t="s">
        <v>846</v>
      </c>
      <c r="I3" s="30"/>
      <c r="J3" s="30"/>
      <c r="K3" s="30"/>
      <c r="L3" s="30"/>
    </row>
    <row r="4" spans="1:32" ht="27" customHeight="1" x14ac:dyDescent="0.35">
      <c r="B4" s="30" t="s">
        <v>847</v>
      </c>
      <c r="C4" s="30"/>
      <c r="D4" s="30"/>
      <c r="E4" s="30"/>
      <c r="F4" s="30"/>
      <c r="H4" s="30" t="s">
        <v>848</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11111</v>
      </c>
      <c r="D12" s="12">
        <v>370</v>
      </c>
      <c r="E12" s="12">
        <v>480</v>
      </c>
      <c r="F12" s="12">
        <v>420</v>
      </c>
      <c r="G12" s="12">
        <v>306</v>
      </c>
      <c r="H12" s="12">
        <v>526</v>
      </c>
      <c r="I12" s="12">
        <v>632</v>
      </c>
      <c r="J12" s="12">
        <v>106</v>
      </c>
      <c r="K12" s="12">
        <v>299</v>
      </c>
      <c r="L12" s="12">
        <v>541</v>
      </c>
      <c r="M12" s="12">
        <v>671</v>
      </c>
      <c r="N12" s="12">
        <v>398</v>
      </c>
      <c r="O12" s="12">
        <v>473</v>
      </c>
      <c r="P12" s="12">
        <v>405</v>
      </c>
      <c r="Q12" s="12">
        <v>506</v>
      </c>
      <c r="R12" s="12">
        <v>332</v>
      </c>
      <c r="S12" s="12">
        <v>422</v>
      </c>
      <c r="T12" s="12">
        <v>293</v>
      </c>
      <c r="U12" s="12">
        <v>213</v>
      </c>
      <c r="V12" s="12">
        <v>420</v>
      </c>
      <c r="W12" s="12">
        <v>297</v>
      </c>
      <c r="X12" s="12">
        <v>260</v>
      </c>
      <c r="Y12" s="12">
        <v>533</v>
      </c>
      <c r="Z12" s="12">
        <v>321</v>
      </c>
      <c r="AA12" s="12">
        <v>443</v>
      </c>
      <c r="AB12" s="12">
        <v>367</v>
      </c>
      <c r="AC12" s="12">
        <v>597</v>
      </c>
      <c r="AD12" s="12">
        <v>461</v>
      </c>
      <c r="AE12" s="12">
        <v>380</v>
      </c>
      <c r="AF12" s="12">
        <v>348</v>
      </c>
    </row>
    <row r="13" spans="1:32" x14ac:dyDescent="0.35">
      <c r="A13" s="31"/>
      <c r="B13" s="13" t="s">
        <v>589</v>
      </c>
      <c r="C13" s="14">
        <v>0.42</v>
      </c>
      <c r="D13" s="14">
        <v>0.36</v>
      </c>
      <c r="E13" s="14">
        <v>0.46</v>
      </c>
      <c r="F13" s="14">
        <v>0.41</v>
      </c>
      <c r="G13" s="14">
        <v>0.3</v>
      </c>
      <c r="H13" s="14">
        <v>0.43</v>
      </c>
      <c r="I13" s="14">
        <v>0.41</v>
      </c>
      <c r="J13" s="14">
        <v>0.36</v>
      </c>
      <c r="K13" s="14">
        <v>0.28999999999999998</v>
      </c>
      <c r="L13" s="14">
        <v>0.54</v>
      </c>
      <c r="M13" s="14">
        <v>0.67</v>
      </c>
      <c r="N13" s="14">
        <v>0.4</v>
      </c>
      <c r="O13" s="14">
        <v>0.47</v>
      </c>
      <c r="P13" s="14">
        <v>0.4</v>
      </c>
      <c r="Q13" s="14">
        <v>0.49</v>
      </c>
      <c r="R13" s="14">
        <v>0.66</v>
      </c>
      <c r="S13" s="14">
        <v>0.41</v>
      </c>
      <c r="T13" s="14">
        <v>0.28999999999999998</v>
      </c>
      <c r="U13" s="14">
        <v>0.42</v>
      </c>
      <c r="V13" s="14">
        <v>0.42</v>
      </c>
      <c r="W13" s="14">
        <v>0.59</v>
      </c>
      <c r="X13" s="14">
        <v>0.26</v>
      </c>
      <c r="Y13" s="14">
        <v>0.53</v>
      </c>
      <c r="Z13" s="14">
        <v>0.32</v>
      </c>
      <c r="AA13" s="14">
        <v>0.43</v>
      </c>
      <c r="AB13" s="14">
        <v>0.35</v>
      </c>
      <c r="AC13" s="14">
        <v>0.59</v>
      </c>
      <c r="AD13" s="14">
        <v>0.46</v>
      </c>
      <c r="AE13" s="14">
        <v>0.38</v>
      </c>
      <c r="AF13" s="14">
        <v>0.34</v>
      </c>
    </row>
    <row r="14" spans="1:32" x14ac:dyDescent="0.35">
      <c r="A14" s="31"/>
      <c r="B14" s="11" t="s">
        <v>590</v>
      </c>
      <c r="C14" s="12">
        <v>11376</v>
      </c>
      <c r="D14" s="12">
        <v>471</v>
      </c>
      <c r="E14" s="12">
        <v>394</v>
      </c>
      <c r="F14" s="12">
        <v>394</v>
      </c>
      <c r="G14" s="12">
        <v>476</v>
      </c>
      <c r="H14" s="12">
        <v>525</v>
      </c>
      <c r="I14" s="12">
        <v>678</v>
      </c>
      <c r="J14" s="12">
        <v>152</v>
      </c>
      <c r="K14" s="12">
        <v>452</v>
      </c>
      <c r="L14" s="12">
        <v>339</v>
      </c>
      <c r="M14" s="12">
        <v>280</v>
      </c>
      <c r="N14" s="12">
        <v>433</v>
      </c>
      <c r="O14" s="12">
        <v>390</v>
      </c>
      <c r="P14" s="12">
        <v>437</v>
      </c>
      <c r="Q14" s="12">
        <v>436</v>
      </c>
      <c r="R14" s="12">
        <v>123</v>
      </c>
      <c r="S14" s="12">
        <v>360</v>
      </c>
      <c r="T14" s="12">
        <v>478</v>
      </c>
      <c r="U14" s="12">
        <v>217</v>
      </c>
      <c r="V14" s="12">
        <v>439</v>
      </c>
      <c r="W14" s="12">
        <v>149</v>
      </c>
      <c r="X14" s="12">
        <v>483</v>
      </c>
      <c r="Y14" s="12">
        <v>379</v>
      </c>
      <c r="Z14" s="12">
        <v>555</v>
      </c>
      <c r="AA14" s="12">
        <v>481</v>
      </c>
      <c r="AB14" s="12">
        <v>426</v>
      </c>
      <c r="AC14" s="12">
        <v>316</v>
      </c>
      <c r="AD14" s="12">
        <v>406</v>
      </c>
      <c r="AE14" s="12">
        <v>460</v>
      </c>
      <c r="AF14" s="12">
        <v>495</v>
      </c>
    </row>
    <row r="15" spans="1:32" x14ac:dyDescent="0.35">
      <c r="A15" s="31"/>
      <c r="B15" s="13" t="s">
        <v>591</v>
      </c>
      <c r="C15" s="14">
        <v>0.43</v>
      </c>
      <c r="D15" s="14">
        <v>0.46</v>
      </c>
      <c r="E15" s="14">
        <v>0.38</v>
      </c>
      <c r="F15" s="14">
        <v>0.39</v>
      </c>
      <c r="G15" s="14">
        <v>0.47</v>
      </c>
      <c r="H15" s="14">
        <v>0.43</v>
      </c>
      <c r="I15" s="14">
        <v>0.44</v>
      </c>
      <c r="J15" s="14">
        <v>0.51</v>
      </c>
      <c r="K15" s="14">
        <v>0.45</v>
      </c>
      <c r="L15" s="14">
        <v>0.34</v>
      </c>
      <c r="M15" s="14">
        <v>0.28000000000000003</v>
      </c>
      <c r="N15" s="14">
        <v>0.43</v>
      </c>
      <c r="O15" s="14">
        <v>0.39</v>
      </c>
      <c r="P15" s="14">
        <v>0.44</v>
      </c>
      <c r="Q15" s="14">
        <v>0.42</v>
      </c>
      <c r="R15" s="14">
        <v>0.25</v>
      </c>
      <c r="S15" s="14">
        <v>0.35</v>
      </c>
      <c r="T15" s="14">
        <v>0.47</v>
      </c>
      <c r="U15" s="14">
        <v>0.43</v>
      </c>
      <c r="V15" s="14">
        <v>0.43</v>
      </c>
      <c r="W15" s="14">
        <v>0.3</v>
      </c>
      <c r="X15" s="14">
        <v>0.48</v>
      </c>
      <c r="Y15" s="14">
        <v>0.38</v>
      </c>
      <c r="Z15" s="14">
        <v>0.54</v>
      </c>
      <c r="AA15" s="14">
        <v>0.47</v>
      </c>
      <c r="AB15" s="14">
        <v>0.4</v>
      </c>
      <c r="AC15" s="14">
        <v>0.31</v>
      </c>
      <c r="AD15" s="14">
        <v>0.4</v>
      </c>
      <c r="AE15" s="14">
        <v>0.46</v>
      </c>
      <c r="AF15" s="14">
        <v>0.49</v>
      </c>
    </row>
    <row r="16" spans="1:32" x14ac:dyDescent="0.35">
      <c r="A16" s="31"/>
      <c r="B16" s="11" t="s">
        <v>592</v>
      </c>
      <c r="C16" s="12">
        <v>3103</v>
      </c>
      <c r="D16" s="12">
        <v>151</v>
      </c>
      <c r="E16" s="12">
        <v>126</v>
      </c>
      <c r="F16" s="12">
        <v>164</v>
      </c>
      <c r="G16" s="12">
        <v>166</v>
      </c>
      <c r="H16" s="12">
        <v>151</v>
      </c>
      <c r="I16" s="12">
        <v>184</v>
      </c>
      <c r="J16" s="12">
        <v>34</v>
      </c>
      <c r="K16" s="12">
        <v>184</v>
      </c>
      <c r="L16" s="12">
        <v>104</v>
      </c>
      <c r="M16" s="12">
        <v>40</v>
      </c>
      <c r="N16" s="12">
        <v>135</v>
      </c>
      <c r="O16" s="12">
        <v>104</v>
      </c>
      <c r="P16" s="12">
        <v>142</v>
      </c>
      <c r="Q16" s="12">
        <v>70</v>
      </c>
      <c r="R16" s="12">
        <v>35</v>
      </c>
      <c r="S16" s="12">
        <v>177</v>
      </c>
      <c r="T16" s="12">
        <v>190</v>
      </c>
      <c r="U16" s="12">
        <v>64</v>
      </c>
      <c r="V16" s="12">
        <v>126</v>
      </c>
      <c r="W16" s="12">
        <v>42</v>
      </c>
      <c r="X16" s="12">
        <v>229</v>
      </c>
      <c r="Y16" s="12">
        <v>68</v>
      </c>
      <c r="Z16" s="12">
        <v>111</v>
      </c>
      <c r="AA16" s="12">
        <v>82</v>
      </c>
      <c r="AB16" s="12">
        <v>187</v>
      </c>
      <c r="AC16" s="12">
        <v>79</v>
      </c>
      <c r="AD16" s="12">
        <v>99</v>
      </c>
      <c r="AE16" s="12">
        <v>152</v>
      </c>
      <c r="AF16" s="12">
        <v>141</v>
      </c>
    </row>
    <row r="17" spans="1:32" x14ac:dyDescent="0.35">
      <c r="A17" s="31"/>
      <c r="B17" s="13" t="s">
        <v>593</v>
      </c>
      <c r="C17" s="14">
        <v>0.12</v>
      </c>
      <c r="D17" s="14">
        <v>0.15</v>
      </c>
      <c r="E17" s="14">
        <v>0.12</v>
      </c>
      <c r="F17" s="14">
        <v>0.16</v>
      </c>
      <c r="G17" s="14">
        <v>0.16</v>
      </c>
      <c r="H17" s="14">
        <v>0.12</v>
      </c>
      <c r="I17" s="14">
        <v>0.12</v>
      </c>
      <c r="J17" s="14">
        <v>0.11</v>
      </c>
      <c r="K17" s="14">
        <v>0.18</v>
      </c>
      <c r="L17" s="14">
        <v>0.1</v>
      </c>
      <c r="M17" s="14">
        <v>0.04</v>
      </c>
      <c r="N17" s="14">
        <v>0.14000000000000001</v>
      </c>
      <c r="O17" s="14">
        <v>0.1</v>
      </c>
      <c r="P17" s="14">
        <v>0.14000000000000001</v>
      </c>
      <c r="Q17" s="14">
        <v>7.0000000000000007E-2</v>
      </c>
      <c r="R17" s="14">
        <v>7.0000000000000007E-2</v>
      </c>
      <c r="S17" s="14">
        <v>0.18</v>
      </c>
      <c r="T17" s="14">
        <v>0.19</v>
      </c>
      <c r="U17" s="14">
        <v>0.12</v>
      </c>
      <c r="V17" s="14">
        <v>0.12</v>
      </c>
      <c r="W17" s="14">
        <v>0.08</v>
      </c>
      <c r="X17" s="14">
        <v>0.22</v>
      </c>
      <c r="Y17" s="14">
        <v>7.0000000000000007E-2</v>
      </c>
      <c r="Z17" s="14">
        <v>0.11</v>
      </c>
      <c r="AA17" s="14">
        <v>0.08</v>
      </c>
      <c r="AB17" s="14">
        <v>0.18</v>
      </c>
      <c r="AC17" s="14">
        <v>0.08</v>
      </c>
      <c r="AD17" s="14">
        <v>0.1</v>
      </c>
      <c r="AE17" s="14">
        <v>0.15</v>
      </c>
      <c r="AF17" s="14">
        <v>0.14000000000000001</v>
      </c>
    </row>
    <row r="18" spans="1:32" x14ac:dyDescent="0.35">
      <c r="A18" s="31"/>
      <c r="B18" s="11" t="s">
        <v>594</v>
      </c>
      <c r="C18" s="12">
        <v>672</v>
      </c>
      <c r="D18" s="12">
        <v>29</v>
      </c>
      <c r="E18" s="12">
        <v>28</v>
      </c>
      <c r="F18" s="12">
        <v>37</v>
      </c>
      <c r="G18" s="12">
        <v>59</v>
      </c>
      <c r="H18" s="12">
        <v>24</v>
      </c>
      <c r="I18" s="12">
        <v>28</v>
      </c>
      <c r="J18" s="12">
        <v>4</v>
      </c>
      <c r="K18" s="12">
        <v>67</v>
      </c>
      <c r="L18" s="12">
        <v>15</v>
      </c>
      <c r="M18" s="12">
        <v>14</v>
      </c>
      <c r="N18" s="12">
        <v>32</v>
      </c>
      <c r="O18" s="12">
        <v>26</v>
      </c>
      <c r="P18" s="12">
        <v>19</v>
      </c>
      <c r="Q18" s="12">
        <v>15</v>
      </c>
      <c r="R18" s="12">
        <v>6</v>
      </c>
      <c r="S18" s="12">
        <v>59</v>
      </c>
      <c r="T18" s="12">
        <v>55</v>
      </c>
      <c r="U18" s="12">
        <v>13</v>
      </c>
      <c r="V18" s="12">
        <v>26</v>
      </c>
      <c r="W18" s="12">
        <v>13</v>
      </c>
      <c r="X18" s="12">
        <v>37</v>
      </c>
      <c r="Y18" s="12">
        <v>15</v>
      </c>
      <c r="Z18" s="12">
        <v>22</v>
      </c>
      <c r="AA18" s="12">
        <v>12</v>
      </c>
      <c r="AB18" s="12">
        <v>67</v>
      </c>
      <c r="AC18" s="12">
        <v>18</v>
      </c>
      <c r="AD18" s="12">
        <v>35</v>
      </c>
      <c r="AE18" s="12">
        <v>13</v>
      </c>
      <c r="AF18" s="12">
        <v>32</v>
      </c>
    </row>
    <row r="19" spans="1:32" x14ac:dyDescent="0.35">
      <c r="A19" s="31"/>
      <c r="B19" s="13" t="s">
        <v>595</v>
      </c>
      <c r="C19" s="14">
        <v>0.02</v>
      </c>
      <c r="D19" s="14">
        <v>0.03</v>
      </c>
      <c r="E19" s="14">
        <v>0.03</v>
      </c>
      <c r="F19" s="14">
        <v>0.04</v>
      </c>
      <c r="G19" s="14">
        <v>0.06</v>
      </c>
      <c r="H19" s="14">
        <v>0.02</v>
      </c>
      <c r="I19" s="14">
        <v>0.02</v>
      </c>
      <c r="J19" s="14">
        <v>0.01</v>
      </c>
      <c r="K19" s="14">
        <v>7.0000000000000007E-2</v>
      </c>
      <c r="L19" s="14">
        <v>0.02</v>
      </c>
      <c r="M19" s="14">
        <v>0.01</v>
      </c>
      <c r="N19" s="14">
        <v>0.03</v>
      </c>
      <c r="O19" s="14">
        <v>0.03</v>
      </c>
      <c r="P19" s="14">
        <v>0.02</v>
      </c>
      <c r="Q19" s="14">
        <v>0.01</v>
      </c>
      <c r="R19" s="14">
        <v>0.01</v>
      </c>
      <c r="S19" s="14">
        <v>0.06</v>
      </c>
      <c r="T19" s="14">
        <v>0.05</v>
      </c>
      <c r="U19" s="14">
        <v>0.03</v>
      </c>
      <c r="V19" s="14">
        <v>0.03</v>
      </c>
      <c r="W19" s="14">
        <v>0.03</v>
      </c>
      <c r="X19" s="14">
        <v>0.04</v>
      </c>
      <c r="Y19" s="14">
        <v>0.01</v>
      </c>
      <c r="Z19" s="14">
        <v>0.02</v>
      </c>
      <c r="AA19" s="14">
        <v>0.01</v>
      </c>
      <c r="AB19" s="14">
        <v>0.06</v>
      </c>
      <c r="AC19" s="14">
        <v>0.02</v>
      </c>
      <c r="AD19" s="14">
        <v>0.04</v>
      </c>
      <c r="AE19" s="14">
        <v>0.01</v>
      </c>
      <c r="AF19" s="14">
        <v>0.03</v>
      </c>
    </row>
    <row r="20" spans="1:32" x14ac:dyDescent="0.35">
      <c r="A20" s="31"/>
      <c r="B20" s="11" t="s">
        <v>344</v>
      </c>
      <c r="C20" s="12">
        <v>148</v>
      </c>
      <c r="D20" s="12">
        <v>4</v>
      </c>
      <c r="E20" s="12">
        <v>10</v>
      </c>
      <c r="F20" s="12">
        <v>3</v>
      </c>
      <c r="G20" s="12">
        <v>10</v>
      </c>
      <c r="H20" s="12">
        <v>7</v>
      </c>
      <c r="I20" s="12">
        <v>9</v>
      </c>
      <c r="J20" s="12">
        <v>2</v>
      </c>
      <c r="K20" s="12">
        <v>7</v>
      </c>
      <c r="L20" s="12">
        <v>4</v>
      </c>
      <c r="M20" s="12">
        <v>0</v>
      </c>
      <c r="N20" s="12">
        <v>2</v>
      </c>
      <c r="O20" s="12">
        <v>7</v>
      </c>
      <c r="P20" s="12">
        <v>1</v>
      </c>
      <c r="Q20" s="12">
        <v>7</v>
      </c>
      <c r="R20" s="12">
        <v>5</v>
      </c>
      <c r="S20" s="12">
        <v>3</v>
      </c>
      <c r="T20" s="12">
        <v>1</v>
      </c>
      <c r="U20" s="12">
        <v>3</v>
      </c>
      <c r="V20" s="12">
        <v>3</v>
      </c>
      <c r="W20" s="12">
        <v>1</v>
      </c>
      <c r="X20" s="12">
        <v>2</v>
      </c>
      <c r="Y20" s="12">
        <v>8</v>
      </c>
      <c r="Z20" s="12">
        <v>10</v>
      </c>
      <c r="AA20" s="12">
        <v>11</v>
      </c>
      <c r="AB20" s="12">
        <v>10</v>
      </c>
      <c r="AC20" s="12">
        <v>3</v>
      </c>
      <c r="AD20" s="12">
        <v>3</v>
      </c>
      <c r="AE20" s="12">
        <v>1</v>
      </c>
      <c r="AF20" s="12">
        <v>3</v>
      </c>
    </row>
    <row r="21" spans="1:32" x14ac:dyDescent="0.35">
      <c r="A21" s="31"/>
      <c r="B21" s="13" t="s">
        <v>357</v>
      </c>
      <c r="C21" s="14">
        <v>0.01</v>
      </c>
      <c r="D21" s="15" t="s">
        <v>333</v>
      </c>
      <c r="E21" s="14">
        <v>0.01</v>
      </c>
      <c r="F21" s="15" t="s">
        <v>333</v>
      </c>
      <c r="G21" s="14">
        <v>0.01</v>
      </c>
      <c r="H21" s="15" t="s">
        <v>333</v>
      </c>
      <c r="I21" s="14">
        <v>0.01</v>
      </c>
      <c r="J21" s="14">
        <v>0.01</v>
      </c>
      <c r="K21" s="14">
        <v>0.01</v>
      </c>
      <c r="L21" s="15" t="s">
        <v>333</v>
      </c>
      <c r="M21" s="15" t="s">
        <v>333</v>
      </c>
      <c r="N21" s="15" t="s">
        <v>333</v>
      </c>
      <c r="O21" s="14">
        <v>0.01</v>
      </c>
      <c r="P21" s="15" t="s">
        <v>333</v>
      </c>
      <c r="Q21" s="14">
        <v>0.01</v>
      </c>
      <c r="R21" s="14">
        <v>0.01</v>
      </c>
      <c r="S21" s="15" t="s">
        <v>333</v>
      </c>
      <c r="T21" s="15" t="s">
        <v>333</v>
      </c>
      <c r="U21" s="15" t="s">
        <v>333</v>
      </c>
      <c r="V21" s="15" t="s">
        <v>333</v>
      </c>
      <c r="W21" s="15" t="s">
        <v>333</v>
      </c>
      <c r="X21" s="15" t="s">
        <v>333</v>
      </c>
      <c r="Y21" s="14">
        <v>0.01</v>
      </c>
      <c r="Z21" s="14">
        <v>0.01</v>
      </c>
      <c r="AA21" s="14">
        <v>0.01</v>
      </c>
      <c r="AB21" s="14">
        <v>0.01</v>
      </c>
      <c r="AC21" s="15" t="s">
        <v>333</v>
      </c>
      <c r="AD21" s="15" t="s">
        <v>333</v>
      </c>
      <c r="AE21" s="15" t="s">
        <v>333</v>
      </c>
      <c r="AF21" s="15" t="s">
        <v>333</v>
      </c>
    </row>
    <row r="22" spans="1:32" x14ac:dyDescent="0.35">
      <c r="A22" s="31"/>
      <c r="B22" s="11" t="s">
        <v>596</v>
      </c>
      <c r="C22" s="12">
        <v>22487</v>
      </c>
      <c r="D22" s="12">
        <v>841</v>
      </c>
      <c r="E22" s="12">
        <v>874</v>
      </c>
      <c r="F22" s="12">
        <v>814</v>
      </c>
      <c r="G22" s="12">
        <v>782</v>
      </c>
      <c r="H22" s="12">
        <v>1051</v>
      </c>
      <c r="I22" s="12">
        <v>1310</v>
      </c>
      <c r="J22" s="12">
        <v>258</v>
      </c>
      <c r="K22" s="12">
        <v>751</v>
      </c>
      <c r="L22" s="12">
        <v>880</v>
      </c>
      <c r="M22" s="12">
        <v>951</v>
      </c>
      <c r="N22" s="12">
        <v>831</v>
      </c>
      <c r="O22" s="12">
        <v>863</v>
      </c>
      <c r="P22" s="12">
        <v>842</v>
      </c>
      <c r="Q22" s="12">
        <v>942</v>
      </c>
      <c r="R22" s="12">
        <v>455</v>
      </c>
      <c r="S22" s="12">
        <v>782</v>
      </c>
      <c r="T22" s="12">
        <v>771</v>
      </c>
      <c r="U22" s="12">
        <v>430</v>
      </c>
      <c r="V22" s="12">
        <v>859</v>
      </c>
      <c r="W22" s="12">
        <v>446</v>
      </c>
      <c r="X22" s="12">
        <v>743</v>
      </c>
      <c r="Y22" s="12">
        <v>912</v>
      </c>
      <c r="Z22" s="12">
        <v>876</v>
      </c>
      <c r="AA22" s="12">
        <v>924</v>
      </c>
      <c r="AB22" s="12">
        <v>793</v>
      </c>
      <c r="AC22" s="12">
        <v>913</v>
      </c>
      <c r="AD22" s="12">
        <v>867</v>
      </c>
      <c r="AE22" s="12">
        <v>840</v>
      </c>
      <c r="AF22" s="12">
        <v>843</v>
      </c>
    </row>
    <row r="23" spans="1:32" x14ac:dyDescent="0.35">
      <c r="A23" s="31"/>
      <c r="B23" s="13" t="s">
        <v>596</v>
      </c>
      <c r="C23" s="14">
        <v>0.85</v>
      </c>
      <c r="D23" s="14">
        <v>0.82000000000000006</v>
      </c>
      <c r="E23" s="14">
        <v>0.84</v>
      </c>
      <c r="F23" s="14">
        <v>0.8</v>
      </c>
      <c r="G23" s="14">
        <v>0.77</v>
      </c>
      <c r="H23" s="14">
        <v>0.86</v>
      </c>
      <c r="I23" s="14">
        <v>0.85</v>
      </c>
      <c r="J23" s="14">
        <v>0.87</v>
      </c>
      <c r="K23" s="14">
        <v>0.74</v>
      </c>
      <c r="L23" s="14">
        <v>0.88</v>
      </c>
      <c r="M23" s="14">
        <v>0.95000000000000007</v>
      </c>
      <c r="N23" s="14">
        <v>0.83000000000000007</v>
      </c>
      <c r="O23" s="14">
        <v>0.86</v>
      </c>
      <c r="P23" s="14">
        <v>0.84</v>
      </c>
      <c r="Q23" s="14">
        <v>0.91</v>
      </c>
      <c r="R23" s="14">
        <v>0.91</v>
      </c>
      <c r="S23" s="14">
        <v>0.76</v>
      </c>
      <c r="T23" s="14">
        <v>0.76</v>
      </c>
      <c r="U23" s="14">
        <v>0.85</v>
      </c>
      <c r="V23" s="14">
        <v>0.85</v>
      </c>
      <c r="W23" s="14">
        <v>0.89</v>
      </c>
      <c r="X23" s="14">
        <v>0.74</v>
      </c>
      <c r="Y23" s="14">
        <v>0.91</v>
      </c>
      <c r="Z23" s="14">
        <v>0.86</v>
      </c>
      <c r="AA23" s="14">
        <v>0.9</v>
      </c>
      <c r="AB23" s="14">
        <v>0.75</v>
      </c>
      <c r="AC23" s="14">
        <v>0.9</v>
      </c>
      <c r="AD23" s="14">
        <v>0.86</v>
      </c>
      <c r="AE23" s="14">
        <v>0.84</v>
      </c>
      <c r="AF23" s="14">
        <v>0.83000000000000007</v>
      </c>
    </row>
    <row r="24" spans="1:32" x14ac:dyDescent="0.35">
      <c r="A24" s="31"/>
      <c r="B24" s="11" t="s">
        <v>597</v>
      </c>
      <c r="C24" s="12">
        <v>3775</v>
      </c>
      <c r="D24" s="12">
        <v>180</v>
      </c>
      <c r="E24" s="12">
        <v>154</v>
      </c>
      <c r="F24" s="12">
        <v>201</v>
      </c>
      <c r="G24" s="12">
        <v>225</v>
      </c>
      <c r="H24" s="12">
        <v>175</v>
      </c>
      <c r="I24" s="12">
        <v>212</v>
      </c>
      <c r="J24" s="12">
        <v>38</v>
      </c>
      <c r="K24" s="12">
        <v>251</v>
      </c>
      <c r="L24" s="12">
        <v>119</v>
      </c>
      <c r="M24" s="12">
        <v>54</v>
      </c>
      <c r="N24" s="12">
        <v>167</v>
      </c>
      <c r="O24" s="12">
        <v>130</v>
      </c>
      <c r="P24" s="12">
        <v>161</v>
      </c>
      <c r="Q24" s="12">
        <v>85</v>
      </c>
      <c r="R24" s="12">
        <v>41</v>
      </c>
      <c r="S24" s="12">
        <v>236</v>
      </c>
      <c r="T24" s="12">
        <v>245</v>
      </c>
      <c r="U24" s="12">
        <v>77</v>
      </c>
      <c r="V24" s="12">
        <v>152</v>
      </c>
      <c r="W24" s="12">
        <v>55</v>
      </c>
      <c r="X24" s="12">
        <v>266</v>
      </c>
      <c r="Y24" s="12">
        <v>83</v>
      </c>
      <c r="Z24" s="12">
        <v>133</v>
      </c>
      <c r="AA24" s="12">
        <v>94</v>
      </c>
      <c r="AB24" s="12">
        <v>254</v>
      </c>
      <c r="AC24" s="12">
        <v>97</v>
      </c>
      <c r="AD24" s="12">
        <v>134</v>
      </c>
      <c r="AE24" s="12">
        <v>165</v>
      </c>
      <c r="AF24" s="12">
        <v>173</v>
      </c>
    </row>
    <row r="25" spans="1:32" x14ac:dyDescent="0.35">
      <c r="A25" s="31"/>
      <c r="B25" s="13" t="s">
        <v>598</v>
      </c>
      <c r="C25" s="14">
        <v>0.14000000000000001</v>
      </c>
      <c r="D25" s="14">
        <v>0.18</v>
      </c>
      <c r="E25" s="14">
        <v>0.15</v>
      </c>
      <c r="F25" s="14">
        <v>0.2</v>
      </c>
      <c r="G25" s="14">
        <v>0.22</v>
      </c>
      <c r="H25" s="14">
        <v>0.14000000000000001</v>
      </c>
      <c r="I25" s="14">
        <v>0.14000000000000001</v>
      </c>
      <c r="J25" s="14">
        <v>0.12</v>
      </c>
      <c r="K25" s="14">
        <v>0.25</v>
      </c>
      <c r="L25" s="14">
        <v>0.12</v>
      </c>
      <c r="M25" s="14">
        <v>0.05</v>
      </c>
      <c r="N25" s="14">
        <v>0.17</v>
      </c>
      <c r="O25" s="14">
        <v>0.13</v>
      </c>
      <c r="P25" s="14">
        <v>0.16</v>
      </c>
      <c r="Q25" s="14">
        <v>0.08</v>
      </c>
      <c r="R25" s="14">
        <v>0.08</v>
      </c>
      <c r="S25" s="14">
        <v>0.24</v>
      </c>
      <c r="T25" s="14">
        <v>0.24</v>
      </c>
      <c r="U25" s="14">
        <v>0.15</v>
      </c>
      <c r="V25" s="14">
        <v>0.15</v>
      </c>
      <c r="W25" s="14">
        <v>0.11</v>
      </c>
      <c r="X25" s="14">
        <v>0.26</v>
      </c>
      <c r="Y25" s="14">
        <v>0.08</v>
      </c>
      <c r="Z25" s="14">
        <v>0.13</v>
      </c>
      <c r="AA25" s="14">
        <v>0.09</v>
      </c>
      <c r="AB25" s="14">
        <v>0.24</v>
      </c>
      <c r="AC25" s="14">
        <v>0.1</v>
      </c>
      <c r="AD25" s="14">
        <v>0.14000000000000001</v>
      </c>
      <c r="AE25" s="14">
        <v>0.16</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849</v>
      </c>
      <c r="C3" s="30"/>
      <c r="D3" s="30"/>
      <c r="E3" s="30"/>
      <c r="F3" s="30"/>
      <c r="H3" s="30" t="s">
        <v>850</v>
      </c>
      <c r="I3" s="30"/>
      <c r="J3" s="30"/>
      <c r="K3" s="30"/>
      <c r="L3" s="30"/>
    </row>
    <row r="4" spans="1:32" ht="27" customHeight="1" x14ac:dyDescent="0.35">
      <c r="B4" s="30" t="s">
        <v>851</v>
      </c>
      <c r="C4" s="30"/>
      <c r="D4" s="30"/>
      <c r="E4" s="30"/>
      <c r="F4" s="30"/>
      <c r="H4" s="30" t="s">
        <v>852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8476</v>
      </c>
      <c r="D12" s="12">
        <v>303</v>
      </c>
      <c r="E12" s="12">
        <v>297</v>
      </c>
      <c r="F12" s="12">
        <v>253</v>
      </c>
      <c r="G12" s="12">
        <v>350</v>
      </c>
      <c r="H12" s="12">
        <v>407</v>
      </c>
      <c r="I12" s="12">
        <v>475</v>
      </c>
      <c r="J12" s="12">
        <v>68</v>
      </c>
      <c r="K12" s="12">
        <v>148</v>
      </c>
      <c r="L12" s="12">
        <v>498</v>
      </c>
      <c r="M12" s="12">
        <v>456</v>
      </c>
      <c r="N12" s="12">
        <v>264</v>
      </c>
      <c r="O12" s="12">
        <v>324</v>
      </c>
      <c r="P12" s="12">
        <v>323</v>
      </c>
      <c r="Q12" s="12">
        <v>444</v>
      </c>
      <c r="R12" s="12">
        <v>256</v>
      </c>
      <c r="S12" s="12">
        <v>226</v>
      </c>
      <c r="T12" s="12">
        <v>200</v>
      </c>
      <c r="U12" s="12">
        <v>231</v>
      </c>
      <c r="V12" s="12">
        <v>356</v>
      </c>
      <c r="W12" s="12">
        <v>298</v>
      </c>
      <c r="X12" s="12">
        <v>299</v>
      </c>
      <c r="Y12" s="12">
        <v>420</v>
      </c>
      <c r="Z12" s="12">
        <v>230</v>
      </c>
      <c r="AA12" s="12">
        <v>394</v>
      </c>
      <c r="AB12" s="12">
        <v>267</v>
      </c>
      <c r="AC12" s="12">
        <v>382</v>
      </c>
      <c r="AD12" s="12">
        <v>311</v>
      </c>
      <c r="AE12" s="12">
        <v>218</v>
      </c>
      <c r="AF12" s="12">
        <v>332</v>
      </c>
    </row>
    <row r="13" spans="1:32" x14ac:dyDescent="0.35">
      <c r="A13" s="31"/>
      <c r="B13" s="13" t="s">
        <v>589</v>
      </c>
      <c r="C13" s="14">
        <v>0.32</v>
      </c>
      <c r="D13" s="14">
        <v>0.3</v>
      </c>
      <c r="E13" s="14">
        <v>0.28999999999999998</v>
      </c>
      <c r="F13" s="14">
        <v>0.25</v>
      </c>
      <c r="G13" s="14">
        <v>0.35</v>
      </c>
      <c r="H13" s="14">
        <v>0.33</v>
      </c>
      <c r="I13" s="14">
        <v>0.31</v>
      </c>
      <c r="J13" s="14">
        <v>0.23</v>
      </c>
      <c r="K13" s="14">
        <v>0.15</v>
      </c>
      <c r="L13" s="14">
        <v>0.49</v>
      </c>
      <c r="M13" s="14">
        <v>0.45</v>
      </c>
      <c r="N13" s="14">
        <v>0.26</v>
      </c>
      <c r="O13" s="14">
        <v>0.33</v>
      </c>
      <c r="P13" s="14">
        <v>0.32</v>
      </c>
      <c r="Q13" s="14">
        <v>0.43</v>
      </c>
      <c r="R13" s="14">
        <v>0.51</v>
      </c>
      <c r="S13" s="14">
        <v>0.22</v>
      </c>
      <c r="T13" s="14">
        <v>0.2</v>
      </c>
      <c r="U13" s="14">
        <v>0.45</v>
      </c>
      <c r="V13" s="14">
        <v>0.35</v>
      </c>
      <c r="W13" s="14">
        <v>0.59</v>
      </c>
      <c r="X13" s="14">
        <v>0.3</v>
      </c>
      <c r="Y13" s="14">
        <v>0.42</v>
      </c>
      <c r="Z13" s="14">
        <v>0.22</v>
      </c>
      <c r="AA13" s="14">
        <v>0.38</v>
      </c>
      <c r="AB13" s="14">
        <v>0.25</v>
      </c>
      <c r="AC13" s="14">
        <v>0.38</v>
      </c>
      <c r="AD13" s="14">
        <v>0.31</v>
      </c>
      <c r="AE13" s="14">
        <v>0.22</v>
      </c>
      <c r="AF13" s="14">
        <v>0.32</v>
      </c>
    </row>
    <row r="14" spans="1:32" x14ac:dyDescent="0.35">
      <c r="A14" s="31"/>
      <c r="B14" s="11" t="s">
        <v>590</v>
      </c>
      <c r="C14" s="12">
        <v>12273</v>
      </c>
      <c r="D14" s="12">
        <v>516</v>
      </c>
      <c r="E14" s="12">
        <v>386</v>
      </c>
      <c r="F14" s="12">
        <v>400</v>
      </c>
      <c r="G14" s="12">
        <v>469</v>
      </c>
      <c r="H14" s="12">
        <v>603</v>
      </c>
      <c r="I14" s="12">
        <v>747</v>
      </c>
      <c r="J14" s="12">
        <v>144</v>
      </c>
      <c r="K14" s="12">
        <v>346</v>
      </c>
      <c r="L14" s="12">
        <v>342</v>
      </c>
      <c r="M14" s="12">
        <v>356</v>
      </c>
      <c r="N14" s="12">
        <v>422</v>
      </c>
      <c r="O14" s="12">
        <v>478</v>
      </c>
      <c r="P14" s="12">
        <v>475</v>
      </c>
      <c r="Q14" s="12">
        <v>481</v>
      </c>
      <c r="R14" s="12">
        <v>159</v>
      </c>
      <c r="S14" s="12">
        <v>368</v>
      </c>
      <c r="T14" s="12">
        <v>396</v>
      </c>
      <c r="U14" s="12">
        <v>211</v>
      </c>
      <c r="V14" s="12">
        <v>463</v>
      </c>
      <c r="W14" s="12">
        <v>158</v>
      </c>
      <c r="X14" s="12">
        <v>480</v>
      </c>
      <c r="Y14" s="12">
        <v>403</v>
      </c>
      <c r="Z14" s="12">
        <v>579</v>
      </c>
      <c r="AA14" s="12">
        <v>484</v>
      </c>
      <c r="AB14" s="12">
        <v>460</v>
      </c>
      <c r="AC14" s="12">
        <v>428</v>
      </c>
      <c r="AD14" s="12">
        <v>425</v>
      </c>
      <c r="AE14" s="12">
        <v>517</v>
      </c>
      <c r="AF14" s="12">
        <v>477</v>
      </c>
    </row>
    <row r="15" spans="1:32" x14ac:dyDescent="0.35">
      <c r="A15" s="31"/>
      <c r="B15" s="13" t="s">
        <v>591</v>
      </c>
      <c r="C15" s="14">
        <v>0.47</v>
      </c>
      <c r="D15" s="14">
        <v>0.5</v>
      </c>
      <c r="E15" s="14">
        <v>0.37</v>
      </c>
      <c r="F15" s="14">
        <v>0.39</v>
      </c>
      <c r="G15" s="14">
        <v>0.46</v>
      </c>
      <c r="H15" s="14">
        <v>0.49</v>
      </c>
      <c r="I15" s="14">
        <v>0.49</v>
      </c>
      <c r="J15" s="14">
        <v>0.48</v>
      </c>
      <c r="K15" s="14">
        <v>0.34</v>
      </c>
      <c r="L15" s="14">
        <v>0.34</v>
      </c>
      <c r="M15" s="14">
        <v>0.36</v>
      </c>
      <c r="N15" s="14">
        <v>0.42</v>
      </c>
      <c r="O15" s="14">
        <v>0.48</v>
      </c>
      <c r="P15" s="14">
        <v>0.47</v>
      </c>
      <c r="Q15" s="14">
        <v>0.47</v>
      </c>
      <c r="R15" s="14">
        <v>0.32</v>
      </c>
      <c r="S15" s="14">
        <v>0.36</v>
      </c>
      <c r="T15" s="14">
        <v>0.39</v>
      </c>
      <c r="U15" s="14">
        <v>0.42</v>
      </c>
      <c r="V15" s="14">
        <v>0.46</v>
      </c>
      <c r="W15" s="14">
        <v>0.32</v>
      </c>
      <c r="X15" s="14">
        <v>0.47</v>
      </c>
      <c r="Y15" s="14">
        <v>0.4</v>
      </c>
      <c r="Z15" s="14">
        <v>0.57000000000000006</v>
      </c>
      <c r="AA15" s="14">
        <v>0.47</v>
      </c>
      <c r="AB15" s="14">
        <v>0.44</v>
      </c>
      <c r="AC15" s="14">
        <v>0.42</v>
      </c>
      <c r="AD15" s="14">
        <v>0.42</v>
      </c>
      <c r="AE15" s="14">
        <v>0.51</v>
      </c>
      <c r="AF15" s="14">
        <v>0.47</v>
      </c>
    </row>
    <row r="16" spans="1:32" x14ac:dyDescent="0.35">
      <c r="A16" s="31"/>
      <c r="B16" s="11" t="s">
        <v>592</v>
      </c>
      <c r="C16" s="12">
        <v>4179</v>
      </c>
      <c r="D16" s="12">
        <v>163</v>
      </c>
      <c r="E16" s="12">
        <v>229</v>
      </c>
      <c r="F16" s="12">
        <v>238</v>
      </c>
      <c r="G16" s="12">
        <v>144</v>
      </c>
      <c r="H16" s="12">
        <v>167</v>
      </c>
      <c r="I16" s="12">
        <v>233</v>
      </c>
      <c r="J16" s="12">
        <v>65</v>
      </c>
      <c r="K16" s="12">
        <v>335</v>
      </c>
      <c r="L16" s="12">
        <v>116</v>
      </c>
      <c r="M16" s="12">
        <v>134</v>
      </c>
      <c r="N16" s="12">
        <v>221</v>
      </c>
      <c r="O16" s="12">
        <v>152</v>
      </c>
      <c r="P16" s="12">
        <v>178</v>
      </c>
      <c r="Q16" s="12">
        <v>72</v>
      </c>
      <c r="R16" s="12">
        <v>54</v>
      </c>
      <c r="S16" s="12">
        <v>269</v>
      </c>
      <c r="T16" s="12">
        <v>290</v>
      </c>
      <c r="U16" s="12">
        <v>46</v>
      </c>
      <c r="V16" s="12">
        <v>158</v>
      </c>
      <c r="W16" s="12">
        <v>39</v>
      </c>
      <c r="X16" s="12">
        <v>198</v>
      </c>
      <c r="Y16" s="12">
        <v>115</v>
      </c>
      <c r="Z16" s="12">
        <v>170</v>
      </c>
      <c r="AA16" s="12">
        <v>112</v>
      </c>
      <c r="AB16" s="12">
        <v>230</v>
      </c>
      <c r="AC16" s="12">
        <v>150</v>
      </c>
      <c r="AD16" s="12">
        <v>192</v>
      </c>
      <c r="AE16" s="12">
        <v>221</v>
      </c>
      <c r="AF16" s="12">
        <v>180</v>
      </c>
    </row>
    <row r="17" spans="1:32" x14ac:dyDescent="0.35">
      <c r="A17" s="31"/>
      <c r="B17" s="13" t="s">
        <v>593</v>
      </c>
      <c r="C17" s="14">
        <v>0.16</v>
      </c>
      <c r="D17" s="14">
        <v>0.16</v>
      </c>
      <c r="E17" s="14">
        <v>0.22</v>
      </c>
      <c r="F17" s="14">
        <v>0.24</v>
      </c>
      <c r="G17" s="14">
        <v>0.14000000000000001</v>
      </c>
      <c r="H17" s="14">
        <v>0.13</v>
      </c>
      <c r="I17" s="14">
        <v>0.15</v>
      </c>
      <c r="J17" s="14">
        <v>0.22</v>
      </c>
      <c r="K17" s="14">
        <v>0.33</v>
      </c>
      <c r="L17" s="14">
        <v>0.12</v>
      </c>
      <c r="M17" s="14">
        <v>0.13</v>
      </c>
      <c r="N17" s="14">
        <v>0.22</v>
      </c>
      <c r="O17" s="14">
        <v>0.15</v>
      </c>
      <c r="P17" s="14">
        <v>0.18</v>
      </c>
      <c r="Q17" s="14">
        <v>7.0000000000000007E-2</v>
      </c>
      <c r="R17" s="14">
        <v>0.11</v>
      </c>
      <c r="S17" s="14">
        <v>0.27</v>
      </c>
      <c r="T17" s="14">
        <v>0.28000000000000003</v>
      </c>
      <c r="U17" s="14">
        <v>0.09</v>
      </c>
      <c r="V17" s="14">
        <v>0.16</v>
      </c>
      <c r="W17" s="14">
        <v>0.08</v>
      </c>
      <c r="X17" s="14">
        <v>0.2</v>
      </c>
      <c r="Y17" s="14">
        <v>0.12</v>
      </c>
      <c r="Z17" s="14">
        <v>0.17</v>
      </c>
      <c r="AA17" s="14">
        <v>0.11</v>
      </c>
      <c r="AB17" s="14">
        <v>0.22</v>
      </c>
      <c r="AC17" s="14">
        <v>0.15</v>
      </c>
      <c r="AD17" s="14">
        <v>0.19</v>
      </c>
      <c r="AE17" s="14">
        <v>0.22</v>
      </c>
      <c r="AF17" s="14">
        <v>0.18</v>
      </c>
    </row>
    <row r="18" spans="1:32" x14ac:dyDescent="0.35">
      <c r="A18" s="31"/>
      <c r="B18" s="11" t="s">
        <v>594</v>
      </c>
      <c r="C18" s="12">
        <v>1174</v>
      </c>
      <c r="D18" s="12">
        <v>38</v>
      </c>
      <c r="E18" s="12">
        <v>90</v>
      </c>
      <c r="F18" s="12">
        <v>115</v>
      </c>
      <c r="G18" s="12">
        <v>41</v>
      </c>
      <c r="H18" s="12">
        <v>47</v>
      </c>
      <c r="I18" s="12">
        <v>64</v>
      </c>
      <c r="J18" s="12">
        <v>17</v>
      </c>
      <c r="K18" s="12">
        <v>144</v>
      </c>
      <c r="L18" s="12">
        <v>37</v>
      </c>
      <c r="M18" s="12">
        <v>41</v>
      </c>
      <c r="N18" s="12">
        <v>77</v>
      </c>
      <c r="O18" s="12">
        <v>34</v>
      </c>
      <c r="P18" s="12">
        <v>24</v>
      </c>
      <c r="Q18" s="12">
        <v>25</v>
      </c>
      <c r="R18" s="12">
        <v>11</v>
      </c>
      <c r="S18" s="12">
        <v>125</v>
      </c>
      <c r="T18" s="12">
        <v>118</v>
      </c>
      <c r="U18" s="12">
        <v>17</v>
      </c>
      <c r="V18" s="12">
        <v>35</v>
      </c>
      <c r="W18" s="12">
        <v>5</v>
      </c>
      <c r="X18" s="12">
        <v>32</v>
      </c>
      <c r="Y18" s="12">
        <v>33</v>
      </c>
      <c r="Z18" s="12">
        <v>29</v>
      </c>
      <c r="AA18" s="12">
        <v>24</v>
      </c>
      <c r="AB18" s="12">
        <v>84</v>
      </c>
      <c r="AC18" s="12">
        <v>45</v>
      </c>
      <c r="AD18" s="12">
        <v>71</v>
      </c>
      <c r="AE18" s="12">
        <v>46</v>
      </c>
      <c r="AF18" s="12">
        <v>30</v>
      </c>
    </row>
    <row r="19" spans="1:32" x14ac:dyDescent="0.35">
      <c r="A19" s="31"/>
      <c r="B19" s="13" t="s">
        <v>595</v>
      </c>
      <c r="C19" s="14">
        <v>0.04</v>
      </c>
      <c r="D19" s="14">
        <v>0.04</v>
      </c>
      <c r="E19" s="14">
        <v>0.09</v>
      </c>
      <c r="F19" s="14">
        <v>0.11</v>
      </c>
      <c r="G19" s="14">
        <v>0.04</v>
      </c>
      <c r="H19" s="14">
        <v>0.04</v>
      </c>
      <c r="I19" s="14">
        <v>0.04</v>
      </c>
      <c r="J19" s="14">
        <v>0.06</v>
      </c>
      <c r="K19" s="14">
        <v>0.14000000000000001</v>
      </c>
      <c r="L19" s="14">
        <v>0.04</v>
      </c>
      <c r="M19" s="14">
        <v>0.04</v>
      </c>
      <c r="N19" s="14">
        <v>0.08</v>
      </c>
      <c r="O19" s="14">
        <v>0.03</v>
      </c>
      <c r="P19" s="14">
        <v>0.02</v>
      </c>
      <c r="Q19" s="14">
        <v>0.02</v>
      </c>
      <c r="R19" s="14">
        <v>0.02</v>
      </c>
      <c r="S19" s="14">
        <v>0.12</v>
      </c>
      <c r="T19" s="14">
        <v>0.12</v>
      </c>
      <c r="U19" s="14">
        <v>0.03</v>
      </c>
      <c r="V19" s="14">
        <v>0.03</v>
      </c>
      <c r="W19" s="14">
        <v>0.01</v>
      </c>
      <c r="X19" s="14">
        <v>0.03</v>
      </c>
      <c r="Y19" s="14">
        <v>0.03</v>
      </c>
      <c r="Z19" s="14">
        <v>0.03</v>
      </c>
      <c r="AA19" s="14">
        <v>0.02</v>
      </c>
      <c r="AB19" s="14">
        <v>0.08</v>
      </c>
      <c r="AC19" s="14">
        <v>0.04</v>
      </c>
      <c r="AD19" s="14">
        <v>7.0000000000000007E-2</v>
      </c>
      <c r="AE19" s="14">
        <v>0.05</v>
      </c>
      <c r="AF19" s="14">
        <v>0.03</v>
      </c>
    </row>
    <row r="20" spans="1:32" x14ac:dyDescent="0.35">
      <c r="A20" s="31"/>
      <c r="B20" s="11" t="s">
        <v>344</v>
      </c>
      <c r="C20" s="12">
        <v>308</v>
      </c>
      <c r="D20" s="12">
        <v>4</v>
      </c>
      <c r="E20" s="12">
        <v>37</v>
      </c>
      <c r="F20" s="12">
        <v>14</v>
      </c>
      <c r="G20" s="12">
        <v>13</v>
      </c>
      <c r="H20" s="12">
        <v>8</v>
      </c>
      <c r="I20" s="12">
        <v>12</v>
      </c>
      <c r="J20" s="12">
        <v>4</v>
      </c>
      <c r="K20" s="12">
        <v>36</v>
      </c>
      <c r="L20" s="12">
        <v>11</v>
      </c>
      <c r="M20" s="12">
        <v>17</v>
      </c>
      <c r="N20" s="12">
        <v>17</v>
      </c>
      <c r="O20" s="12">
        <v>12</v>
      </c>
      <c r="P20" s="12">
        <v>4</v>
      </c>
      <c r="Q20" s="12">
        <v>12</v>
      </c>
      <c r="R20" s="12">
        <v>21</v>
      </c>
      <c r="S20" s="12">
        <v>32</v>
      </c>
      <c r="T20" s="12">
        <v>13</v>
      </c>
      <c r="U20" s="12">
        <v>5</v>
      </c>
      <c r="V20" s="12">
        <v>2</v>
      </c>
      <c r="W20" s="12">
        <v>1</v>
      </c>
      <c r="X20" s="12">
        <v>1</v>
      </c>
      <c r="Y20" s="12">
        <v>32</v>
      </c>
      <c r="Z20" s="12">
        <v>11</v>
      </c>
      <c r="AA20" s="12">
        <v>16</v>
      </c>
      <c r="AB20" s="12">
        <v>16</v>
      </c>
      <c r="AC20" s="12">
        <v>8</v>
      </c>
      <c r="AD20" s="12">
        <v>6</v>
      </c>
      <c r="AE20" s="12">
        <v>5</v>
      </c>
      <c r="AF20" s="12">
        <v>1</v>
      </c>
    </row>
    <row r="21" spans="1:32" x14ac:dyDescent="0.35">
      <c r="A21" s="31"/>
      <c r="B21" s="13" t="s">
        <v>357</v>
      </c>
      <c r="C21" s="14">
        <v>0.01</v>
      </c>
      <c r="D21" s="15" t="s">
        <v>333</v>
      </c>
      <c r="E21" s="14">
        <v>0.03</v>
      </c>
      <c r="F21" s="14">
        <v>0.01</v>
      </c>
      <c r="G21" s="14">
        <v>0.01</v>
      </c>
      <c r="H21" s="14">
        <v>0.01</v>
      </c>
      <c r="I21" s="14">
        <v>0.01</v>
      </c>
      <c r="J21" s="14">
        <v>0.01</v>
      </c>
      <c r="K21" s="14">
        <v>0.04</v>
      </c>
      <c r="L21" s="14">
        <v>0.01</v>
      </c>
      <c r="M21" s="14">
        <v>0.02</v>
      </c>
      <c r="N21" s="14">
        <v>0.02</v>
      </c>
      <c r="O21" s="14">
        <v>0.01</v>
      </c>
      <c r="P21" s="14">
        <v>0.01</v>
      </c>
      <c r="Q21" s="14">
        <v>0.01</v>
      </c>
      <c r="R21" s="14">
        <v>0.04</v>
      </c>
      <c r="S21" s="14">
        <v>0.03</v>
      </c>
      <c r="T21" s="14">
        <v>0.01</v>
      </c>
      <c r="U21" s="14">
        <v>0.01</v>
      </c>
      <c r="V21" s="15" t="s">
        <v>333</v>
      </c>
      <c r="W21" s="15" t="s">
        <v>333</v>
      </c>
      <c r="X21" s="15" t="s">
        <v>333</v>
      </c>
      <c r="Y21" s="14">
        <v>0.03</v>
      </c>
      <c r="Z21" s="14">
        <v>0.01</v>
      </c>
      <c r="AA21" s="14">
        <v>0.02</v>
      </c>
      <c r="AB21" s="14">
        <v>0.01</v>
      </c>
      <c r="AC21" s="14">
        <v>0.01</v>
      </c>
      <c r="AD21" s="14">
        <v>0.01</v>
      </c>
      <c r="AE21" s="15" t="s">
        <v>333</v>
      </c>
      <c r="AF21" s="15" t="s">
        <v>333</v>
      </c>
    </row>
    <row r="22" spans="1:32" x14ac:dyDescent="0.35">
      <c r="A22" s="31"/>
      <c r="B22" s="11" t="s">
        <v>596</v>
      </c>
      <c r="C22" s="12">
        <v>20749</v>
      </c>
      <c r="D22" s="12">
        <v>819</v>
      </c>
      <c r="E22" s="12">
        <v>683</v>
      </c>
      <c r="F22" s="12">
        <v>653</v>
      </c>
      <c r="G22" s="12">
        <v>819</v>
      </c>
      <c r="H22" s="12">
        <v>1010</v>
      </c>
      <c r="I22" s="12">
        <v>1222</v>
      </c>
      <c r="J22" s="12">
        <v>212</v>
      </c>
      <c r="K22" s="12">
        <v>494</v>
      </c>
      <c r="L22" s="12">
        <v>840</v>
      </c>
      <c r="M22" s="12">
        <v>812</v>
      </c>
      <c r="N22" s="12">
        <v>686</v>
      </c>
      <c r="O22" s="12">
        <v>802</v>
      </c>
      <c r="P22" s="12">
        <v>798</v>
      </c>
      <c r="Q22" s="12">
        <v>925</v>
      </c>
      <c r="R22" s="12">
        <v>415</v>
      </c>
      <c r="S22" s="12">
        <v>594</v>
      </c>
      <c r="T22" s="12">
        <v>596</v>
      </c>
      <c r="U22" s="12">
        <v>442</v>
      </c>
      <c r="V22" s="12">
        <v>819</v>
      </c>
      <c r="W22" s="12">
        <v>456</v>
      </c>
      <c r="X22" s="12">
        <v>779</v>
      </c>
      <c r="Y22" s="12">
        <v>823</v>
      </c>
      <c r="Z22" s="12">
        <v>809</v>
      </c>
      <c r="AA22" s="12">
        <v>878</v>
      </c>
      <c r="AB22" s="12">
        <v>727</v>
      </c>
      <c r="AC22" s="12">
        <v>810</v>
      </c>
      <c r="AD22" s="12">
        <v>736</v>
      </c>
      <c r="AE22" s="12">
        <v>735</v>
      </c>
      <c r="AF22" s="12">
        <v>809</v>
      </c>
    </row>
    <row r="23" spans="1:32" x14ac:dyDescent="0.35">
      <c r="A23" s="31"/>
      <c r="B23" s="13" t="s">
        <v>596</v>
      </c>
      <c r="C23" s="14">
        <v>0.79</v>
      </c>
      <c r="D23" s="14">
        <v>0.8</v>
      </c>
      <c r="E23" s="14">
        <v>0.66</v>
      </c>
      <c r="F23" s="14">
        <v>0.64</v>
      </c>
      <c r="G23" s="14">
        <v>0.81</v>
      </c>
      <c r="H23" s="14">
        <v>0.82000000000000006</v>
      </c>
      <c r="I23" s="14">
        <v>0.8</v>
      </c>
      <c r="J23" s="14">
        <v>0.71</v>
      </c>
      <c r="K23" s="14">
        <v>0.49</v>
      </c>
      <c r="L23" s="14">
        <v>0.83000000000000007</v>
      </c>
      <c r="M23" s="14">
        <v>0.81</v>
      </c>
      <c r="N23" s="14">
        <v>0.68</v>
      </c>
      <c r="O23" s="14">
        <v>0.81</v>
      </c>
      <c r="P23" s="14">
        <v>0.79</v>
      </c>
      <c r="Q23" s="14">
        <v>0.9</v>
      </c>
      <c r="R23" s="14">
        <v>0.83000000000000007</v>
      </c>
      <c r="S23" s="14">
        <v>0.57999999999999996</v>
      </c>
      <c r="T23" s="14">
        <v>0.59</v>
      </c>
      <c r="U23" s="14">
        <v>0.87</v>
      </c>
      <c r="V23" s="14">
        <v>0.81</v>
      </c>
      <c r="W23" s="14">
        <v>0.91</v>
      </c>
      <c r="X23" s="14">
        <v>0.77</v>
      </c>
      <c r="Y23" s="14">
        <v>0.82000000000000006</v>
      </c>
      <c r="Z23" s="14">
        <v>0.79</v>
      </c>
      <c r="AA23" s="14">
        <v>0.85</v>
      </c>
      <c r="AB23" s="14">
        <v>0.69000000000000006</v>
      </c>
      <c r="AC23" s="14">
        <v>0.8</v>
      </c>
      <c r="AD23" s="14">
        <v>0.73</v>
      </c>
      <c r="AE23" s="14">
        <v>0.73</v>
      </c>
      <c r="AF23" s="14">
        <v>0.79</v>
      </c>
    </row>
    <row r="24" spans="1:32" x14ac:dyDescent="0.35">
      <c r="A24" s="31"/>
      <c r="B24" s="11" t="s">
        <v>597</v>
      </c>
      <c r="C24" s="12">
        <v>5353</v>
      </c>
      <c r="D24" s="12">
        <v>201</v>
      </c>
      <c r="E24" s="12">
        <v>319</v>
      </c>
      <c r="F24" s="12">
        <v>353</v>
      </c>
      <c r="G24" s="12">
        <v>185</v>
      </c>
      <c r="H24" s="12">
        <v>214</v>
      </c>
      <c r="I24" s="12">
        <v>297</v>
      </c>
      <c r="J24" s="12">
        <v>82</v>
      </c>
      <c r="K24" s="12">
        <v>479</v>
      </c>
      <c r="L24" s="12">
        <v>153</v>
      </c>
      <c r="M24" s="12">
        <v>175</v>
      </c>
      <c r="N24" s="12">
        <v>298</v>
      </c>
      <c r="O24" s="12">
        <v>186</v>
      </c>
      <c r="P24" s="12">
        <v>202</v>
      </c>
      <c r="Q24" s="12">
        <v>97</v>
      </c>
      <c r="R24" s="12">
        <v>65</v>
      </c>
      <c r="S24" s="12">
        <v>394</v>
      </c>
      <c r="T24" s="12">
        <v>408</v>
      </c>
      <c r="U24" s="12">
        <v>63</v>
      </c>
      <c r="V24" s="12">
        <v>193</v>
      </c>
      <c r="W24" s="12">
        <v>44</v>
      </c>
      <c r="X24" s="12">
        <v>230</v>
      </c>
      <c r="Y24" s="12">
        <v>148</v>
      </c>
      <c r="Z24" s="12">
        <v>199</v>
      </c>
      <c r="AA24" s="12">
        <v>136</v>
      </c>
      <c r="AB24" s="12">
        <v>314</v>
      </c>
      <c r="AC24" s="12">
        <v>195</v>
      </c>
      <c r="AD24" s="12">
        <v>263</v>
      </c>
      <c r="AE24" s="12">
        <v>267</v>
      </c>
      <c r="AF24" s="12">
        <v>210</v>
      </c>
    </row>
    <row r="25" spans="1:32" x14ac:dyDescent="0.35">
      <c r="A25" s="31"/>
      <c r="B25" s="13" t="s">
        <v>598</v>
      </c>
      <c r="C25" s="14">
        <v>0.2</v>
      </c>
      <c r="D25" s="14">
        <v>0.2</v>
      </c>
      <c r="E25" s="14">
        <v>0.31</v>
      </c>
      <c r="F25" s="14">
        <v>0.35</v>
      </c>
      <c r="G25" s="14">
        <v>0.18</v>
      </c>
      <c r="H25" s="14">
        <v>0.17</v>
      </c>
      <c r="I25" s="14">
        <v>0.19</v>
      </c>
      <c r="J25" s="14">
        <v>0.28000000000000003</v>
      </c>
      <c r="K25" s="14">
        <v>0.47</v>
      </c>
      <c r="L25" s="14">
        <v>0.16</v>
      </c>
      <c r="M25" s="14">
        <v>0.17</v>
      </c>
      <c r="N25" s="14">
        <v>0.3</v>
      </c>
      <c r="O25" s="14">
        <v>0.18</v>
      </c>
      <c r="P25" s="14">
        <v>0.2</v>
      </c>
      <c r="Q25" s="14">
        <v>0.09</v>
      </c>
      <c r="R25" s="14">
        <v>0.13</v>
      </c>
      <c r="S25" s="14">
        <v>0.39</v>
      </c>
      <c r="T25" s="14">
        <v>0.4</v>
      </c>
      <c r="U25" s="14">
        <v>0.12</v>
      </c>
      <c r="V25" s="14">
        <v>0.19</v>
      </c>
      <c r="W25" s="14">
        <v>0.09</v>
      </c>
      <c r="X25" s="14">
        <v>0.23</v>
      </c>
      <c r="Y25" s="14">
        <v>0.15</v>
      </c>
      <c r="Z25" s="14">
        <v>0.2</v>
      </c>
      <c r="AA25" s="14">
        <v>0.13</v>
      </c>
      <c r="AB25" s="14">
        <v>0.3</v>
      </c>
      <c r="AC25" s="14">
        <v>0.19</v>
      </c>
      <c r="AD25" s="14">
        <v>0.26</v>
      </c>
      <c r="AE25" s="14">
        <v>0.27</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853</v>
      </c>
      <c r="C3" s="30"/>
      <c r="D3" s="30"/>
      <c r="E3" s="30"/>
      <c r="F3" s="30"/>
      <c r="H3" s="30" t="s">
        <v>854</v>
      </c>
      <c r="I3" s="30"/>
      <c r="J3" s="30"/>
      <c r="K3" s="30"/>
      <c r="L3" s="30"/>
    </row>
    <row r="4" spans="1:32" ht="27" customHeight="1" x14ac:dyDescent="0.35">
      <c r="B4" s="30" t="s">
        <v>855</v>
      </c>
      <c r="C4" s="30"/>
      <c r="D4" s="30"/>
      <c r="E4" s="30"/>
      <c r="F4" s="30"/>
      <c r="H4" s="30" t="s">
        <v>856</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9561</v>
      </c>
      <c r="D12" s="12">
        <v>371</v>
      </c>
      <c r="E12" s="12">
        <v>324</v>
      </c>
      <c r="F12" s="12">
        <v>307</v>
      </c>
      <c r="G12" s="12">
        <v>406</v>
      </c>
      <c r="H12" s="12">
        <v>530</v>
      </c>
      <c r="I12" s="12">
        <v>623</v>
      </c>
      <c r="J12" s="12">
        <v>94</v>
      </c>
      <c r="K12" s="12">
        <v>227</v>
      </c>
      <c r="L12" s="12">
        <v>526</v>
      </c>
      <c r="M12" s="12">
        <v>538</v>
      </c>
      <c r="N12" s="12">
        <v>294</v>
      </c>
      <c r="O12" s="12">
        <v>320</v>
      </c>
      <c r="P12" s="12">
        <v>358</v>
      </c>
      <c r="Q12" s="12">
        <v>448</v>
      </c>
      <c r="R12" s="12">
        <v>263</v>
      </c>
      <c r="S12" s="12">
        <v>327</v>
      </c>
      <c r="T12" s="12">
        <v>228</v>
      </c>
      <c r="U12" s="12">
        <v>240</v>
      </c>
      <c r="V12" s="12">
        <v>356</v>
      </c>
      <c r="W12" s="12">
        <v>313</v>
      </c>
      <c r="X12" s="12">
        <v>389</v>
      </c>
      <c r="Y12" s="12">
        <v>417</v>
      </c>
      <c r="Z12" s="12">
        <v>261</v>
      </c>
      <c r="AA12" s="12">
        <v>363</v>
      </c>
      <c r="AB12" s="12">
        <v>267</v>
      </c>
      <c r="AC12" s="12">
        <v>416</v>
      </c>
      <c r="AD12" s="12">
        <v>396</v>
      </c>
      <c r="AE12" s="12">
        <v>365</v>
      </c>
      <c r="AF12" s="12">
        <v>503</v>
      </c>
    </row>
    <row r="13" spans="1:32" x14ac:dyDescent="0.35">
      <c r="A13" s="31"/>
      <c r="B13" s="13" t="s">
        <v>589</v>
      </c>
      <c r="C13" s="14">
        <v>0.36</v>
      </c>
      <c r="D13" s="14">
        <v>0.36</v>
      </c>
      <c r="E13" s="14">
        <v>0.31</v>
      </c>
      <c r="F13" s="14">
        <v>0.3</v>
      </c>
      <c r="G13" s="14">
        <v>0.4</v>
      </c>
      <c r="H13" s="14">
        <v>0.43</v>
      </c>
      <c r="I13" s="14">
        <v>0.41</v>
      </c>
      <c r="J13" s="14">
        <v>0.32</v>
      </c>
      <c r="K13" s="14">
        <v>0.23</v>
      </c>
      <c r="L13" s="14">
        <v>0.52</v>
      </c>
      <c r="M13" s="14">
        <v>0.54</v>
      </c>
      <c r="N13" s="14">
        <v>0.28999999999999998</v>
      </c>
      <c r="O13" s="14">
        <v>0.32</v>
      </c>
      <c r="P13" s="14">
        <v>0.36</v>
      </c>
      <c r="Q13" s="14">
        <v>0.43</v>
      </c>
      <c r="R13" s="14">
        <v>0.53</v>
      </c>
      <c r="S13" s="14">
        <v>0.32</v>
      </c>
      <c r="T13" s="14">
        <v>0.22</v>
      </c>
      <c r="U13" s="14">
        <v>0.47</v>
      </c>
      <c r="V13" s="14">
        <v>0.35</v>
      </c>
      <c r="W13" s="14">
        <v>0.62</v>
      </c>
      <c r="X13" s="14">
        <v>0.39</v>
      </c>
      <c r="Y13" s="14">
        <v>0.42</v>
      </c>
      <c r="Z13" s="14">
        <v>0.26</v>
      </c>
      <c r="AA13" s="14">
        <v>0.35</v>
      </c>
      <c r="AB13" s="14">
        <v>0.25</v>
      </c>
      <c r="AC13" s="14">
        <v>0.41</v>
      </c>
      <c r="AD13" s="14">
        <v>0.4</v>
      </c>
      <c r="AE13" s="14">
        <v>0.36</v>
      </c>
      <c r="AF13" s="14">
        <v>0.49</v>
      </c>
    </row>
    <row r="14" spans="1:32" x14ac:dyDescent="0.35">
      <c r="A14" s="31"/>
      <c r="B14" s="11" t="s">
        <v>590</v>
      </c>
      <c r="C14" s="12">
        <v>11968</v>
      </c>
      <c r="D14" s="12">
        <v>486</v>
      </c>
      <c r="E14" s="12">
        <v>391</v>
      </c>
      <c r="F14" s="12">
        <v>392</v>
      </c>
      <c r="G14" s="12">
        <v>448</v>
      </c>
      <c r="H14" s="12">
        <v>541</v>
      </c>
      <c r="I14" s="12">
        <v>682</v>
      </c>
      <c r="J14" s="12">
        <v>140</v>
      </c>
      <c r="K14" s="12">
        <v>396</v>
      </c>
      <c r="L14" s="12">
        <v>369</v>
      </c>
      <c r="M14" s="12">
        <v>334</v>
      </c>
      <c r="N14" s="12">
        <v>442</v>
      </c>
      <c r="O14" s="12">
        <v>471</v>
      </c>
      <c r="P14" s="12">
        <v>471</v>
      </c>
      <c r="Q14" s="12">
        <v>474</v>
      </c>
      <c r="R14" s="12">
        <v>174</v>
      </c>
      <c r="S14" s="12">
        <v>395</v>
      </c>
      <c r="T14" s="12">
        <v>405</v>
      </c>
      <c r="U14" s="12">
        <v>202</v>
      </c>
      <c r="V14" s="12">
        <v>440</v>
      </c>
      <c r="W14" s="12">
        <v>151</v>
      </c>
      <c r="X14" s="12">
        <v>469</v>
      </c>
      <c r="Y14" s="12">
        <v>435</v>
      </c>
      <c r="Z14" s="12">
        <v>577</v>
      </c>
      <c r="AA14" s="12">
        <v>515</v>
      </c>
      <c r="AB14" s="12">
        <v>432</v>
      </c>
      <c r="AC14" s="12">
        <v>432</v>
      </c>
      <c r="AD14" s="12">
        <v>402</v>
      </c>
      <c r="AE14" s="12">
        <v>500</v>
      </c>
      <c r="AF14" s="12">
        <v>416</v>
      </c>
    </row>
    <row r="15" spans="1:32" x14ac:dyDescent="0.35">
      <c r="A15" s="31"/>
      <c r="B15" s="13" t="s">
        <v>591</v>
      </c>
      <c r="C15" s="14">
        <v>0.45</v>
      </c>
      <c r="D15" s="14">
        <v>0.48</v>
      </c>
      <c r="E15" s="14">
        <v>0.38</v>
      </c>
      <c r="F15" s="14">
        <v>0.38</v>
      </c>
      <c r="G15" s="14">
        <v>0.44</v>
      </c>
      <c r="H15" s="14">
        <v>0.44</v>
      </c>
      <c r="I15" s="14">
        <v>0.45</v>
      </c>
      <c r="J15" s="14">
        <v>0.47</v>
      </c>
      <c r="K15" s="14">
        <v>0.39</v>
      </c>
      <c r="L15" s="14">
        <v>0.37</v>
      </c>
      <c r="M15" s="14">
        <v>0.33</v>
      </c>
      <c r="N15" s="14">
        <v>0.44</v>
      </c>
      <c r="O15" s="14">
        <v>0.47</v>
      </c>
      <c r="P15" s="14">
        <v>0.47</v>
      </c>
      <c r="Q15" s="14">
        <v>0.46</v>
      </c>
      <c r="R15" s="14">
        <v>0.35</v>
      </c>
      <c r="S15" s="14">
        <v>0.39</v>
      </c>
      <c r="T15" s="14">
        <v>0.4</v>
      </c>
      <c r="U15" s="14">
        <v>0.4</v>
      </c>
      <c r="V15" s="14">
        <v>0.43</v>
      </c>
      <c r="W15" s="14">
        <v>0.3</v>
      </c>
      <c r="X15" s="14">
        <v>0.46</v>
      </c>
      <c r="Y15" s="14">
        <v>0.43</v>
      </c>
      <c r="Z15" s="14">
        <v>0.56000000000000005</v>
      </c>
      <c r="AA15" s="14">
        <v>0.5</v>
      </c>
      <c r="AB15" s="14">
        <v>0.41</v>
      </c>
      <c r="AC15" s="14">
        <v>0.43</v>
      </c>
      <c r="AD15" s="14">
        <v>0.4</v>
      </c>
      <c r="AE15" s="14">
        <v>0.5</v>
      </c>
      <c r="AF15" s="14">
        <v>0.41</v>
      </c>
    </row>
    <row r="16" spans="1:32" x14ac:dyDescent="0.35">
      <c r="A16" s="31"/>
      <c r="B16" s="11" t="s">
        <v>592</v>
      </c>
      <c r="C16" s="12">
        <v>3623</v>
      </c>
      <c r="D16" s="12">
        <v>137</v>
      </c>
      <c r="E16" s="12">
        <v>218</v>
      </c>
      <c r="F16" s="12">
        <v>203</v>
      </c>
      <c r="G16" s="12">
        <v>130</v>
      </c>
      <c r="H16" s="12">
        <v>120</v>
      </c>
      <c r="I16" s="12">
        <v>171</v>
      </c>
      <c r="J16" s="12">
        <v>51</v>
      </c>
      <c r="K16" s="12">
        <v>262</v>
      </c>
      <c r="L16" s="12">
        <v>81</v>
      </c>
      <c r="M16" s="12">
        <v>100</v>
      </c>
      <c r="N16" s="12">
        <v>196</v>
      </c>
      <c r="O16" s="12">
        <v>157</v>
      </c>
      <c r="P16" s="12">
        <v>143</v>
      </c>
      <c r="Q16" s="12">
        <v>81</v>
      </c>
      <c r="R16" s="12">
        <v>42</v>
      </c>
      <c r="S16" s="12">
        <v>185</v>
      </c>
      <c r="T16" s="12">
        <v>259</v>
      </c>
      <c r="U16" s="12">
        <v>40</v>
      </c>
      <c r="V16" s="12">
        <v>172</v>
      </c>
      <c r="W16" s="12">
        <v>28</v>
      </c>
      <c r="X16" s="12">
        <v>128</v>
      </c>
      <c r="Y16" s="12">
        <v>88</v>
      </c>
      <c r="Z16" s="12">
        <v>141</v>
      </c>
      <c r="AA16" s="12">
        <v>113</v>
      </c>
      <c r="AB16" s="12">
        <v>255</v>
      </c>
      <c r="AC16" s="12">
        <v>105</v>
      </c>
      <c r="AD16" s="12">
        <v>141</v>
      </c>
      <c r="AE16" s="12">
        <v>124</v>
      </c>
      <c r="AF16" s="12">
        <v>80</v>
      </c>
    </row>
    <row r="17" spans="1:32" x14ac:dyDescent="0.35">
      <c r="A17" s="31"/>
      <c r="B17" s="13" t="s">
        <v>593</v>
      </c>
      <c r="C17" s="14">
        <v>0.14000000000000001</v>
      </c>
      <c r="D17" s="14">
        <v>0.13</v>
      </c>
      <c r="E17" s="14">
        <v>0.21</v>
      </c>
      <c r="F17" s="14">
        <v>0.2</v>
      </c>
      <c r="G17" s="14">
        <v>0.13</v>
      </c>
      <c r="H17" s="14">
        <v>0.1</v>
      </c>
      <c r="I17" s="14">
        <v>0.11</v>
      </c>
      <c r="J17" s="14">
        <v>0.17</v>
      </c>
      <c r="K17" s="14">
        <v>0.26</v>
      </c>
      <c r="L17" s="14">
        <v>0.08</v>
      </c>
      <c r="M17" s="14">
        <v>0.1</v>
      </c>
      <c r="N17" s="14">
        <v>0.2</v>
      </c>
      <c r="O17" s="14">
        <v>0.16</v>
      </c>
      <c r="P17" s="14">
        <v>0.14000000000000001</v>
      </c>
      <c r="Q17" s="14">
        <v>0.08</v>
      </c>
      <c r="R17" s="14">
        <v>0.08</v>
      </c>
      <c r="S17" s="14">
        <v>0.18</v>
      </c>
      <c r="T17" s="14">
        <v>0.26</v>
      </c>
      <c r="U17" s="14">
        <v>0.08</v>
      </c>
      <c r="V17" s="14">
        <v>0.17</v>
      </c>
      <c r="W17" s="14">
        <v>0.06</v>
      </c>
      <c r="X17" s="14">
        <v>0.13</v>
      </c>
      <c r="Y17" s="14">
        <v>0.09</v>
      </c>
      <c r="Z17" s="14">
        <v>0.14000000000000001</v>
      </c>
      <c r="AA17" s="14">
        <v>0.11</v>
      </c>
      <c r="AB17" s="14">
        <v>0.24</v>
      </c>
      <c r="AC17" s="14">
        <v>0.1</v>
      </c>
      <c r="AD17" s="14">
        <v>0.14000000000000001</v>
      </c>
      <c r="AE17" s="14">
        <v>0.12</v>
      </c>
      <c r="AF17" s="14">
        <v>0.08</v>
      </c>
    </row>
    <row r="18" spans="1:32" x14ac:dyDescent="0.35">
      <c r="A18" s="31"/>
      <c r="B18" s="11" t="s">
        <v>594</v>
      </c>
      <c r="C18" s="12">
        <v>871</v>
      </c>
      <c r="D18" s="12">
        <v>24</v>
      </c>
      <c r="E18" s="12">
        <v>64</v>
      </c>
      <c r="F18" s="12">
        <v>101</v>
      </c>
      <c r="G18" s="12">
        <v>19</v>
      </c>
      <c r="H18" s="12">
        <v>27</v>
      </c>
      <c r="I18" s="12">
        <v>34</v>
      </c>
      <c r="J18" s="12">
        <v>7</v>
      </c>
      <c r="K18" s="12">
        <v>83</v>
      </c>
      <c r="L18" s="12">
        <v>18</v>
      </c>
      <c r="M18" s="12">
        <v>23</v>
      </c>
      <c r="N18" s="12">
        <v>57</v>
      </c>
      <c r="O18" s="12">
        <v>27</v>
      </c>
      <c r="P18" s="12">
        <v>27</v>
      </c>
      <c r="Q18" s="12">
        <v>22</v>
      </c>
      <c r="R18" s="12">
        <v>15</v>
      </c>
      <c r="S18" s="12">
        <v>95</v>
      </c>
      <c r="T18" s="12">
        <v>105</v>
      </c>
      <c r="U18" s="12">
        <v>14</v>
      </c>
      <c r="V18" s="12">
        <v>38</v>
      </c>
      <c r="W18" s="12">
        <v>8</v>
      </c>
      <c r="X18" s="12">
        <v>20</v>
      </c>
      <c r="Y18" s="12">
        <v>22</v>
      </c>
      <c r="Z18" s="12">
        <v>27</v>
      </c>
      <c r="AA18" s="12">
        <v>20</v>
      </c>
      <c r="AB18" s="12">
        <v>80</v>
      </c>
      <c r="AC18" s="12">
        <v>50</v>
      </c>
      <c r="AD18" s="12">
        <v>54</v>
      </c>
      <c r="AE18" s="12">
        <v>14</v>
      </c>
      <c r="AF18" s="12">
        <v>20</v>
      </c>
    </row>
    <row r="19" spans="1:32" x14ac:dyDescent="0.35">
      <c r="A19" s="31"/>
      <c r="B19" s="13" t="s">
        <v>595</v>
      </c>
      <c r="C19" s="14">
        <v>0.03</v>
      </c>
      <c r="D19" s="14">
        <v>0.02</v>
      </c>
      <c r="E19" s="14">
        <v>0.06</v>
      </c>
      <c r="F19" s="14">
        <v>0.1</v>
      </c>
      <c r="G19" s="14">
        <v>0.02</v>
      </c>
      <c r="H19" s="14">
        <v>0.02</v>
      </c>
      <c r="I19" s="14">
        <v>0.02</v>
      </c>
      <c r="J19" s="14">
        <v>0.02</v>
      </c>
      <c r="K19" s="14">
        <v>0.08</v>
      </c>
      <c r="L19" s="14">
        <v>0.02</v>
      </c>
      <c r="M19" s="14">
        <v>0.02</v>
      </c>
      <c r="N19" s="14">
        <v>0.06</v>
      </c>
      <c r="O19" s="14">
        <v>0.03</v>
      </c>
      <c r="P19" s="14">
        <v>0.03</v>
      </c>
      <c r="Q19" s="14">
        <v>0.02</v>
      </c>
      <c r="R19" s="14">
        <v>0.03</v>
      </c>
      <c r="S19" s="14">
        <v>0.09</v>
      </c>
      <c r="T19" s="14">
        <v>0.1</v>
      </c>
      <c r="U19" s="14">
        <v>0.03</v>
      </c>
      <c r="V19" s="14">
        <v>0.04</v>
      </c>
      <c r="W19" s="14">
        <v>0.02</v>
      </c>
      <c r="X19" s="14">
        <v>0.02</v>
      </c>
      <c r="Y19" s="14">
        <v>0.02</v>
      </c>
      <c r="Z19" s="14">
        <v>0.03</v>
      </c>
      <c r="AA19" s="14">
        <v>0.02</v>
      </c>
      <c r="AB19" s="14">
        <v>0.08</v>
      </c>
      <c r="AC19" s="14">
        <v>0.05</v>
      </c>
      <c r="AD19" s="14">
        <v>0.05</v>
      </c>
      <c r="AE19" s="14">
        <v>0.01</v>
      </c>
      <c r="AF19" s="14">
        <v>0.02</v>
      </c>
    </row>
    <row r="20" spans="1:32" x14ac:dyDescent="0.35">
      <c r="A20" s="31"/>
      <c r="B20" s="11" t="s">
        <v>344</v>
      </c>
      <c r="C20" s="12">
        <v>387</v>
      </c>
      <c r="D20" s="12">
        <v>8</v>
      </c>
      <c r="E20" s="12">
        <v>40</v>
      </c>
      <c r="F20" s="12">
        <v>16</v>
      </c>
      <c r="G20" s="12">
        <v>13</v>
      </c>
      <c r="H20" s="12">
        <v>15</v>
      </c>
      <c r="I20" s="12">
        <v>20</v>
      </c>
      <c r="J20" s="12">
        <v>5</v>
      </c>
      <c r="K20" s="12">
        <v>42</v>
      </c>
      <c r="L20" s="12">
        <v>10</v>
      </c>
      <c r="M20" s="12">
        <v>8</v>
      </c>
      <c r="N20" s="12">
        <v>12</v>
      </c>
      <c r="O20" s="12">
        <v>25</v>
      </c>
      <c r="P20" s="12">
        <v>6</v>
      </c>
      <c r="Q20" s="12">
        <v>10</v>
      </c>
      <c r="R20" s="12">
        <v>8</v>
      </c>
      <c r="S20" s="12">
        <v>19</v>
      </c>
      <c r="T20" s="12">
        <v>20</v>
      </c>
      <c r="U20" s="12">
        <v>13</v>
      </c>
      <c r="V20" s="12">
        <v>8</v>
      </c>
      <c r="W20" s="12">
        <v>0</v>
      </c>
      <c r="X20" s="12">
        <v>4</v>
      </c>
      <c r="Y20" s="12">
        <v>41</v>
      </c>
      <c r="Z20" s="12">
        <v>14</v>
      </c>
      <c r="AA20" s="12">
        <v>20</v>
      </c>
      <c r="AB20" s="12">
        <v>22</v>
      </c>
      <c r="AC20" s="12">
        <v>10</v>
      </c>
      <c r="AD20" s="12">
        <v>11</v>
      </c>
      <c r="AE20" s="12">
        <v>5</v>
      </c>
      <c r="AF20" s="12">
        <v>2</v>
      </c>
    </row>
    <row r="21" spans="1:32" x14ac:dyDescent="0.35">
      <c r="A21" s="31"/>
      <c r="B21" s="13" t="s">
        <v>357</v>
      </c>
      <c r="C21" s="14">
        <v>0.02</v>
      </c>
      <c r="D21" s="14">
        <v>0.01</v>
      </c>
      <c r="E21" s="14">
        <v>0.04</v>
      </c>
      <c r="F21" s="14">
        <v>0.02</v>
      </c>
      <c r="G21" s="14">
        <v>0.01</v>
      </c>
      <c r="H21" s="14">
        <v>0.01</v>
      </c>
      <c r="I21" s="14">
        <v>0.01</v>
      </c>
      <c r="J21" s="14">
        <v>0.02</v>
      </c>
      <c r="K21" s="14">
        <v>0.04</v>
      </c>
      <c r="L21" s="14">
        <v>0.01</v>
      </c>
      <c r="M21" s="14">
        <v>0.01</v>
      </c>
      <c r="N21" s="14">
        <v>0.01</v>
      </c>
      <c r="O21" s="14">
        <v>0.02</v>
      </c>
      <c r="P21" s="15" t="s">
        <v>333</v>
      </c>
      <c r="Q21" s="14">
        <v>0.01</v>
      </c>
      <c r="R21" s="14">
        <v>0.01</v>
      </c>
      <c r="S21" s="14">
        <v>0.02</v>
      </c>
      <c r="T21" s="14">
        <v>0.02</v>
      </c>
      <c r="U21" s="14">
        <v>0.02</v>
      </c>
      <c r="V21" s="14">
        <v>0.01</v>
      </c>
      <c r="W21" s="15" t="s">
        <v>333</v>
      </c>
      <c r="X21" s="15" t="s">
        <v>333</v>
      </c>
      <c r="Y21" s="14">
        <v>0.04</v>
      </c>
      <c r="Z21" s="14">
        <v>0.01</v>
      </c>
      <c r="AA21" s="14">
        <v>0.02</v>
      </c>
      <c r="AB21" s="14">
        <v>0.02</v>
      </c>
      <c r="AC21" s="14">
        <v>0.01</v>
      </c>
      <c r="AD21" s="14">
        <v>0.01</v>
      </c>
      <c r="AE21" s="14">
        <v>0.01</v>
      </c>
      <c r="AF21" s="15" t="s">
        <v>333</v>
      </c>
    </row>
    <row r="22" spans="1:32" x14ac:dyDescent="0.35">
      <c r="A22" s="31"/>
      <c r="B22" s="11" t="s">
        <v>596</v>
      </c>
      <c r="C22" s="12">
        <v>21529</v>
      </c>
      <c r="D22" s="12">
        <v>857</v>
      </c>
      <c r="E22" s="12">
        <v>715</v>
      </c>
      <c r="F22" s="12">
        <v>699</v>
      </c>
      <c r="G22" s="12">
        <v>854</v>
      </c>
      <c r="H22" s="12">
        <v>1071</v>
      </c>
      <c r="I22" s="12">
        <v>1305</v>
      </c>
      <c r="J22" s="12">
        <v>234</v>
      </c>
      <c r="K22" s="12">
        <v>623</v>
      </c>
      <c r="L22" s="12">
        <v>895</v>
      </c>
      <c r="M22" s="12">
        <v>872</v>
      </c>
      <c r="N22" s="12">
        <v>736</v>
      </c>
      <c r="O22" s="12">
        <v>791</v>
      </c>
      <c r="P22" s="12">
        <v>829</v>
      </c>
      <c r="Q22" s="12">
        <v>922</v>
      </c>
      <c r="R22" s="12">
        <v>437</v>
      </c>
      <c r="S22" s="12">
        <v>722</v>
      </c>
      <c r="T22" s="12">
        <v>633</v>
      </c>
      <c r="U22" s="12">
        <v>442</v>
      </c>
      <c r="V22" s="12">
        <v>796</v>
      </c>
      <c r="W22" s="12">
        <v>464</v>
      </c>
      <c r="X22" s="12">
        <v>858</v>
      </c>
      <c r="Y22" s="12">
        <v>852</v>
      </c>
      <c r="Z22" s="12">
        <v>838</v>
      </c>
      <c r="AA22" s="12">
        <v>878</v>
      </c>
      <c r="AB22" s="12">
        <v>699</v>
      </c>
      <c r="AC22" s="12">
        <v>848</v>
      </c>
      <c r="AD22" s="12">
        <v>798</v>
      </c>
      <c r="AE22" s="12">
        <v>865</v>
      </c>
      <c r="AF22" s="12">
        <v>919</v>
      </c>
    </row>
    <row r="23" spans="1:32" x14ac:dyDescent="0.35">
      <c r="A23" s="31"/>
      <c r="B23" s="13" t="s">
        <v>596</v>
      </c>
      <c r="C23" s="14">
        <v>0.81</v>
      </c>
      <c r="D23" s="14">
        <v>0.84</v>
      </c>
      <c r="E23" s="14">
        <v>0.69000000000000006</v>
      </c>
      <c r="F23" s="14">
        <v>0.68</v>
      </c>
      <c r="G23" s="14">
        <v>0.84</v>
      </c>
      <c r="H23" s="14">
        <v>0.87</v>
      </c>
      <c r="I23" s="14">
        <v>0.86</v>
      </c>
      <c r="J23" s="14">
        <v>0.79</v>
      </c>
      <c r="K23" s="14">
        <v>0.62</v>
      </c>
      <c r="L23" s="14">
        <v>0.89</v>
      </c>
      <c r="M23" s="14">
        <v>0.87</v>
      </c>
      <c r="N23" s="14">
        <v>0.73</v>
      </c>
      <c r="O23" s="14">
        <v>0.79</v>
      </c>
      <c r="P23" s="14">
        <v>0.83000000000000007</v>
      </c>
      <c r="Q23" s="14">
        <v>0.89</v>
      </c>
      <c r="R23" s="14">
        <v>0.88</v>
      </c>
      <c r="S23" s="14">
        <v>0.71</v>
      </c>
      <c r="T23" s="14">
        <v>0.62</v>
      </c>
      <c r="U23" s="14">
        <v>0.87</v>
      </c>
      <c r="V23" s="14">
        <v>0.78</v>
      </c>
      <c r="W23" s="14">
        <v>0.92</v>
      </c>
      <c r="X23" s="14">
        <v>0.85</v>
      </c>
      <c r="Y23" s="14">
        <v>0.85</v>
      </c>
      <c r="Z23" s="14">
        <v>0.82000000000000006</v>
      </c>
      <c r="AA23" s="14">
        <v>0.85</v>
      </c>
      <c r="AB23" s="14">
        <v>0.66</v>
      </c>
      <c r="AC23" s="14">
        <v>0.84</v>
      </c>
      <c r="AD23" s="14">
        <v>0.8</v>
      </c>
      <c r="AE23" s="14">
        <v>0.86</v>
      </c>
      <c r="AF23" s="14">
        <v>0.9</v>
      </c>
    </row>
    <row r="24" spans="1:32" x14ac:dyDescent="0.35">
      <c r="A24" s="31"/>
      <c r="B24" s="11" t="s">
        <v>597</v>
      </c>
      <c r="C24" s="12">
        <v>4494</v>
      </c>
      <c r="D24" s="12">
        <v>161</v>
      </c>
      <c r="E24" s="12">
        <v>282</v>
      </c>
      <c r="F24" s="12">
        <v>304</v>
      </c>
      <c r="G24" s="12">
        <v>149</v>
      </c>
      <c r="H24" s="12">
        <v>147</v>
      </c>
      <c r="I24" s="12">
        <v>205</v>
      </c>
      <c r="J24" s="12">
        <v>58</v>
      </c>
      <c r="K24" s="12">
        <v>345</v>
      </c>
      <c r="L24" s="12">
        <v>99</v>
      </c>
      <c r="M24" s="12">
        <v>123</v>
      </c>
      <c r="N24" s="12">
        <v>253</v>
      </c>
      <c r="O24" s="12">
        <v>184</v>
      </c>
      <c r="P24" s="12">
        <v>170</v>
      </c>
      <c r="Q24" s="12">
        <v>103</v>
      </c>
      <c r="R24" s="12">
        <v>57</v>
      </c>
      <c r="S24" s="12">
        <v>280</v>
      </c>
      <c r="T24" s="12">
        <v>364</v>
      </c>
      <c r="U24" s="12">
        <v>54</v>
      </c>
      <c r="V24" s="12">
        <v>210</v>
      </c>
      <c r="W24" s="12">
        <v>36</v>
      </c>
      <c r="X24" s="12">
        <v>148</v>
      </c>
      <c r="Y24" s="12">
        <v>110</v>
      </c>
      <c r="Z24" s="12">
        <v>168</v>
      </c>
      <c r="AA24" s="12">
        <v>133</v>
      </c>
      <c r="AB24" s="12">
        <v>335</v>
      </c>
      <c r="AC24" s="12">
        <v>155</v>
      </c>
      <c r="AD24" s="12">
        <v>195</v>
      </c>
      <c r="AE24" s="12">
        <v>138</v>
      </c>
      <c r="AF24" s="12">
        <v>100</v>
      </c>
    </row>
    <row r="25" spans="1:32" x14ac:dyDescent="0.35">
      <c r="A25" s="31"/>
      <c r="B25" s="13" t="s">
        <v>598</v>
      </c>
      <c r="C25" s="14">
        <v>0.17</v>
      </c>
      <c r="D25" s="14">
        <v>0.15</v>
      </c>
      <c r="E25" s="14">
        <v>0.27</v>
      </c>
      <c r="F25" s="14">
        <v>0.3</v>
      </c>
      <c r="G25" s="14">
        <v>0.15</v>
      </c>
      <c r="H25" s="14">
        <v>0.12</v>
      </c>
      <c r="I25" s="14">
        <v>0.13</v>
      </c>
      <c r="J25" s="14">
        <v>0.19</v>
      </c>
      <c r="K25" s="14">
        <v>0.34</v>
      </c>
      <c r="L25" s="14">
        <v>0.1</v>
      </c>
      <c r="M25" s="14">
        <v>0.12</v>
      </c>
      <c r="N25" s="14">
        <v>0.26</v>
      </c>
      <c r="O25" s="14">
        <v>0.19</v>
      </c>
      <c r="P25" s="14">
        <v>0.17</v>
      </c>
      <c r="Q25" s="14">
        <v>0.1</v>
      </c>
      <c r="R25" s="14">
        <v>0.11</v>
      </c>
      <c r="S25" s="14">
        <v>0.27</v>
      </c>
      <c r="T25" s="14">
        <v>0.36</v>
      </c>
      <c r="U25" s="14">
        <v>0.11</v>
      </c>
      <c r="V25" s="14">
        <v>0.21</v>
      </c>
      <c r="W25" s="14">
        <v>0.08</v>
      </c>
      <c r="X25" s="14">
        <v>0.15</v>
      </c>
      <c r="Y25" s="14">
        <v>0.11</v>
      </c>
      <c r="Z25" s="14">
        <v>0.17</v>
      </c>
      <c r="AA25" s="14">
        <v>0.13</v>
      </c>
      <c r="AB25" s="14">
        <v>0.32</v>
      </c>
      <c r="AC25" s="14">
        <v>0.15</v>
      </c>
      <c r="AD25" s="14">
        <v>0.19</v>
      </c>
      <c r="AE25" s="14">
        <v>0.13</v>
      </c>
      <c r="AF25" s="14">
        <v>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135</v>
      </c>
      <c r="C3" s="30"/>
      <c r="D3" s="30"/>
      <c r="E3" s="30"/>
      <c r="F3" s="30"/>
      <c r="H3" s="30" t="s">
        <v>136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HYPERLINK("#Content!A69","&lt;&lt;Back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857</v>
      </c>
      <c r="C12" s="12">
        <v>771</v>
      </c>
      <c r="D12" s="12">
        <v>28</v>
      </c>
      <c r="E12" s="12">
        <v>33</v>
      </c>
      <c r="F12" s="12">
        <v>35</v>
      </c>
      <c r="G12" s="12">
        <v>38</v>
      </c>
      <c r="H12" s="12">
        <v>36</v>
      </c>
      <c r="I12" s="12">
        <v>45</v>
      </c>
      <c r="J12" s="12">
        <v>8</v>
      </c>
      <c r="K12" s="12">
        <v>28</v>
      </c>
      <c r="L12" s="12">
        <v>29</v>
      </c>
      <c r="M12" s="12">
        <v>11</v>
      </c>
      <c r="N12" s="12">
        <v>25</v>
      </c>
      <c r="O12" s="12">
        <v>19</v>
      </c>
      <c r="P12" s="12">
        <v>56</v>
      </c>
      <c r="Q12" s="12">
        <v>32</v>
      </c>
      <c r="R12" s="12">
        <v>23</v>
      </c>
      <c r="S12" s="12">
        <v>27</v>
      </c>
      <c r="T12" s="12">
        <v>30</v>
      </c>
      <c r="U12" s="12">
        <v>32</v>
      </c>
      <c r="V12" s="12">
        <v>19</v>
      </c>
      <c r="W12" s="12">
        <v>40</v>
      </c>
      <c r="X12" s="12">
        <v>45</v>
      </c>
      <c r="Y12" s="12">
        <v>111</v>
      </c>
      <c r="Z12" s="12">
        <v>39</v>
      </c>
      <c r="AA12" s="12">
        <v>20</v>
      </c>
      <c r="AB12" s="12">
        <v>11</v>
      </c>
      <c r="AC12" s="12">
        <v>17</v>
      </c>
      <c r="AD12" s="12">
        <v>46</v>
      </c>
      <c r="AE12" s="12">
        <v>21</v>
      </c>
      <c r="AF12" s="12">
        <v>17</v>
      </c>
    </row>
    <row r="13" spans="1:32" ht="21.5" x14ac:dyDescent="0.35">
      <c r="A13" s="31"/>
      <c r="B13" s="13" t="s">
        <v>858</v>
      </c>
      <c r="C13" s="14">
        <v>0.03</v>
      </c>
      <c r="D13" s="14">
        <v>0.03</v>
      </c>
      <c r="E13" s="14">
        <v>0.03</v>
      </c>
      <c r="F13" s="14">
        <v>0.03</v>
      </c>
      <c r="G13" s="14">
        <v>0.04</v>
      </c>
      <c r="H13" s="14">
        <v>0.03</v>
      </c>
      <c r="I13" s="14">
        <v>0.03</v>
      </c>
      <c r="J13" s="14">
        <v>0.03</v>
      </c>
      <c r="K13" s="14">
        <v>0.03</v>
      </c>
      <c r="L13" s="14">
        <v>0.03</v>
      </c>
      <c r="M13" s="14">
        <v>0.01</v>
      </c>
      <c r="N13" s="14">
        <v>0.03</v>
      </c>
      <c r="O13" s="14">
        <v>0.02</v>
      </c>
      <c r="P13" s="14">
        <v>0.06</v>
      </c>
      <c r="Q13" s="14">
        <v>0.03</v>
      </c>
      <c r="R13" s="14">
        <v>0.05</v>
      </c>
      <c r="S13" s="14">
        <v>0.02</v>
      </c>
      <c r="T13" s="14">
        <v>0.03</v>
      </c>
      <c r="U13" s="14">
        <v>0.06</v>
      </c>
      <c r="V13" s="14">
        <v>0.02</v>
      </c>
      <c r="W13" s="14">
        <v>0.08</v>
      </c>
      <c r="X13" s="14">
        <v>0.04</v>
      </c>
      <c r="Y13" s="14">
        <v>0.11</v>
      </c>
      <c r="Z13" s="14">
        <v>0.04</v>
      </c>
      <c r="AA13" s="14">
        <v>0.02</v>
      </c>
      <c r="AB13" s="14">
        <v>0.01</v>
      </c>
      <c r="AC13" s="14">
        <v>0.02</v>
      </c>
      <c r="AD13" s="14">
        <v>0.04</v>
      </c>
      <c r="AE13" s="14">
        <v>0.02</v>
      </c>
      <c r="AF13" s="14">
        <v>0.02</v>
      </c>
    </row>
    <row r="14" spans="1:32" ht="21.5" x14ac:dyDescent="0.35">
      <c r="A14" s="31"/>
      <c r="B14" s="11" t="s">
        <v>859</v>
      </c>
      <c r="C14" s="12">
        <v>1680</v>
      </c>
      <c r="D14" s="12">
        <v>54</v>
      </c>
      <c r="E14" s="12">
        <v>73</v>
      </c>
      <c r="F14" s="12">
        <v>78</v>
      </c>
      <c r="G14" s="12">
        <v>40</v>
      </c>
      <c r="H14" s="12">
        <v>126</v>
      </c>
      <c r="I14" s="12">
        <v>151</v>
      </c>
      <c r="J14" s="12">
        <v>25</v>
      </c>
      <c r="K14" s="12">
        <v>85</v>
      </c>
      <c r="L14" s="12">
        <v>36</v>
      </c>
      <c r="M14" s="12">
        <v>14</v>
      </c>
      <c r="N14" s="12">
        <v>45</v>
      </c>
      <c r="O14" s="12">
        <v>20</v>
      </c>
      <c r="P14" s="12">
        <v>110</v>
      </c>
      <c r="Q14" s="12">
        <v>88</v>
      </c>
      <c r="R14" s="12">
        <v>25</v>
      </c>
      <c r="S14" s="12">
        <v>100</v>
      </c>
      <c r="T14" s="12">
        <v>56</v>
      </c>
      <c r="U14" s="12">
        <v>29</v>
      </c>
      <c r="V14" s="12">
        <v>78</v>
      </c>
      <c r="W14" s="12">
        <v>61</v>
      </c>
      <c r="X14" s="12">
        <v>108</v>
      </c>
      <c r="Y14" s="12">
        <v>103</v>
      </c>
      <c r="Z14" s="12">
        <v>50</v>
      </c>
      <c r="AA14" s="12">
        <v>38</v>
      </c>
      <c r="AB14" s="12">
        <v>66</v>
      </c>
      <c r="AC14" s="12">
        <v>61</v>
      </c>
      <c r="AD14" s="12">
        <v>107</v>
      </c>
      <c r="AE14" s="12">
        <v>28</v>
      </c>
      <c r="AF14" s="12">
        <v>23</v>
      </c>
    </row>
    <row r="15" spans="1:32" x14ac:dyDescent="0.35">
      <c r="A15" s="31"/>
      <c r="B15" s="13" t="s">
        <v>860</v>
      </c>
      <c r="C15" s="14">
        <v>0.06</v>
      </c>
      <c r="D15" s="14">
        <v>0.05</v>
      </c>
      <c r="E15" s="14">
        <v>7.0000000000000007E-2</v>
      </c>
      <c r="F15" s="14">
        <v>0.08</v>
      </c>
      <c r="G15" s="14">
        <v>0.04</v>
      </c>
      <c r="H15" s="14">
        <v>0.1</v>
      </c>
      <c r="I15" s="14">
        <v>0.1</v>
      </c>
      <c r="J15" s="14">
        <v>0.08</v>
      </c>
      <c r="K15" s="14">
        <v>0.08</v>
      </c>
      <c r="L15" s="14">
        <v>0.04</v>
      </c>
      <c r="M15" s="14">
        <v>0.02</v>
      </c>
      <c r="N15" s="14">
        <v>0.04</v>
      </c>
      <c r="O15" s="14">
        <v>0.02</v>
      </c>
      <c r="P15" s="14">
        <v>0.11</v>
      </c>
      <c r="Q15" s="14">
        <v>0.09</v>
      </c>
      <c r="R15" s="14">
        <v>0.05</v>
      </c>
      <c r="S15" s="14">
        <v>0.1</v>
      </c>
      <c r="T15" s="14">
        <v>0.06</v>
      </c>
      <c r="U15" s="14">
        <v>0.06</v>
      </c>
      <c r="V15" s="14">
        <v>0.08</v>
      </c>
      <c r="W15" s="14">
        <v>0.12</v>
      </c>
      <c r="X15" s="14">
        <v>0.11</v>
      </c>
      <c r="Y15" s="14">
        <v>0.1</v>
      </c>
      <c r="Z15" s="14">
        <v>0.05</v>
      </c>
      <c r="AA15" s="14">
        <v>0.04</v>
      </c>
      <c r="AB15" s="14">
        <v>0.06</v>
      </c>
      <c r="AC15" s="14">
        <v>0.06</v>
      </c>
      <c r="AD15" s="14">
        <v>0.11</v>
      </c>
      <c r="AE15" s="14">
        <v>0.03</v>
      </c>
      <c r="AF15" s="14">
        <v>0.02</v>
      </c>
    </row>
    <row r="16" spans="1:32" x14ac:dyDescent="0.35">
      <c r="A16" s="31"/>
      <c r="B16" s="11" t="s">
        <v>639</v>
      </c>
      <c r="C16" s="12">
        <v>23914</v>
      </c>
      <c r="D16" s="12">
        <v>940</v>
      </c>
      <c r="E16" s="12">
        <v>924</v>
      </c>
      <c r="F16" s="12">
        <v>902</v>
      </c>
      <c r="G16" s="12">
        <v>937</v>
      </c>
      <c r="H16" s="12">
        <v>1069</v>
      </c>
      <c r="I16" s="12">
        <v>1333</v>
      </c>
      <c r="J16" s="12">
        <v>264</v>
      </c>
      <c r="K16" s="12">
        <v>887</v>
      </c>
      <c r="L16" s="12">
        <v>936</v>
      </c>
      <c r="M16" s="12">
        <v>978</v>
      </c>
      <c r="N16" s="12">
        <v>928</v>
      </c>
      <c r="O16" s="12">
        <v>960</v>
      </c>
      <c r="P16" s="12">
        <v>837</v>
      </c>
      <c r="Q16" s="12">
        <v>914</v>
      </c>
      <c r="R16" s="12">
        <v>453</v>
      </c>
      <c r="S16" s="12">
        <v>888</v>
      </c>
      <c r="T16" s="12">
        <v>927</v>
      </c>
      <c r="U16" s="12">
        <v>445</v>
      </c>
      <c r="V16" s="12">
        <v>912</v>
      </c>
      <c r="W16" s="12">
        <v>396</v>
      </c>
      <c r="X16" s="12">
        <v>856</v>
      </c>
      <c r="Y16" s="12">
        <v>790</v>
      </c>
      <c r="Z16" s="12">
        <v>930</v>
      </c>
      <c r="AA16" s="12">
        <v>965</v>
      </c>
      <c r="AB16" s="12">
        <v>970</v>
      </c>
      <c r="AC16" s="12">
        <v>934</v>
      </c>
      <c r="AD16" s="12">
        <v>851</v>
      </c>
      <c r="AE16" s="12">
        <v>956</v>
      </c>
      <c r="AF16" s="12">
        <v>979</v>
      </c>
    </row>
    <row r="17" spans="1:32" x14ac:dyDescent="0.35">
      <c r="A17" s="31"/>
      <c r="B17" s="13" t="s">
        <v>640</v>
      </c>
      <c r="C17" s="14">
        <v>0.91</v>
      </c>
      <c r="D17" s="14">
        <v>0.92</v>
      </c>
      <c r="E17" s="14">
        <v>0.89</v>
      </c>
      <c r="F17" s="14">
        <v>0.89</v>
      </c>
      <c r="G17" s="14">
        <v>0.92</v>
      </c>
      <c r="H17" s="14">
        <v>0.87</v>
      </c>
      <c r="I17" s="14">
        <v>0.87</v>
      </c>
      <c r="J17" s="14">
        <v>0.89</v>
      </c>
      <c r="K17" s="14">
        <v>0.88</v>
      </c>
      <c r="L17" s="14">
        <v>0.93</v>
      </c>
      <c r="M17" s="14">
        <v>0.97</v>
      </c>
      <c r="N17" s="14">
        <v>0.93</v>
      </c>
      <c r="O17" s="14">
        <v>0.96</v>
      </c>
      <c r="P17" s="14">
        <v>0.83000000000000007</v>
      </c>
      <c r="Q17" s="14">
        <v>0.88</v>
      </c>
      <c r="R17" s="14">
        <v>0.9</v>
      </c>
      <c r="S17" s="14">
        <v>0.87</v>
      </c>
      <c r="T17" s="14">
        <v>0.91</v>
      </c>
      <c r="U17" s="14">
        <v>0.87</v>
      </c>
      <c r="V17" s="14">
        <v>0.9</v>
      </c>
      <c r="W17" s="14">
        <v>0.79</v>
      </c>
      <c r="X17" s="14">
        <v>0.85</v>
      </c>
      <c r="Y17" s="14">
        <v>0.79</v>
      </c>
      <c r="Z17" s="14">
        <v>0.91</v>
      </c>
      <c r="AA17" s="14">
        <v>0.94000000000000006</v>
      </c>
      <c r="AB17" s="14">
        <v>0.92</v>
      </c>
      <c r="AC17" s="14">
        <v>0.92</v>
      </c>
      <c r="AD17" s="14">
        <v>0.85</v>
      </c>
      <c r="AE17" s="14">
        <v>0.95000000000000007</v>
      </c>
      <c r="AF17" s="14">
        <v>0.96</v>
      </c>
    </row>
    <row r="18" spans="1:32" x14ac:dyDescent="0.35">
      <c r="A18" s="31"/>
      <c r="B18" s="11" t="s">
        <v>344</v>
      </c>
      <c r="C18" s="12">
        <v>45</v>
      </c>
      <c r="D18" s="12">
        <v>2</v>
      </c>
      <c r="E18" s="12">
        <v>9</v>
      </c>
      <c r="F18" s="12">
        <v>3</v>
      </c>
      <c r="G18" s="12">
        <v>3</v>
      </c>
      <c r="H18" s="12">
        <v>2</v>
      </c>
      <c r="I18" s="12">
        <v>2</v>
      </c>
      <c r="J18" s="12">
        <v>0</v>
      </c>
      <c r="K18" s="12">
        <v>9</v>
      </c>
      <c r="L18" s="12">
        <v>3</v>
      </c>
      <c r="M18" s="12">
        <v>1</v>
      </c>
      <c r="N18" s="12">
        <v>2</v>
      </c>
      <c r="O18" s="12">
        <v>1</v>
      </c>
      <c r="P18" s="12">
        <v>0</v>
      </c>
      <c r="Q18" s="12">
        <v>0</v>
      </c>
      <c r="R18" s="12">
        <v>0</v>
      </c>
      <c r="S18" s="12">
        <v>6</v>
      </c>
      <c r="T18" s="12">
        <v>4</v>
      </c>
      <c r="U18" s="12">
        <v>3</v>
      </c>
      <c r="V18" s="12">
        <v>4</v>
      </c>
      <c r="W18" s="12">
        <v>3</v>
      </c>
      <c r="X18" s="12">
        <v>1</v>
      </c>
      <c r="Y18" s="12">
        <v>0</v>
      </c>
      <c r="Z18" s="12">
        <v>0</v>
      </c>
      <c r="AA18" s="12">
        <v>6</v>
      </c>
      <c r="AB18" s="12">
        <v>9</v>
      </c>
      <c r="AC18" s="12">
        <v>1</v>
      </c>
      <c r="AD18" s="12">
        <v>0</v>
      </c>
      <c r="AE18" s="12">
        <v>2</v>
      </c>
      <c r="AF18" s="12">
        <v>0</v>
      </c>
    </row>
    <row r="19" spans="1:32" x14ac:dyDescent="0.35">
      <c r="A19" s="31"/>
      <c r="B19" s="13" t="s">
        <v>357</v>
      </c>
      <c r="C19" s="15" t="s">
        <v>333</v>
      </c>
      <c r="D19" s="15" t="s">
        <v>333</v>
      </c>
      <c r="E19" s="14">
        <v>0.01</v>
      </c>
      <c r="F19" s="15" t="s">
        <v>333</v>
      </c>
      <c r="G19" s="15" t="s">
        <v>333</v>
      </c>
      <c r="H19" s="15" t="s">
        <v>333</v>
      </c>
      <c r="I19" s="15" t="s">
        <v>333</v>
      </c>
      <c r="J19" s="15" t="s">
        <v>333</v>
      </c>
      <c r="K19" s="14">
        <v>0.01</v>
      </c>
      <c r="L19" s="15" t="s">
        <v>333</v>
      </c>
      <c r="M19" s="15" t="s">
        <v>333</v>
      </c>
      <c r="N19" s="15" t="s">
        <v>333</v>
      </c>
      <c r="O19" s="15" t="s">
        <v>333</v>
      </c>
      <c r="P19" s="15" t="s">
        <v>333</v>
      </c>
      <c r="Q19" s="15" t="s">
        <v>333</v>
      </c>
      <c r="R19" s="15" t="s">
        <v>333</v>
      </c>
      <c r="S19" s="14">
        <v>0.01</v>
      </c>
      <c r="T19" s="15" t="s">
        <v>333</v>
      </c>
      <c r="U19" s="14">
        <v>0.01</v>
      </c>
      <c r="V19" s="15" t="s">
        <v>333</v>
      </c>
      <c r="W19" s="14">
        <v>0.01</v>
      </c>
      <c r="X19" s="15" t="s">
        <v>333</v>
      </c>
      <c r="Y19" s="15" t="s">
        <v>333</v>
      </c>
      <c r="Z19" s="15" t="s">
        <v>333</v>
      </c>
      <c r="AA19" s="15" t="s">
        <v>333</v>
      </c>
      <c r="AB19" s="14">
        <v>0.01</v>
      </c>
      <c r="AC19" s="15" t="s">
        <v>333</v>
      </c>
      <c r="AD19" s="15" t="s">
        <v>333</v>
      </c>
      <c r="AE19" s="15" t="s">
        <v>333</v>
      </c>
      <c r="AF19" s="15" t="s">
        <v>333</v>
      </c>
    </row>
    <row r="20" spans="1:32" x14ac:dyDescent="0.35">
      <c r="A20" s="31"/>
      <c r="B20" s="11" t="s">
        <v>366</v>
      </c>
      <c r="C20" s="12">
        <v>2451</v>
      </c>
      <c r="D20" s="12">
        <v>82</v>
      </c>
      <c r="E20" s="12">
        <v>106</v>
      </c>
      <c r="F20" s="12">
        <v>113</v>
      </c>
      <c r="G20" s="12">
        <v>78</v>
      </c>
      <c r="H20" s="12">
        <v>162</v>
      </c>
      <c r="I20" s="12">
        <v>196</v>
      </c>
      <c r="J20" s="12">
        <v>33</v>
      </c>
      <c r="K20" s="12">
        <v>113</v>
      </c>
      <c r="L20" s="12">
        <v>65</v>
      </c>
      <c r="M20" s="12">
        <v>25</v>
      </c>
      <c r="N20" s="12">
        <v>70</v>
      </c>
      <c r="O20" s="12">
        <v>39</v>
      </c>
      <c r="P20" s="12">
        <v>166</v>
      </c>
      <c r="Q20" s="12">
        <v>120</v>
      </c>
      <c r="R20" s="12">
        <v>48</v>
      </c>
      <c r="S20" s="12">
        <v>127</v>
      </c>
      <c r="T20" s="12">
        <v>86</v>
      </c>
      <c r="U20" s="12">
        <v>61</v>
      </c>
      <c r="V20" s="12">
        <v>97</v>
      </c>
      <c r="W20" s="12">
        <v>101</v>
      </c>
      <c r="X20" s="12">
        <v>153</v>
      </c>
      <c r="Y20" s="12">
        <v>214</v>
      </c>
      <c r="Z20" s="12">
        <v>89</v>
      </c>
      <c r="AA20" s="12">
        <v>58</v>
      </c>
      <c r="AB20" s="12">
        <v>77</v>
      </c>
      <c r="AC20" s="12">
        <v>78</v>
      </c>
      <c r="AD20" s="12">
        <v>153</v>
      </c>
      <c r="AE20" s="12">
        <v>49</v>
      </c>
      <c r="AF20" s="12">
        <v>40</v>
      </c>
    </row>
    <row r="21" spans="1:32" x14ac:dyDescent="0.35">
      <c r="A21" s="31"/>
      <c r="B21" s="13" t="s">
        <v>367</v>
      </c>
      <c r="C21" s="14">
        <v>0.09</v>
      </c>
      <c r="D21" s="14">
        <v>0.08</v>
      </c>
      <c r="E21" s="14">
        <v>0.1</v>
      </c>
      <c r="F21" s="14">
        <v>0.11</v>
      </c>
      <c r="G21" s="14">
        <v>0.08</v>
      </c>
      <c r="H21" s="14">
        <v>0.13</v>
      </c>
      <c r="I21" s="14">
        <v>0.13</v>
      </c>
      <c r="J21" s="14">
        <v>0.11</v>
      </c>
      <c r="K21" s="14">
        <v>0.11</v>
      </c>
      <c r="L21" s="14">
        <v>7.0000000000000007E-2</v>
      </c>
      <c r="M21" s="14">
        <v>0.03</v>
      </c>
      <c r="N21" s="14">
        <v>7.0000000000000007E-2</v>
      </c>
      <c r="O21" s="14">
        <v>0.04</v>
      </c>
      <c r="P21" s="14">
        <v>0.17</v>
      </c>
      <c r="Q21" s="14">
        <v>0.12</v>
      </c>
      <c r="R21" s="14">
        <v>0.1</v>
      </c>
      <c r="S21" s="14">
        <v>0.12</v>
      </c>
      <c r="T21" s="14">
        <v>0.09</v>
      </c>
      <c r="U21" s="14">
        <v>0.12</v>
      </c>
      <c r="V21" s="14">
        <v>0.1</v>
      </c>
      <c r="W21" s="14">
        <v>0.2</v>
      </c>
      <c r="X21" s="14">
        <v>0.15</v>
      </c>
      <c r="Y21" s="14">
        <v>0.21</v>
      </c>
      <c r="Z21" s="14">
        <v>0.09</v>
      </c>
      <c r="AA21" s="14">
        <v>0.06</v>
      </c>
      <c r="AB21" s="14">
        <v>7.0000000000000007E-2</v>
      </c>
      <c r="AC21" s="14">
        <v>0.08</v>
      </c>
      <c r="AD21" s="14">
        <v>0.15</v>
      </c>
      <c r="AE21" s="14">
        <v>0.05</v>
      </c>
      <c r="AF21" s="14">
        <v>0.04</v>
      </c>
    </row>
    <row r="22" spans="1:32" x14ac:dyDescent="0.35">
      <c r="A22" s="31"/>
      <c r="B22" s="11" t="s">
        <v>368</v>
      </c>
      <c r="C22" s="12">
        <v>23914</v>
      </c>
      <c r="D22" s="12">
        <v>940</v>
      </c>
      <c r="E22" s="12">
        <v>924</v>
      </c>
      <c r="F22" s="12">
        <v>902</v>
      </c>
      <c r="G22" s="12">
        <v>937</v>
      </c>
      <c r="H22" s="12">
        <v>1069</v>
      </c>
      <c r="I22" s="12">
        <v>1333</v>
      </c>
      <c r="J22" s="12">
        <v>264</v>
      </c>
      <c r="K22" s="12">
        <v>887</v>
      </c>
      <c r="L22" s="12">
        <v>936</v>
      </c>
      <c r="M22" s="12">
        <v>978</v>
      </c>
      <c r="N22" s="12">
        <v>928</v>
      </c>
      <c r="O22" s="12">
        <v>960</v>
      </c>
      <c r="P22" s="12">
        <v>837</v>
      </c>
      <c r="Q22" s="12">
        <v>914</v>
      </c>
      <c r="R22" s="12">
        <v>453</v>
      </c>
      <c r="S22" s="12">
        <v>888</v>
      </c>
      <c r="T22" s="12">
        <v>927</v>
      </c>
      <c r="U22" s="12">
        <v>445</v>
      </c>
      <c r="V22" s="12">
        <v>912</v>
      </c>
      <c r="W22" s="12">
        <v>396</v>
      </c>
      <c r="X22" s="12">
        <v>856</v>
      </c>
      <c r="Y22" s="12">
        <v>790</v>
      </c>
      <c r="Z22" s="12">
        <v>930</v>
      </c>
      <c r="AA22" s="12">
        <v>965</v>
      </c>
      <c r="AB22" s="12">
        <v>970</v>
      </c>
      <c r="AC22" s="12">
        <v>934</v>
      </c>
      <c r="AD22" s="12">
        <v>851</v>
      </c>
      <c r="AE22" s="12">
        <v>956</v>
      </c>
      <c r="AF22" s="12">
        <v>979</v>
      </c>
    </row>
    <row r="23" spans="1:32" x14ac:dyDescent="0.35">
      <c r="A23" s="31"/>
      <c r="B23" s="13" t="s">
        <v>369</v>
      </c>
      <c r="C23" s="14">
        <v>0.91</v>
      </c>
      <c r="D23" s="14">
        <v>0.92</v>
      </c>
      <c r="E23" s="14">
        <v>0.89</v>
      </c>
      <c r="F23" s="14">
        <v>0.89</v>
      </c>
      <c r="G23" s="14">
        <v>0.92</v>
      </c>
      <c r="H23" s="14">
        <v>0.87</v>
      </c>
      <c r="I23" s="14">
        <v>0.87</v>
      </c>
      <c r="J23" s="14">
        <v>0.89</v>
      </c>
      <c r="K23" s="14">
        <v>0.88</v>
      </c>
      <c r="L23" s="14">
        <v>0.93</v>
      </c>
      <c r="M23" s="14">
        <v>0.97</v>
      </c>
      <c r="N23" s="14">
        <v>0.93</v>
      </c>
      <c r="O23" s="14">
        <v>0.96</v>
      </c>
      <c r="P23" s="14">
        <v>0.83000000000000007</v>
      </c>
      <c r="Q23" s="14">
        <v>0.88</v>
      </c>
      <c r="R23" s="14">
        <v>0.9</v>
      </c>
      <c r="S23" s="14">
        <v>0.87</v>
      </c>
      <c r="T23" s="14">
        <v>0.91</v>
      </c>
      <c r="U23" s="14">
        <v>0.87</v>
      </c>
      <c r="V23" s="14">
        <v>0.9</v>
      </c>
      <c r="W23" s="14">
        <v>0.79</v>
      </c>
      <c r="X23" s="14">
        <v>0.85</v>
      </c>
      <c r="Y23" s="14">
        <v>0.79</v>
      </c>
      <c r="Z23" s="14">
        <v>0.91</v>
      </c>
      <c r="AA23" s="14">
        <v>0.94000000000000006</v>
      </c>
      <c r="AB23" s="14">
        <v>0.92</v>
      </c>
      <c r="AC23" s="14">
        <v>0.92</v>
      </c>
      <c r="AD23" s="14">
        <v>0.85</v>
      </c>
      <c r="AE23" s="14">
        <v>0.95000000000000007</v>
      </c>
      <c r="AF23" s="14">
        <v>0.96</v>
      </c>
    </row>
  </sheetData>
  <mergeCells count="10">
    <mergeCell ref="A20:A23"/>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137</v>
      </c>
      <c r="C3" s="30"/>
      <c r="D3" s="30"/>
      <c r="E3" s="30"/>
      <c r="F3" s="30"/>
      <c r="H3" s="30" t="s">
        <v>138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1.5" x14ac:dyDescent="0.35">
      <c r="A12" s="31"/>
      <c r="B12" s="11" t="s">
        <v>861</v>
      </c>
      <c r="C12" s="12">
        <v>4725</v>
      </c>
      <c r="D12" s="12">
        <v>226</v>
      </c>
      <c r="E12" s="12">
        <v>101</v>
      </c>
      <c r="F12" s="12">
        <v>130</v>
      </c>
      <c r="G12" s="12">
        <v>263</v>
      </c>
      <c r="H12" s="12">
        <v>233</v>
      </c>
      <c r="I12" s="12">
        <v>273</v>
      </c>
      <c r="J12" s="12">
        <v>41</v>
      </c>
      <c r="K12" s="12">
        <v>159</v>
      </c>
      <c r="L12" s="12">
        <v>250</v>
      </c>
      <c r="M12" s="12">
        <v>143</v>
      </c>
      <c r="N12" s="12">
        <v>277</v>
      </c>
      <c r="O12" s="12">
        <v>216</v>
      </c>
      <c r="P12" s="12">
        <v>83</v>
      </c>
      <c r="Q12" s="12">
        <v>131</v>
      </c>
      <c r="R12" s="12">
        <v>105</v>
      </c>
      <c r="S12" s="12">
        <v>285</v>
      </c>
      <c r="T12" s="12">
        <v>130</v>
      </c>
      <c r="U12" s="12">
        <v>131</v>
      </c>
      <c r="V12" s="12">
        <v>87</v>
      </c>
      <c r="W12" s="12">
        <v>133</v>
      </c>
      <c r="X12" s="12">
        <v>253</v>
      </c>
      <c r="Y12" s="12">
        <v>120</v>
      </c>
      <c r="Z12" s="12">
        <v>88</v>
      </c>
      <c r="AA12" s="12">
        <v>102</v>
      </c>
      <c r="AB12" s="12">
        <v>118</v>
      </c>
      <c r="AC12" s="12">
        <v>153</v>
      </c>
      <c r="AD12" s="12">
        <v>154</v>
      </c>
      <c r="AE12" s="12">
        <v>239</v>
      </c>
      <c r="AF12" s="12">
        <v>359</v>
      </c>
    </row>
    <row r="13" spans="1:32" ht="51.5" x14ac:dyDescent="0.35">
      <c r="A13" s="31"/>
      <c r="B13" s="13" t="s">
        <v>862</v>
      </c>
      <c r="C13" s="14">
        <v>0.18</v>
      </c>
      <c r="D13" s="14">
        <v>0.22</v>
      </c>
      <c r="E13" s="14">
        <v>0.1</v>
      </c>
      <c r="F13" s="14">
        <v>0.13</v>
      </c>
      <c r="G13" s="14">
        <v>0.26</v>
      </c>
      <c r="H13" s="14">
        <v>0.19</v>
      </c>
      <c r="I13" s="14">
        <v>0.18</v>
      </c>
      <c r="J13" s="14">
        <v>0.14000000000000001</v>
      </c>
      <c r="K13" s="14">
        <v>0.16</v>
      </c>
      <c r="L13" s="14">
        <v>0.25</v>
      </c>
      <c r="M13" s="14">
        <v>0.14000000000000001</v>
      </c>
      <c r="N13" s="14">
        <v>0.28000000000000003</v>
      </c>
      <c r="O13" s="14">
        <v>0.22</v>
      </c>
      <c r="P13" s="14">
        <v>0.08</v>
      </c>
      <c r="Q13" s="14">
        <v>0.13</v>
      </c>
      <c r="R13" s="14">
        <v>0.21</v>
      </c>
      <c r="S13" s="14">
        <v>0.28000000000000003</v>
      </c>
      <c r="T13" s="14">
        <v>0.13</v>
      </c>
      <c r="U13" s="14">
        <v>0.26</v>
      </c>
      <c r="V13" s="14">
        <v>0.09</v>
      </c>
      <c r="W13" s="14">
        <v>0.26</v>
      </c>
      <c r="X13" s="14">
        <v>0.25</v>
      </c>
      <c r="Y13" s="14">
        <v>0.12</v>
      </c>
      <c r="Z13" s="14">
        <v>0.09</v>
      </c>
      <c r="AA13" s="14">
        <v>0.1</v>
      </c>
      <c r="AB13" s="14">
        <v>0.11</v>
      </c>
      <c r="AC13" s="14">
        <v>0.15</v>
      </c>
      <c r="AD13" s="14">
        <v>0.15</v>
      </c>
      <c r="AE13" s="14">
        <v>0.24</v>
      </c>
      <c r="AF13" s="14">
        <v>0.35</v>
      </c>
    </row>
    <row r="14" spans="1:32" ht="41.5" x14ac:dyDescent="0.35">
      <c r="A14" s="31"/>
      <c r="B14" s="11" t="s">
        <v>863</v>
      </c>
      <c r="C14" s="12">
        <v>8589</v>
      </c>
      <c r="D14" s="12">
        <v>361</v>
      </c>
      <c r="E14" s="12">
        <v>322</v>
      </c>
      <c r="F14" s="12">
        <v>304</v>
      </c>
      <c r="G14" s="12">
        <v>445</v>
      </c>
      <c r="H14" s="12">
        <v>422</v>
      </c>
      <c r="I14" s="12">
        <v>510</v>
      </c>
      <c r="J14" s="12">
        <v>88</v>
      </c>
      <c r="K14" s="12">
        <v>316</v>
      </c>
      <c r="L14" s="12">
        <v>350</v>
      </c>
      <c r="M14" s="12">
        <v>360</v>
      </c>
      <c r="N14" s="12">
        <v>281</v>
      </c>
      <c r="O14" s="12">
        <v>294</v>
      </c>
      <c r="P14" s="12">
        <v>368</v>
      </c>
      <c r="Q14" s="12">
        <v>334</v>
      </c>
      <c r="R14" s="12">
        <v>142</v>
      </c>
      <c r="S14" s="12">
        <v>330</v>
      </c>
      <c r="T14" s="12">
        <v>305</v>
      </c>
      <c r="U14" s="12">
        <v>185</v>
      </c>
      <c r="V14" s="12">
        <v>281</v>
      </c>
      <c r="W14" s="12">
        <v>184</v>
      </c>
      <c r="X14" s="12">
        <v>468</v>
      </c>
      <c r="Y14" s="12">
        <v>300</v>
      </c>
      <c r="Z14" s="12">
        <v>327</v>
      </c>
      <c r="AA14" s="12">
        <v>243</v>
      </c>
      <c r="AB14" s="12">
        <v>354</v>
      </c>
      <c r="AC14" s="12">
        <v>247</v>
      </c>
      <c r="AD14" s="12">
        <v>354</v>
      </c>
      <c r="AE14" s="12">
        <v>388</v>
      </c>
      <c r="AF14" s="12">
        <v>472</v>
      </c>
    </row>
    <row r="15" spans="1:32" ht="41.5" x14ac:dyDescent="0.35">
      <c r="A15" s="31"/>
      <c r="B15" s="13" t="s">
        <v>864</v>
      </c>
      <c r="C15" s="14">
        <v>0.33</v>
      </c>
      <c r="D15" s="14">
        <v>0.35</v>
      </c>
      <c r="E15" s="14">
        <v>0.31</v>
      </c>
      <c r="F15" s="14">
        <v>0.3</v>
      </c>
      <c r="G15" s="14">
        <v>0.44</v>
      </c>
      <c r="H15" s="14">
        <v>0.34</v>
      </c>
      <c r="I15" s="14">
        <v>0.33</v>
      </c>
      <c r="J15" s="14">
        <v>0.28999999999999998</v>
      </c>
      <c r="K15" s="14">
        <v>0.31</v>
      </c>
      <c r="L15" s="14">
        <v>0.35</v>
      </c>
      <c r="M15" s="14">
        <v>0.36</v>
      </c>
      <c r="N15" s="14">
        <v>0.28000000000000003</v>
      </c>
      <c r="O15" s="14">
        <v>0.28999999999999998</v>
      </c>
      <c r="P15" s="14">
        <v>0.36</v>
      </c>
      <c r="Q15" s="14">
        <v>0.32</v>
      </c>
      <c r="R15" s="14">
        <v>0.28000000000000003</v>
      </c>
      <c r="S15" s="14">
        <v>0.32</v>
      </c>
      <c r="T15" s="14">
        <v>0.3</v>
      </c>
      <c r="U15" s="14">
        <v>0.37</v>
      </c>
      <c r="V15" s="14">
        <v>0.28000000000000003</v>
      </c>
      <c r="W15" s="14">
        <v>0.37</v>
      </c>
      <c r="X15" s="14">
        <v>0.46</v>
      </c>
      <c r="Y15" s="14">
        <v>0.3</v>
      </c>
      <c r="Z15" s="14">
        <v>0.32</v>
      </c>
      <c r="AA15" s="14">
        <v>0.24</v>
      </c>
      <c r="AB15" s="14">
        <v>0.34</v>
      </c>
      <c r="AC15" s="14">
        <v>0.24</v>
      </c>
      <c r="AD15" s="14">
        <v>0.35</v>
      </c>
      <c r="AE15" s="14">
        <v>0.38</v>
      </c>
      <c r="AF15" s="14">
        <v>0.46</v>
      </c>
    </row>
    <row r="16" spans="1:32" ht="31.5" x14ac:dyDescent="0.35">
      <c r="A16" s="31"/>
      <c r="B16" s="11" t="s">
        <v>865</v>
      </c>
      <c r="C16" s="12">
        <v>5538</v>
      </c>
      <c r="D16" s="12">
        <v>237</v>
      </c>
      <c r="E16" s="12">
        <v>254</v>
      </c>
      <c r="F16" s="12">
        <v>252</v>
      </c>
      <c r="G16" s="12">
        <v>168</v>
      </c>
      <c r="H16" s="12">
        <v>215</v>
      </c>
      <c r="I16" s="12">
        <v>286</v>
      </c>
      <c r="J16" s="12">
        <v>71</v>
      </c>
      <c r="K16" s="12">
        <v>245</v>
      </c>
      <c r="L16" s="12">
        <v>167</v>
      </c>
      <c r="M16" s="12">
        <v>201</v>
      </c>
      <c r="N16" s="12">
        <v>163</v>
      </c>
      <c r="O16" s="12">
        <v>201</v>
      </c>
      <c r="P16" s="12">
        <v>258</v>
      </c>
      <c r="Q16" s="12">
        <v>266</v>
      </c>
      <c r="R16" s="12">
        <v>83</v>
      </c>
      <c r="S16" s="12">
        <v>176</v>
      </c>
      <c r="T16" s="12">
        <v>201</v>
      </c>
      <c r="U16" s="12">
        <v>119</v>
      </c>
      <c r="V16" s="12">
        <v>219</v>
      </c>
      <c r="W16" s="12">
        <v>66</v>
      </c>
      <c r="X16" s="12">
        <v>149</v>
      </c>
      <c r="Y16" s="12">
        <v>225</v>
      </c>
      <c r="Z16" s="12">
        <v>288</v>
      </c>
      <c r="AA16" s="12">
        <v>217</v>
      </c>
      <c r="AB16" s="12">
        <v>259</v>
      </c>
      <c r="AC16" s="12">
        <v>211</v>
      </c>
      <c r="AD16" s="12">
        <v>263</v>
      </c>
      <c r="AE16" s="12">
        <v>208</v>
      </c>
      <c r="AF16" s="12">
        <v>104</v>
      </c>
    </row>
    <row r="17" spans="1:32" ht="21.5" x14ac:dyDescent="0.35">
      <c r="A17" s="31"/>
      <c r="B17" s="13" t="s">
        <v>866</v>
      </c>
      <c r="C17" s="14">
        <v>0.21</v>
      </c>
      <c r="D17" s="14">
        <v>0.23</v>
      </c>
      <c r="E17" s="14">
        <v>0.24</v>
      </c>
      <c r="F17" s="14">
        <v>0.25</v>
      </c>
      <c r="G17" s="14">
        <v>0.16</v>
      </c>
      <c r="H17" s="14">
        <v>0.17</v>
      </c>
      <c r="I17" s="14">
        <v>0.19</v>
      </c>
      <c r="J17" s="14">
        <v>0.24</v>
      </c>
      <c r="K17" s="14">
        <v>0.24</v>
      </c>
      <c r="L17" s="14">
        <v>0.17</v>
      </c>
      <c r="M17" s="14">
        <v>0.2</v>
      </c>
      <c r="N17" s="14">
        <v>0.16</v>
      </c>
      <c r="O17" s="14">
        <v>0.2</v>
      </c>
      <c r="P17" s="14">
        <v>0.26</v>
      </c>
      <c r="Q17" s="14">
        <v>0.26</v>
      </c>
      <c r="R17" s="14">
        <v>0.17</v>
      </c>
      <c r="S17" s="14">
        <v>0.17</v>
      </c>
      <c r="T17" s="14">
        <v>0.2</v>
      </c>
      <c r="U17" s="14">
        <v>0.23</v>
      </c>
      <c r="V17" s="14">
        <v>0.21</v>
      </c>
      <c r="W17" s="14">
        <v>0.13</v>
      </c>
      <c r="X17" s="14">
        <v>0.15</v>
      </c>
      <c r="Y17" s="14">
        <v>0.22</v>
      </c>
      <c r="Z17" s="14">
        <v>0.28000000000000003</v>
      </c>
      <c r="AA17" s="14">
        <v>0.21</v>
      </c>
      <c r="AB17" s="14">
        <v>0.24</v>
      </c>
      <c r="AC17" s="14">
        <v>0.21</v>
      </c>
      <c r="AD17" s="14">
        <v>0.26</v>
      </c>
      <c r="AE17" s="14">
        <v>0.21</v>
      </c>
      <c r="AF17" s="14">
        <v>0.1</v>
      </c>
    </row>
    <row r="18" spans="1:32" ht="31.5" x14ac:dyDescent="0.35">
      <c r="A18" s="31"/>
      <c r="B18" s="11" t="s">
        <v>867</v>
      </c>
      <c r="C18" s="12">
        <v>6989</v>
      </c>
      <c r="D18" s="12">
        <v>192</v>
      </c>
      <c r="E18" s="12">
        <v>327</v>
      </c>
      <c r="F18" s="12">
        <v>328</v>
      </c>
      <c r="G18" s="12">
        <v>108</v>
      </c>
      <c r="H18" s="12">
        <v>341</v>
      </c>
      <c r="I18" s="12">
        <v>437</v>
      </c>
      <c r="J18" s="12">
        <v>96</v>
      </c>
      <c r="K18" s="12">
        <v>231</v>
      </c>
      <c r="L18" s="12">
        <v>224</v>
      </c>
      <c r="M18" s="12">
        <v>265</v>
      </c>
      <c r="N18" s="12">
        <v>241</v>
      </c>
      <c r="O18" s="12">
        <v>269</v>
      </c>
      <c r="P18" s="12">
        <v>278</v>
      </c>
      <c r="Q18" s="12">
        <v>285</v>
      </c>
      <c r="R18" s="12">
        <v>139</v>
      </c>
      <c r="S18" s="12">
        <v>205</v>
      </c>
      <c r="T18" s="12">
        <v>350</v>
      </c>
      <c r="U18" s="12">
        <v>67</v>
      </c>
      <c r="V18" s="12">
        <v>420</v>
      </c>
      <c r="W18" s="12">
        <v>93</v>
      </c>
      <c r="X18" s="12">
        <v>121</v>
      </c>
      <c r="Y18" s="12">
        <v>325</v>
      </c>
      <c r="Z18" s="12">
        <v>307</v>
      </c>
      <c r="AA18" s="12">
        <v>438</v>
      </c>
      <c r="AB18" s="12">
        <v>276</v>
      </c>
      <c r="AC18" s="12">
        <v>382</v>
      </c>
      <c r="AD18" s="12">
        <v>228</v>
      </c>
      <c r="AE18" s="12">
        <v>128</v>
      </c>
      <c r="AF18" s="12">
        <v>59</v>
      </c>
    </row>
    <row r="19" spans="1:32" ht="31.5" x14ac:dyDescent="0.35">
      <c r="A19" s="31"/>
      <c r="B19" s="13" t="s">
        <v>868</v>
      </c>
      <c r="C19" s="14">
        <v>0.26</v>
      </c>
      <c r="D19" s="14">
        <v>0.19</v>
      </c>
      <c r="E19" s="14">
        <v>0.32</v>
      </c>
      <c r="F19" s="14">
        <v>0.32</v>
      </c>
      <c r="G19" s="14">
        <v>0.11</v>
      </c>
      <c r="H19" s="14">
        <v>0.28000000000000003</v>
      </c>
      <c r="I19" s="14">
        <v>0.28999999999999998</v>
      </c>
      <c r="J19" s="14">
        <v>0.32</v>
      </c>
      <c r="K19" s="14">
        <v>0.23</v>
      </c>
      <c r="L19" s="14">
        <v>0.22</v>
      </c>
      <c r="M19" s="14">
        <v>0.26</v>
      </c>
      <c r="N19" s="14">
        <v>0.24</v>
      </c>
      <c r="O19" s="14">
        <v>0.27</v>
      </c>
      <c r="P19" s="14">
        <v>0.28000000000000003</v>
      </c>
      <c r="Q19" s="14">
        <v>0.27</v>
      </c>
      <c r="R19" s="14">
        <v>0.28000000000000003</v>
      </c>
      <c r="S19" s="14">
        <v>0.2</v>
      </c>
      <c r="T19" s="14">
        <v>0.34</v>
      </c>
      <c r="U19" s="14">
        <v>0.13</v>
      </c>
      <c r="V19" s="14">
        <v>0.41</v>
      </c>
      <c r="W19" s="14">
        <v>0.19</v>
      </c>
      <c r="X19" s="14">
        <v>0.12</v>
      </c>
      <c r="Y19" s="14">
        <v>0.33</v>
      </c>
      <c r="Z19" s="14">
        <v>0.3</v>
      </c>
      <c r="AA19" s="14">
        <v>0.42</v>
      </c>
      <c r="AB19" s="14">
        <v>0.26</v>
      </c>
      <c r="AC19" s="14">
        <v>0.38</v>
      </c>
      <c r="AD19" s="14">
        <v>0.23</v>
      </c>
      <c r="AE19" s="14">
        <v>0.13</v>
      </c>
      <c r="AF19" s="14">
        <v>0.06</v>
      </c>
    </row>
    <row r="20" spans="1:32" x14ac:dyDescent="0.35">
      <c r="A20" s="31"/>
      <c r="B20" s="11" t="s">
        <v>344</v>
      </c>
      <c r="C20" s="12">
        <v>568</v>
      </c>
      <c r="D20" s="12">
        <v>10</v>
      </c>
      <c r="E20" s="12">
        <v>35</v>
      </c>
      <c r="F20" s="12">
        <v>4</v>
      </c>
      <c r="G20" s="12">
        <v>33</v>
      </c>
      <c r="H20" s="12">
        <v>21</v>
      </c>
      <c r="I20" s="12">
        <v>24</v>
      </c>
      <c r="J20" s="12">
        <v>3</v>
      </c>
      <c r="K20" s="12">
        <v>57</v>
      </c>
      <c r="L20" s="12">
        <v>12</v>
      </c>
      <c r="M20" s="12">
        <v>35</v>
      </c>
      <c r="N20" s="12">
        <v>37</v>
      </c>
      <c r="O20" s="12">
        <v>19</v>
      </c>
      <c r="P20" s="12">
        <v>17</v>
      </c>
      <c r="Q20" s="12">
        <v>18</v>
      </c>
      <c r="R20" s="12">
        <v>32</v>
      </c>
      <c r="S20" s="12">
        <v>25</v>
      </c>
      <c r="T20" s="12">
        <v>32</v>
      </c>
      <c r="U20" s="12">
        <v>7</v>
      </c>
      <c r="V20" s="12">
        <v>7</v>
      </c>
      <c r="W20" s="12">
        <v>26</v>
      </c>
      <c r="X20" s="12">
        <v>18</v>
      </c>
      <c r="Y20" s="12">
        <v>33</v>
      </c>
      <c r="Z20" s="12">
        <v>9</v>
      </c>
      <c r="AA20" s="12">
        <v>29</v>
      </c>
      <c r="AB20" s="12">
        <v>49</v>
      </c>
      <c r="AC20" s="12">
        <v>20</v>
      </c>
      <c r="AD20" s="12">
        <v>6</v>
      </c>
      <c r="AE20" s="12">
        <v>43</v>
      </c>
      <c r="AF20" s="12">
        <v>26</v>
      </c>
    </row>
    <row r="21" spans="1:32" x14ac:dyDescent="0.35">
      <c r="A21" s="31"/>
      <c r="B21" s="13" t="s">
        <v>357</v>
      </c>
      <c r="C21" s="14">
        <v>0.02</v>
      </c>
      <c r="D21" s="14">
        <v>0.01</v>
      </c>
      <c r="E21" s="14">
        <v>0.03</v>
      </c>
      <c r="F21" s="15" t="s">
        <v>333</v>
      </c>
      <c r="G21" s="14">
        <v>0.03</v>
      </c>
      <c r="H21" s="14">
        <v>0.02</v>
      </c>
      <c r="I21" s="14">
        <v>0.01</v>
      </c>
      <c r="J21" s="14">
        <v>0.01</v>
      </c>
      <c r="K21" s="14">
        <v>0.06</v>
      </c>
      <c r="L21" s="14">
        <v>0.01</v>
      </c>
      <c r="M21" s="14">
        <v>0.04</v>
      </c>
      <c r="N21" s="14">
        <v>0.04</v>
      </c>
      <c r="O21" s="14">
        <v>0.02</v>
      </c>
      <c r="P21" s="14">
        <v>0.02</v>
      </c>
      <c r="Q21" s="14">
        <v>0.02</v>
      </c>
      <c r="R21" s="14">
        <v>0.06</v>
      </c>
      <c r="S21" s="14">
        <v>0.03</v>
      </c>
      <c r="T21" s="14">
        <v>0.03</v>
      </c>
      <c r="U21" s="14">
        <v>0.01</v>
      </c>
      <c r="V21" s="14">
        <v>0.01</v>
      </c>
      <c r="W21" s="14">
        <v>0.05</v>
      </c>
      <c r="X21" s="14">
        <v>0.02</v>
      </c>
      <c r="Y21" s="14">
        <v>0.03</v>
      </c>
      <c r="Z21" s="14">
        <v>0.01</v>
      </c>
      <c r="AA21" s="14">
        <v>0.03</v>
      </c>
      <c r="AB21" s="14">
        <v>0.05</v>
      </c>
      <c r="AC21" s="14">
        <v>0.02</v>
      </c>
      <c r="AD21" s="14">
        <v>0.01</v>
      </c>
      <c r="AE21" s="14">
        <v>0.04</v>
      </c>
      <c r="AF21" s="14">
        <v>0.03</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139</v>
      </c>
      <c r="C3" s="30"/>
      <c r="D3" s="30"/>
      <c r="E3" s="30"/>
      <c r="F3" s="30"/>
      <c r="H3" s="30" t="s">
        <v>140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869</v>
      </c>
      <c r="C12" s="12">
        <v>941</v>
      </c>
      <c r="D12" s="12">
        <v>38</v>
      </c>
      <c r="E12" s="12">
        <v>40</v>
      </c>
      <c r="F12" s="12">
        <v>34</v>
      </c>
      <c r="G12" s="12">
        <v>25</v>
      </c>
      <c r="H12" s="12">
        <v>42</v>
      </c>
      <c r="I12" s="12">
        <v>53</v>
      </c>
      <c r="J12" s="12">
        <v>11</v>
      </c>
      <c r="K12" s="12">
        <v>41</v>
      </c>
      <c r="L12" s="12">
        <v>35</v>
      </c>
      <c r="M12" s="12">
        <v>19</v>
      </c>
      <c r="N12" s="12">
        <v>34</v>
      </c>
      <c r="O12" s="12">
        <v>59</v>
      </c>
      <c r="P12" s="12">
        <v>34</v>
      </c>
      <c r="Q12" s="12">
        <v>28</v>
      </c>
      <c r="R12" s="12">
        <v>15</v>
      </c>
      <c r="S12" s="12">
        <v>54</v>
      </c>
      <c r="T12" s="12">
        <v>28</v>
      </c>
      <c r="U12" s="12">
        <v>21</v>
      </c>
      <c r="V12" s="12">
        <v>10</v>
      </c>
      <c r="W12" s="12">
        <v>24</v>
      </c>
      <c r="X12" s="12">
        <v>31</v>
      </c>
      <c r="Y12" s="12">
        <v>43</v>
      </c>
      <c r="Z12" s="12">
        <v>19</v>
      </c>
      <c r="AA12" s="12">
        <v>62</v>
      </c>
      <c r="AB12" s="12">
        <v>48</v>
      </c>
      <c r="AC12" s="12">
        <v>29</v>
      </c>
      <c r="AD12" s="12">
        <v>56</v>
      </c>
      <c r="AE12" s="12">
        <v>11</v>
      </c>
      <c r="AF12" s="12">
        <v>25</v>
      </c>
    </row>
    <row r="13" spans="1:32" x14ac:dyDescent="0.35">
      <c r="A13" s="31"/>
      <c r="B13" s="13" t="s">
        <v>870</v>
      </c>
      <c r="C13" s="14">
        <v>0.04</v>
      </c>
      <c r="D13" s="14">
        <v>0.04</v>
      </c>
      <c r="E13" s="14">
        <v>0.04</v>
      </c>
      <c r="F13" s="14">
        <v>0.03</v>
      </c>
      <c r="G13" s="14">
        <v>0.02</v>
      </c>
      <c r="H13" s="14">
        <v>0.03</v>
      </c>
      <c r="I13" s="14">
        <v>0.03</v>
      </c>
      <c r="J13" s="14">
        <v>0.04</v>
      </c>
      <c r="K13" s="14">
        <v>0.04</v>
      </c>
      <c r="L13" s="14">
        <v>0.03</v>
      </c>
      <c r="M13" s="14">
        <v>0.02</v>
      </c>
      <c r="N13" s="14">
        <v>0.03</v>
      </c>
      <c r="O13" s="14">
        <v>0.06</v>
      </c>
      <c r="P13" s="14">
        <v>0.03</v>
      </c>
      <c r="Q13" s="14">
        <v>0.03</v>
      </c>
      <c r="R13" s="14">
        <v>0.03</v>
      </c>
      <c r="S13" s="14">
        <v>0.05</v>
      </c>
      <c r="T13" s="14">
        <v>0.03</v>
      </c>
      <c r="U13" s="14">
        <v>0.04</v>
      </c>
      <c r="V13" s="14">
        <v>0.01</v>
      </c>
      <c r="W13" s="14">
        <v>0.05</v>
      </c>
      <c r="X13" s="14">
        <v>0.03</v>
      </c>
      <c r="Y13" s="14">
        <v>0.04</v>
      </c>
      <c r="Z13" s="14">
        <v>0.02</v>
      </c>
      <c r="AA13" s="14">
        <v>0.06</v>
      </c>
      <c r="AB13" s="14">
        <v>0.05</v>
      </c>
      <c r="AC13" s="14">
        <v>0.03</v>
      </c>
      <c r="AD13" s="14">
        <v>0.06</v>
      </c>
      <c r="AE13" s="14">
        <v>0.01</v>
      </c>
      <c r="AF13" s="14">
        <v>0.03</v>
      </c>
    </row>
    <row r="14" spans="1:32" x14ac:dyDescent="0.35">
      <c r="A14" s="31"/>
      <c r="B14" s="11" t="s">
        <v>871</v>
      </c>
      <c r="C14" s="12">
        <v>5278</v>
      </c>
      <c r="D14" s="12">
        <v>231</v>
      </c>
      <c r="E14" s="12">
        <v>254</v>
      </c>
      <c r="F14" s="12">
        <v>165</v>
      </c>
      <c r="G14" s="12">
        <v>95</v>
      </c>
      <c r="H14" s="12">
        <v>228</v>
      </c>
      <c r="I14" s="12">
        <v>288</v>
      </c>
      <c r="J14" s="12">
        <v>60</v>
      </c>
      <c r="K14" s="12">
        <v>206</v>
      </c>
      <c r="L14" s="12">
        <v>210</v>
      </c>
      <c r="M14" s="12">
        <v>164</v>
      </c>
      <c r="N14" s="12">
        <v>172</v>
      </c>
      <c r="O14" s="12">
        <v>182</v>
      </c>
      <c r="P14" s="12">
        <v>288</v>
      </c>
      <c r="Q14" s="12">
        <v>254</v>
      </c>
      <c r="R14" s="12">
        <v>87</v>
      </c>
      <c r="S14" s="12">
        <v>215</v>
      </c>
      <c r="T14" s="12">
        <v>221</v>
      </c>
      <c r="U14" s="12">
        <v>107</v>
      </c>
      <c r="V14" s="12">
        <v>188</v>
      </c>
      <c r="W14" s="12">
        <v>104</v>
      </c>
      <c r="X14" s="12">
        <v>191</v>
      </c>
      <c r="Y14" s="12">
        <v>241</v>
      </c>
      <c r="Z14" s="12">
        <v>254</v>
      </c>
      <c r="AA14" s="12">
        <v>234</v>
      </c>
      <c r="AB14" s="12">
        <v>279</v>
      </c>
      <c r="AC14" s="12">
        <v>119</v>
      </c>
      <c r="AD14" s="12">
        <v>234</v>
      </c>
      <c r="AE14" s="12">
        <v>67</v>
      </c>
      <c r="AF14" s="12">
        <v>63</v>
      </c>
    </row>
    <row r="15" spans="1:32" x14ac:dyDescent="0.35">
      <c r="A15" s="31"/>
      <c r="B15" s="13" t="s">
        <v>872</v>
      </c>
      <c r="C15" s="14">
        <v>0.2</v>
      </c>
      <c r="D15" s="14">
        <v>0.22</v>
      </c>
      <c r="E15" s="14">
        <v>0.24</v>
      </c>
      <c r="F15" s="14">
        <v>0.16</v>
      </c>
      <c r="G15" s="14">
        <v>0.09</v>
      </c>
      <c r="H15" s="14">
        <v>0.18</v>
      </c>
      <c r="I15" s="14">
        <v>0.19</v>
      </c>
      <c r="J15" s="14">
        <v>0.2</v>
      </c>
      <c r="K15" s="14">
        <v>0.2</v>
      </c>
      <c r="L15" s="14">
        <v>0.21</v>
      </c>
      <c r="M15" s="14">
        <v>0.16</v>
      </c>
      <c r="N15" s="14">
        <v>0.17</v>
      </c>
      <c r="O15" s="14">
        <v>0.18</v>
      </c>
      <c r="P15" s="14">
        <v>0.28999999999999998</v>
      </c>
      <c r="Q15" s="14">
        <v>0.24</v>
      </c>
      <c r="R15" s="14">
        <v>0.17</v>
      </c>
      <c r="S15" s="14">
        <v>0.21</v>
      </c>
      <c r="T15" s="14">
        <v>0.22</v>
      </c>
      <c r="U15" s="14">
        <v>0.21</v>
      </c>
      <c r="V15" s="14">
        <v>0.19</v>
      </c>
      <c r="W15" s="14">
        <v>0.21</v>
      </c>
      <c r="X15" s="14">
        <v>0.19</v>
      </c>
      <c r="Y15" s="14">
        <v>0.24</v>
      </c>
      <c r="Z15" s="14">
        <v>0.25</v>
      </c>
      <c r="AA15" s="14">
        <v>0.23</v>
      </c>
      <c r="AB15" s="14">
        <v>0.26</v>
      </c>
      <c r="AC15" s="14">
        <v>0.12</v>
      </c>
      <c r="AD15" s="14">
        <v>0.23</v>
      </c>
      <c r="AE15" s="14">
        <v>7.0000000000000007E-2</v>
      </c>
      <c r="AF15" s="14">
        <v>0.06</v>
      </c>
    </row>
    <row r="16" spans="1:32" x14ac:dyDescent="0.35">
      <c r="A16" s="31"/>
      <c r="B16" s="11" t="s">
        <v>873</v>
      </c>
      <c r="C16" s="12">
        <v>7097</v>
      </c>
      <c r="D16" s="12">
        <v>283</v>
      </c>
      <c r="E16" s="12">
        <v>217</v>
      </c>
      <c r="F16" s="12">
        <v>342</v>
      </c>
      <c r="G16" s="12">
        <v>232</v>
      </c>
      <c r="H16" s="12">
        <v>327</v>
      </c>
      <c r="I16" s="12">
        <v>409</v>
      </c>
      <c r="J16" s="12">
        <v>82</v>
      </c>
      <c r="K16" s="12">
        <v>263</v>
      </c>
      <c r="L16" s="12">
        <v>257</v>
      </c>
      <c r="M16" s="12">
        <v>278</v>
      </c>
      <c r="N16" s="12">
        <v>284</v>
      </c>
      <c r="O16" s="12">
        <v>218</v>
      </c>
      <c r="P16" s="12">
        <v>267</v>
      </c>
      <c r="Q16" s="12">
        <v>303</v>
      </c>
      <c r="R16" s="12">
        <v>103</v>
      </c>
      <c r="S16" s="12">
        <v>225</v>
      </c>
      <c r="T16" s="12">
        <v>207</v>
      </c>
      <c r="U16" s="12">
        <v>133</v>
      </c>
      <c r="V16" s="12">
        <v>288</v>
      </c>
      <c r="W16" s="12">
        <v>106</v>
      </c>
      <c r="X16" s="12">
        <v>304</v>
      </c>
      <c r="Y16" s="12">
        <v>216</v>
      </c>
      <c r="Z16" s="12">
        <v>302</v>
      </c>
      <c r="AA16" s="12">
        <v>214</v>
      </c>
      <c r="AB16" s="12">
        <v>331</v>
      </c>
      <c r="AC16" s="12">
        <v>226</v>
      </c>
      <c r="AD16" s="12">
        <v>328</v>
      </c>
      <c r="AE16" s="12">
        <v>327</v>
      </c>
      <c r="AF16" s="12">
        <v>229</v>
      </c>
    </row>
    <row r="17" spans="1:32" x14ac:dyDescent="0.35">
      <c r="A17" s="31"/>
      <c r="B17" s="13" t="s">
        <v>874</v>
      </c>
      <c r="C17" s="14">
        <v>0.27</v>
      </c>
      <c r="D17" s="14">
        <v>0.28000000000000003</v>
      </c>
      <c r="E17" s="14">
        <v>0.21</v>
      </c>
      <c r="F17" s="14">
        <v>0.34</v>
      </c>
      <c r="G17" s="14">
        <v>0.23</v>
      </c>
      <c r="H17" s="14">
        <v>0.27</v>
      </c>
      <c r="I17" s="14">
        <v>0.27</v>
      </c>
      <c r="J17" s="14">
        <v>0.27</v>
      </c>
      <c r="K17" s="14">
        <v>0.26</v>
      </c>
      <c r="L17" s="14">
        <v>0.26</v>
      </c>
      <c r="M17" s="14">
        <v>0.28000000000000003</v>
      </c>
      <c r="N17" s="14">
        <v>0.28999999999999998</v>
      </c>
      <c r="O17" s="14">
        <v>0.22</v>
      </c>
      <c r="P17" s="14">
        <v>0.27</v>
      </c>
      <c r="Q17" s="14">
        <v>0.28999999999999998</v>
      </c>
      <c r="R17" s="14">
        <v>0.2</v>
      </c>
      <c r="S17" s="14">
        <v>0.22</v>
      </c>
      <c r="T17" s="14">
        <v>0.2</v>
      </c>
      <c r="U17" s="14">
        <v>0.26</v>
      </c>
      <c r="V17" s="14">
        <v>0.28000000000000003</v>
      </c>
      <c r="W17" s="14">
        <v>0.21</v>
      </c>
      <c r="X17" s="14">
        <v>0.3</v>
      </c>
      <c r="Y17" s="14">
        <v>0.22</v>
      </c>
      <c r="Z17" s="14">
        <v>0.3</v>
      </c>
      <c r="AA17" s="14">
        <v>0.21</v>
      </c>
      <c r="AB17" s="14">
        <v>0.31</v>
      </c>
      <c r="AC17" s="14">
        <v>0.22</v>
      </c>
      <c r="AD17" s="14">
        <v>0.33</v>
      </c>
      <c r="AE17" s="14">
        <v>0.32</v>
      </c>
      <c r="AF17" s="14">
        <v>0.22</v>
      </c>
    </row>
    <row r="18" spans="1:32" x14ac:dyDescent="0.35">
      <c r="A18" s="31"/>
      <c r="B18" s="11" t="s">
        <v>685</v>
      </c>
      <c r="C18" s="12">
        <v>12812</v>
      </c>
      <c r="D18" s="12">
        <v>471</v>
      </c>
      <c r="E18" s="12">
        <v>488</v>
      </c>
      <c r="F18" s="12">
        <v>469</v>
      </c>
      <c r="G18" s="12">
        <v>650</v>
      </c>
      <c r="H18" s="12">
        <v>628</v>
      </c>
      <c r="I18" s="12">
        <v>772</v>
      </c>
      <c r="J18" s="12">
        <v>144</v>
      </c>
      <c r="K18" s="12">
        <v>484</v>
      </c>
      <c r="L18" s="12">
        <v>498</v>
      </c>
      <c r="M18" s="12">
        <v>525</v>
      </c>
      <c r="N18" s="12">
        <v>483</v>
      </c>
      <c r="O18" s="12">
        <v>535</v>
      </c>
      <c r="P18" s="12">
        <v>408</v>
      </c>
      <c r="Q18" s="12">
        <v>445</v>
      </c>
      <c r="R18" s="12">
        <v>293</v>
      </c>
      <c r="S18" s="12">
        <v>514</v>
      </c>
      <c r="T18" s="12">
        <v>546</v>
      </c>
      <c r="U18" s="12">
        <v>246</v>
      </c>
      <c r="V18" s="12">
        <v>527</v>
      </c>
      <c r="W18" s="12">
        <v>264</v>
      </c>
      <c r="X18" s="12">
        <v>483</v>
      </c>
      <c r="Y18" s="12">
        <v>480</v>
      </c>
      <c r="Z18" s="12">
        <v>438</v>
      </c>
      <c r="AA18" s="12">
        <v>498</v>
      </c>
      <c r="AB18" s="12">
        <v>367</v>
      </c>
      <c r="AC18" s="12">
        <v>626</v>
      </c>
      <c r="AD18" s="12">
        <v>385</v>
      </c>
      <c r="AE18" s="12">
        <v>595</v>
      </c>
      <c r="AF18" s="12">
        <v>696</v>
      </c>
    </row>
    <row r="19" spans="1:32" x14ac:dyDescent="0.35">
      <c r="A19" s="31"/>
      <c r="B19" s="13" t="s">
        <v>686</v>
      </c>
      <c r="C19" s="14">
        <v>0.48</v>
      </c>
      <c r="D19" s="14">
        <v>0.46</v>
      </c>
      <c r="E19" s="14">
        <v>0.47</v>
      </c>
      <c r="F19" s="14">
        <v>0.46</v>
      </c>
      <c r="G19" s="14">
        <v>0.64</v>
      </c>
      <c r="H19" s="14">
        <v>0.51</v>
      </c>
      <c r="I19" s="14">
        <v>0.5</v>
      </c>
      <c r="J19" s="14">
        <v>0.48</v>
      </c>
      <c r="K19" s="14">
        <v>0.48</v>
      </c>
      <c r="L19" s="14">
        <v>0.5</v>
      </c>
      <c r="M19" s="14">
        <v>0.52</v>
      </c>
      <c r="N19" s="14">
        <v>0.48</v>
      </c>
      <c r="O19" s="14">
        <v>0.53</v>
      </c>
      <c r="P19" s="14">
        <v>0.41</v>
      </c>
      <c r="Q19" s="14">
        <v>0.43</v>
      </c>
      <c r="R19" s="14">
        <v>0.59</v>
      </c>
      <c r="S19" s="14">
        <v>0.51</v>
      </c>
      <c r="T19" s="14">
        <v>0.54</v>
      </c>
      <c r="U19" s="14">
        <v>0.49</v>
      </c>
      <c r="V19" s="14">
        <v>0.52</v>
      </c>
      <c r="W19" s="14">
        <v>0.53</v>
      </c>
      <c r="X19" s="14">
        <v>0.48</v>
      </c>
      <c r="Y19" s="14">
        <v>0.48</v>
      </c>
      <c r="Z19" s="14">
        <v>0.43</v>
      </c>
      <c r="AA19" s="14">
        <v>0.48</v>
      </c>
      <c r="AB19" s="14">
        <v>0.35</v>
      </c>
      <c r="AC19" s="14">
        <v>0.62</v>
      </c>
      <c r="AD19" s="14">
        <v>0.38</v>
      </c>
      <c r="AE19" s="14">
        <v>0.59</v>
      </c>
      <c r="AF19" s="14">
        <v>0.68</v>
      </c>
    </row>
    <row r="20" spans="1:32" x14ac:dyDescent="0.35">
      <c r="A20" s="31"/>
      <c r="B20" s="11" t="s">
        <v>344</v>
      </c>
      <c r="C20" s="12">
        <v>282</v>
      </c>
      <c r="D20" s="12">
        <v>2</v>
      </c>
      <c r="E20" s="12">
        <v>40</v>
      </c>
      <c r="F20" s="12">
        <v>8</v>
      </c>
      <c r="G20" s="12">
        <v>15</v>
      </c>
      <c r="H20" s="12">
        <v>8</v>
      </c>
      <c r="I20" s="12">
        <v>9</v>
      </c>
      <c r="J20" s="12">
        <v>1</v>
      </c>
      <c r="K20" s="12">
        <v>16</v>
      </c>
      <c r="L20" s="12">
        <v>4</v>
      </c>
      <c r="M20" s="12">
        <v>18</v>
      </c>
      <c r="N20" s="12">
        <v>28</v>
      </c>
      <c r="O20" s="12">
        <v>6</v>
      </c>
      <c r="P20" s="12">
        <v>6</v>
      </c>
      <c r="Q20" s="12">
        <v>6</v>
      </c>
      <c r="R20" s="12">
        <v>3</v>
      </c>
      <c r="S20" s="12">
        <v>13</v>
      </c>
      <c r="T20" s="12">
        <v>15</v>
      </c>
      <c r="U20" s="12">
        <v>1</v>
      </c>
      <c r="V20" s="12">
        <v>1</v>
      </c>
      <c r="W20" s="12">
        <v>3</v>
      </c>
      <c r="X20" s="12">
        <v>1</v>
      </c>
      <c r="Y20" s="12">
        <v>24</v>
      </c>
      <c r="Z20" s="12">
        <v>6</v>
      </c>
      <c r="AA20" s="12">
        <v>23</v>
      </c>
      <c r="AB20" s="12">
        <v>32</v>
      </c>
      <c r="AC20" s="12">
        <v>13</v>
      </c>
      <c r="AD20" s="12">
        <v>1</v>
      </c>
      <c r="AE20" s="12">
        <v>8</v>
      </c>
      <c r="AF20" s="12">
        <v>6</v>
      </c>
    </row>
    <row r="21" spans="1:32" x14ac:dyDescent="0.35">
      <c r="A21" s="31"/>
      <c r="B21" s="13" t="s">
        <v>357</v>
      </c>
      <c r="C21" s="14">
        <v>0.01</v>
      </c>
      <c r="D21" s="15" t="s">
        <v>333</v>
      </c>
      <c r="E21" s="14">
        <v>0.04</v>
      </c>
      <c r="F21" s="14">
        <v>0.01</v>
      </c>
      <c r="G21" s="14">
        <v>0.02</v>
      </c>
      <c r="H21" s="14">
        <v>0.01</v>
      </c>
      <c r="I21" s="14">
        <v>0.01</v>
      </c>
      <c r="J21" s="14">
        <v>0.01</v>
      </c>
      <c r="K21" s="14">
        <v>0.02</v>
      </c>
      <c r="L21" s="15" t="s">
        <v>333</v>
      </c>
      <c r="M21" s="14">
        <v>0.02</v>
      </c>
      <c r="N21" s="14">
        <v>0.03</v>
      </c>
      <c r="O21" s="14">
        <v>0.01</v>
      </c>
      <c r="P21" s="15" t="s">
        <v>333</v>
      </c>
      <c r="Q21" s="14">
        <v>0.01</v>
      </c>
      <c r="R21" s="14">
        <v>0.01</v>
      </c>
      <c r="S21" s="14">
        <v>0.01</v>
      </c>
      <c r="T21" s="14">
        <v>0.01</v>
      </c>
      <c r="U21" s="15" t="s">
        <v>333</v>
      </c>
      <c r="V21" s="15" t="s">
        <v>333</v>
      </c>
      <c r="W21" s="15" t="s">
        <v>333</v>
      </c>
      <c r="X21" s="15" t="s">
        <v>333</v>
      </c>
      <c r="Y21" s="14">
        <v>0.02</v>
      </c>
      <c r="Z21" s="15" t="s">
        <v>333</v>
      </c>
      <c r="AA21" s="14">
        <v>0.02</v>
      </c>
      <c r="AB21" s="14">
        <v>0.03</v>
      </c>
      <c r="AC21" s="14">
        <v>0.01</v>
      </c>
      <c r="AD21" s="15" t="s">
        <v>333</v>
      </c>
      <c r="AE21" s="14">
        <v>0.01</v>
      </c>
      <c r="AF21" s="14">
        <v>0.01</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60" customHeight="1" x14ac:dyDescent="0.35">
      <c r="B3" s="30" t="s">
        <v>141</v>
      </c>
      <c r="C3" s="30"/>
      <c r="D3" s="30"/>
      <c r="E3" s="30"/>
      <c r="F3" s="30"/>
      <c r="H3" s="30" t="s">
        <v>142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81.5" x14ac:dyDescent="0.35">
      <c r="A12" s="31"/>
      <c r="B12" s="11" t="s">
        <v>875</v>
      </c>
      <c r="C12" s="12">
        <v>11731</v>
      </c>
      <c r="D12" s="12">
        <v>504</v>
      </c>
      <c r="E12" s="12">
        <v>392</v>
      </c>
      <c r="F12" s="12">
        <v>394</v>
      </c>
      <c r="G12" s="12">
        <v>445</v>
      </c>
      <c r="H12" s="12">
        <v>630</v>
      </c>
      <c r="I12" s="12">
        <v>790</v>
      </c>
      <c r="J12" s="12">
        <v>160</v>
      </c>
      <c r="K12" s="12">
        <v>443</v>
      </c>
      <c r="L12" s="12">
        <v>441</v>
      </c>
      <c r="M12" s="12">
        <v>481</v>
      </c>
      <c r="N12" s="12">
        <v>409</v>
      </c>
      <c r="O12" s="12">
        <v>436</v>
      </c>
      <c r="P12" s="12">
        <v>447</v>
      </c>
      <c r="Q12" s="12">
        <v>367</v>
      </c>
      <c r="R12" s="12">
        <v>236</v>
      </c>
      <c r="S12" s="12">
        <v>457</v>
      </c>
      <c r="T12" s="12">
        <v>505</v>
      </c>
      <c r="U12" s="12">
        <v>268</v>
      </c>
      <c r="V12" s="12">
        <v>455</v>
      </c>
      <c r="W12" s="12">
        <v>275</v>
      </c>
      <c r="X12" s="12">
        <v>600</v>
      </c>
      <c r="Y12" s="12">
        <v>529</v>
      </c>
      <c r="Z12" s="12">
        <v>379</v>
      </c>
      <c r="AA12" s="12">
        <v>314</v>
      </c>
      <c r="AB12" s="12">
        <v>386</v>
      </c>
      <c r="AC12" s="12">
        <v>456</v>
      </c>
      <c r="AD12" s="12">
        <v>482</v>
      </c>
      <c r="AE12" s="12">
        <v>603</v>
      </c>
      <c r="AF12" s="12">
        <v>722</v>
      </c>
    </row>
    <row r="13" spans="1:32" ht="61.5" x14ac:dyDescent="0.35">
      <c r="A13" s="31"/>
      <c r="B13" s="13" t="s">
        <v>876</v>
      </c>
      <c r="C13" s="14">
        <v>0.44</v>
      </c>
      <c r="D13" s="14">
        <v>0.49</v>
      </c>
      <c r="E13" s="14">
        <v>0.38</v>
      </c>
      <c r="F13" s="14">
        <v>0.39</v>
      </c>
      <c r="G13" s="14">
        <v>0.44</v>
      </c>
      <c r="H13" s="14">
        <v>0.51</v>
      </c>
      <c r="I13" s="14">
        <v>0.52</v>
      </c>
      <c r="J13" s="14">
        <v>0.54</v>
      </c>
      <c r="K13" s="14">
        <v>0.44</v>
      </c>
      <c r="L13" s="14">
        <v>0.44</v>
      </c>
      <c r="M13" s="14">
        <v>0.48</v>
      </c>
      <c r="N13" s="14">
        <v>0.41</v>
      </c>
      <c r="O13" s="14">
        <v>0.44</v>
      </c>
      <c r="P13" s="14">
        <v>0.45</v>
      </c>
      <c r="Q13" s="14">
        <v>0.35</v>
      </c>
      <c r="R13" s="14">
        <v>0.47</v>
      </c>
      <c r="S13" s="14">
        <v>0.45</v>
      </c>
      <c r="T13" s="14">
        <v>0.5</v>
      </c>
      <c r="U13" s="14">
        <v>0.53</v>
      </c>
      <c r="V13" s="14">
        <v>0.45</v>
      </c>
      <c r="W13" s="14">
        <v>0.55000000000000004</v>
      </c>
      <c r="X13" s="14">
        <v>0.59</v>
      </c>
      <c r="Y13" s="14">
        <v>0.53</v>
      </c>
      <c r="Z13" s="14">
        <v>0.37</v>
      </c>
      <c r="AA13" s="14">
        <v>0.3</v>
      </c>
      <c r="AB13" s="14">
        <v>0.37</v>
      </c>
      <c r="AC13" s="14">
        <v>0.45</v>
      </c>
      <c r="AD13" s="14">
        <v>0.48</v>
      </c>
      <c r="AE13" s="14">
        <v>0.6</v>
      </c>
      <c r="AF13" s="14">
        <v>0.71</v>
      </c>
    </row>
    <row r="14" spans="1:32" ht="61.5" x14ac:dyDescent="0.35">
      <c r="A14" s="31"/>
      <c r="B14" s="11" t="s">
        <v>877</v>
      </c>
      <c r="C14" s="12">
        <v>10680</v>
      </c>
      <c r="D14" s="12">
        <v>453</v>
      </c>
      <c r="E14" s="12">
        <v>397</v>
      </c>
      <c r="F14" s="12">
        <v>357</v>
      </c>
      <c r="G14" s="12">
        <v>395</v>
      </c>
      <c r="H14" s="12">
        <v>494</v>
      </c>
      <c r="I14" s="12">
        <v>601</v>
      </c>
      <c r="J14" s="12">
        <v>107</v>
      </c>
      <c r="K14" s="12">
        <v>373</v>
      </c>
      <c r="L14" s="12">
        <v>443</v>
      </c>
      <c r="M14" s="12">
        <v>456</v>
      </c>
      <c r="N14" s="12">
        <v>399</v>
      </c>
      <c r="O14" s="12">
        <v>402</v>
      </c>
      <c r="P14" s="12">
        <v>432</v>
      </c>
      <c r="Q14" s="12">
        <v>451</v>
      </c>
      <c r="R14" s="12">
        <v>228</v>
      </c>
      <c r="S14" s="12">
        <v>285</v>
      </c>
      <c r="T14" s="12">
        <v>406</v>
      </c>
      <c r="U14" s="12">
        <v>248</v>
      </c>
      <c r="V14" s="12">
        <v>486</v>
      </c>
      <c r="W14" s="12">
        <v>218</v>
      </c>
      <c r="X14" s="12">
        <v>532</v>
      </c>
      <c r="Y14" s="12">
        <v>420</v>
      </c>
      <c r="Z14" s="12">
        <v>324</v>
      </c>
      <c r="AA14" s="12">
        <v>362</v>
      </c>
      <c r="AB14" s="12">
        <v>370</v>
      </c>
      <c r="AC14" s="12">
        <v>356</v>
      </c>
      <c r="AD14" s="12">
        <v>422</v>
      </c>
      <c r="AE14" s="12">
        <v>399</v>
      </c>
      <c r="AF14" s="12">
        <v>512</v>
      </c>
    </row>
    <row r="15" spans="1:32" ht="41.5" x14ac:dyDescent="0.35">
      <c r="A15" s="31"/>
      <c r="B15" s="13" t="s">
        <v>878</v>
      </c>
      <c r="C15" s="14">
        <v>0.4</v>
      </c>
      <c r="D15" s="14">
        <v>0.44</v>
      </c>
      <c r="E15" s="14">
        <v>0.38</v>
      </c>
      <c r="F15" s="14">
        <v>0.35</v>
      </c>
      <c r="G15" s="14">
        <v>0.39</v>
      </c>
      <c r="H15" s="14">
        <v>0.4</v>
      </c>
      <c r="I15" s="14">
        <v>0.39</v>
      </c>
      <c r="J15" s="14">
        <v>0.36</v>
      </c>
      <c r="K15" s="14">
        <v>0.37</v>
      </c>
      <c r="L15" s="14">
        <v>0.44</v>
      </c>
      <c r="M15" s="14">
        <v>0.45</v>
      </c>
      <c r="N15" s="14">
        <v>0.4</v>
      </c>
      <c r="O15" s="14">
        <v>0.4</v>
      </c>
      <c r="P15" s="14">
        <v>0.43</v>
      </c>
      <c r="Q15" s="14">
        <v>0.44</v>
      </c>
      <c r="R15" s="14">
        <v>0.46</v>
      </c>
      <c r="S15" s="14">
        <v>0.28000000000000003</v>
      </c>
      <c r="T15" s="14">
        <v>0.4</v>
      </c>
      <c r="U15" s="14">
        <v>0.49</v>
      </c>
      <c r="V15" s="14">
        <v>0.48</v>
      </c>
      <c r="W15" s="14">
        <v>0.44</v>
      </c>
      <c r="X15" s="14">
        <v>0.53</v>
      </c>
      <c r="Y15" s="14">
        <v>0.42</v>
      </c>
      <c r="Z15" s="14">
        <v>0.32</v>
      </c>
      <c r="AA15" s="14">
        <v>0.35</v>
      </c>
      <c r="AB15" s="14">
        <v>0.35</v>
      </c>
      <c r="AC15" s="14">
        <v>0.35</v>
      </c>
      <c r="AD15" s="14">
        <v>0.42</v>
      </c>
      <c r="AE15" s="14">
        <v>0.4</v>
      </c>
      <c r="AF15" s="14">
        <v>0.5</v>
      </c>
    </row>
    <row r="16" spans="1:32" ht="51.5" x14ac:dyDescent="0.35">
      <c r="A16" s="31"/>
      <c r="B16" s="11" t="s">
        <v>879</v>
      </c>
      <c r="C16" s="12">
        <v>7811</v>
      </c>
      <c r="D16" s="12">
        <v>269</v>
      </c>
      <c r="E16" s="12">
        <v>322</v>
      </c>
      <c r="F16" s="12">
        <v>272</v>
      </c>
      <c r="G16" s="12">
        <v>373</v>
      </c>
      <c r="H16" s="12">
        <v>306</v>
      </c>
      <c r="I16" s="12">
        <v>417</v>
      </c>
      <c r="J16" s="12">
        <v>110</v>
      </c>
      <c r="K16" s="12">
        <v>268</v>
      </c>
      <c r="L16" s="12">
        <v>284</v>
      </c>
      <c r="M16" s="12">
        <v>482</v>
      </c>
      <c r="N16" s="12">
        <v>311</v>
      </c>
      <c r="O16" s="12">
        <v>271</v>
      </c>
      <c r="P16" s="12">
        <v>337</v>
      </c>
      <c r="Q16" s="12">
        <v>356</v>
      </c>
      <c r="R16" s="12">
        <v>178</v>
      </c>
      <c r="S16" s="12">
        <v>205</v>
      </c>
      <c r="T16" s="12">
        <v>267</v>
      </c>
      <c r="U16" s="12">
        <v>122</v>
      </c>
      <c r="V16" s="12">
        <v>363</v>
      </c>
      <c r="W16" s="12">
        <v>157</v>
      </c>
      <c r="X16" s="12">
        <v>236</v>
      </c>
      <c r="Y16" s="12">
        <v>346</v>
      </c>
      <c r="Z16" s="12">
        <v>279</v>
      </c>
      <c r="AA16" s="12">
        <v>316</v>
      </c>
      <c r="AB16" s="12">
        <v>238</v>
      </c>
      <c r="AC16" s="12">
        <v>312</v>
      </c>
      <c r="AD16" s="12">
        <v>430</v>
      </c>
      <c r="AE16" s="12">
        <v>278</v>
      </c>
      <c r="AF16" s="12">
        <v>285</v>
      </c>
    </row>
    <row r="17" spans="1:32" ht="41.5" x14ac:dyDescent="0.35">
      <c r="A17" s="31"/>
      <c r="B17" s="13" t="s">
        <v>880</v>
      </c>
      <c r="C17" s="14">
        <v>0.3</v>
      </c>
      <c r="D17" s="14">
        <v>0.26</v>
      </c>
      <c r="E17" s="14">
        <v>0.31</v>
      </c>
      <c r="F17" s="14">
        <v>0.27</v>
      </c>
      <c r="G17" s="14">
        <v>0.37</v>
      </c>
      <c r="H17" s="14">
        <v>0.25</v>
      </c>
      <c r="I17" s="14">
        <v>0.27</v>
      </c>
      <c r="J17" s="14">
        <v>0.37</v>
      </c>
      <c r="K17" s="14">
        <v>0.27</v>
      </c>
      <c r="L17" s="14">
        <v>0.28000000000000003</v>
      </c>
      <c r="M17" s="14">
        <v>0.48</v>
      </c>
      <c r="N17" s="14">
        <v>0.31</v>
      </c>
      <c r="O17" s="14">
        <v>0.27</v>
      </c>
      <c r="P17" s="14">
        <v>0.34</v>
      </c>
      <c r="Q17" s="14">
        <v>0.34</v>
      </c>
      <c r="R17" s="14">
        <v>0.36</v>
      </c>
      <c r="S17" s="14">
        <v>0.2</v>
      </c>
      <c r="T17" s="14">
        <v>0.26</v>
      </c>
      <c r="U17" s="14">
        <v>0.24</v>
      </c>
      <c r="V17" s="14">
        <v>0.36</v>
      </c>
      <c r="W17" s="14">
        <v>0.31</v>
      </c>
      <c r="X17" s="14">
        <v>0.23</v>
      </c>
      <c r="Y17" s="14">
        <v>0.35</v>
      </c>
      <c r="Z17" s="14">
        <v>0.27</v>
      </c>
      <c r="AA17" s="14">
        <v>0.31</v>
      </c>
      <c r="AB17" s="14">
        <v>0.23</v>
      </c>
      <c r="AC17" s="14">
        <v>0.31</v>
      </c>
      <c r="AD17" s="14">
        <v>0.43</v>
      </c>
      <c r="AE17" s="14">
        <v>0.28000000000000003</v>
      </c>
      <c r="AF17" s="14">
        <v>0.28000000000000003</v>
      </c>
    </row>
    <row r="18" spans="1:32" ht="31.5" x14ac:dyDescent="0.35">
      <c r="A18" s="31"/>
      <c r="B18" s="11" t="s">
        <v>881</v>
      </c>
      <c r="C18" s="12">
        <v>10866</v>
      </c>
      <c r="D18" s="12">
        <v>388</v>
      </c>
      <c r="E18" s="12">
        <v>439</v>
      </c>
      <c r="F18" s="12">
        <v>395</v>
      </c>
      <c r="G18" s="12">
        <v>547</v>
      </c>
      <c r="H18" s="12">
        <v>552</v>
      </c>
      <c r="I18" s="12">
        <v>680</v>
      </c>
      <c r="J18" s="12">
        <v>129</v>
      </c>
      <c r="K18" s="12">
        <v>296</v>
      </c>
      <c r="L18" s="12">
        <v>422</v>
      </c>
      <c r="M18" s="12">
        <v>572</v>
      </c>
      <c r="N18" s="12">
        <v>370</v>
      </c>
      <c r="O18" s="12">
        <v>438</v>
      </c>
      <c r="P18" s="12">
        <v>357</v>
      </c>
      <c r="Q18" s="12">
        <v>456</v>
      </c>
      <c r="R18" s="12">
        <v>198</v>
      </c>
      <c r="S18" s="12">
        <v>377</v>
      </c>
      <c r="T18" s="12">
        <v>385</v>
      </c>
      <c r="U18" s="12">
        <v>165</v>
      </c>
      <c r="V18" s="12">
        <v>412</v>
      </c>
      <c r="W18" s="12">
        <v>206</v>
      </c>
      <c r="X18" s="12">
        <v>443</v>
      </c>
      <c r="Y18" s="12">
        <v>381</v>
      </c>
      <c r="Z18" s="12">
        <v>330</v>
      </c>
      <c r="AA18" s="12">
        <v>394</v>
      </c>
      <c r="AB18" s="12">
        <v>276</v>
      </c>
      <c r="AC18" s="12">
        <v>368</v>
      </c>
      <c r="AD18" s="12">
        <v>442</v>
      </c>
      <c r="AE18" s="12">
        <v>356</v>
      </c>
      <c r="AF18" s="12">
        <v>510</v>
      </c>
    </row>
    <row r="19" spans="1:32" ht="31.5" x14ac:dyDescent="0.35">
      <c r="A19" s="31"/>
      <c r="B19" s="13" t="s">
        <v>882</v>
      </c>
      <c r="C19" s="14">
        <v>0.41</v>
      </c>
      <c r="D19" s="14">
        <v>0.38</v>
      </c>
      <c r="E19" s="14">
        <v>0.42</v>
      </c>
      <c r="F19" s="14">
        <v>0.39</v>
      </c>
      <c r="G19" s="14">
        <v>0.54</v>
      </c>
      <c r="H19" s="14">
        <v>0.45</v>
      </c>
      <c r="I19" s="14">
        <v>0.44</v>
      </c>
      <c r="J19" s="14">
        <v>0.43</v>
      </c>
      <c r="K19" s="14">
        <v>0.28999999999999998</v>
      </c>
      <c r="L19" s="14">
        <v>0.42</v>
      </c>
      <c r="M19" s="14">
        <v>0.57000000000000006</v>
      </c>
      <c r="N19" s="14">
        <v>0.37</v>
      </c>
      <c r="O19" s="14">
        <v>0.44</v>
      </c>
      <c r="P19" s="14">
        <v>0.36</v>
      </c>
      <c r="Q19" s="14">
        <v>0.44</v>
      </c>
      <c r="R19" s="14">
        <v>0.4</v>
      </c>
      <c r="S19" s="14">
        <v>0.37</v>
      </c>
      <c r="T19" s="14">
        <v>0.38</v>
      </c>
      <c r="U19" s="14">
        <v>0.32</v>
      </c>
      <c r="V19" s="14">
        <v>0.41</v>
      </c>
      <c r="W19" s="14">
        <v>0.41</v>
      </c>
      <c r="X19" s="14">
        <v>0.44</v>
      </c>
      <c r="Y19" s="14">
        <v>0.38</v>
      </c>
      <c r="Z19" s="14">
        <v>0.32</v>
      </c>
      <c r="AA19" s="14">
        <v>0.38</v>
      </c>
      <c r="AB19" s="14">
        <v>0.26</v>
      </c>
      <c r="AC19" s="14">
        <v>0.36</v>
      </c>
      <c r="AD19" s="14">
        <v>0.44</v>
      </c>
      <c r="AE19" s="14">
        <v>0.35</v>
      </c>
      <c r="AF19" s="14">
        <v>0.5</v>
      </c>
    </row>
    <row r="20" spans="1:32" ht="41.5" x14ac:dyDescent="0.35">
      <c r="A20" s="31"/>
      <c r="B20" s="11" t="s">
        <v>883</v>
      </c>
      <c r="C20" s="12">
        <v>9243</v>
      </c>
      <c r="D20" s="12">
        <v>405</v>
      </c>
      <c r="E20" s="12">
        <v>324</v>
      </c>
      <c r="F20" s="12">
        <v>347</v>
      </c>
      <c r="G20" s="12">
        <v>554</v>
      </c>
      <c r="H20" s="12">
        <v>372</v>
      </c>
      <c r="I20" s="12">
        <v>455</v>
      </c>
      <c r="J20" s="12">
        <v>83</v>
      </c>
      <c r="K20" s="12">
        <v>278</v>
      </c>
      <c r="L20" s="12">
        <v>367</v>
      </c>
      <c r="M20" s="12">
        <v>436</v>
      </c>
      <c r="N20" s="12">
        <v>319</v>
      </c>
      <c r="O20" s="12">
        <v>389</v>
      </c>
      <c r="P20" s="12">
        <v>335</v>
      </c>
      <c r="Q20" s="12">
        <v>399</v>
      </c>
      <c r="R20" s="12">
        <v>148</v>
      </c>
      <c r="S20" s="12">
        <v>286</v>
      </c>
      <c r="T20" s="12">
        <v>198</v>
      </c>
      <c r="U20" s="12">
        <v>141</v>
      </c>
      <c r="V20" s="12">
        <v>320</v>
      </c>
      <c r="W20" s="12">
        <v>186</v>
      </c>
      <c r="X20" s="12">
        <v>439</v>
      </c>
      <c r="Y20" s="12">
        <v>342</v>
      </c>
      <c r="Z20" s="12">
        <v>282</v>
      </c>
      <c r="AA20" s="12">
        <v>327</v>
      </c>
      <c r="AB20" s="12">
        <v>306</v>
      </c>
      <c r="AC20" s="12">
        <v>375</v>
      </c>
      <c r="AD20" s="12">
        <v>347</v>
      </c>
      <c r="AE20" s="12">
        <v>429</v>
      </c>
      <c r="AF20" s="12">
        <v>594</v>
      </c>
    </row>
    <row r="21" spans="1:32" ht="41.5" x14ac:dyDescent="0.35">
      <c r="A21" s="31"/>
      <c r="B21" s="13" t="s">
        <v>884</v>
      </c>
      <c r="C21" s="14">
        <v>0.35</v>
      </c>
      <c r="D21" s="14">
        <v>0.4</v>
      </c>
      <c r="E21" s="14">
        <v>0.31</v>
      </c>
      <c r="F21" s="14">
        <v>0.34</v>
      </c>
      <c r="G21" s="14">
        <v>0.54</v>
      </c>
      <c r="H21" s="14">
        <v>0.3</v>
      </c>
      <c r="I21" s="14">
        <v>0.3</v>
      </c>
      <c r="J21" s="14">
        <v>0.28000000000000003</v>
      </c>
      <c r="K21" s="14">
        <v>0.28000000000000003</v>
      </c>
      <c r="L21" s="14">
        <v>0.37</v>
      </c>
      <c r="M21" s="14">
        <v>0.43</v>
      </c>
      <c r="N21" s="14">
        <v>0.32</v>
      </c>
      <c r="O21" s="14">
        <v>0.39</v>
      </c>
      <c r="P21" s="14">
        <v>0.33</v>
      </c>
      <c r="Q21" s="14">
        <v>0.39</v>
      </c>
      <c r="R21" s="14">
        <v>0.28999999999999998</v>
      </c>
      <c r="S21" s="14">
        <v>0.28000000000000003</v>
      </c>
      <c r="T21" s="14">
        <v>0.19</v>
      </c>
      <c r="U21" s="14">
        <v>0.28000000000000003</v>
      </c>
      <c r="V21" s="14">
        <v>0.32</v>
      </c>
      <c r="W21" s="14">
        <v>0.37</v>
      </c>
      <c r="X21" s="14">
        <v>0.44</v>
      </c>
      <c r="Y21" s="14">
        <v>0.34</v>
      </c>
      <c r="Z21" s="14">
        <v>0.28000000000000003</v>
      </c>
      <c r="AA21" s="14">
        <v>0.32</v>
      </c>
      <c r="AB21" s="14">
        <v>0.28999999999999998</v>
      </c>
      <c r="AC21" s="14">
        <v>0.37</v>
      </c>
      <c r="AD21" s="14">
        <v>0.35</v>
      </c>
      <c r="AE21" s="14">
        <v>0.43</v>
      </c>
      <c r="AF21" s="14">
        <v>0.57999999999999996</v>
      </c>
    </row>
    <row r="22" spans="1:32" x14ac:dyDescent="0.35">
      <c r="A22" s="31"/>
      <c r="B22" s="11" t="s">
        <v>407</v>
      </c>
      <c r="C22" s="12">
        <v>204</v>
      </c>
      <c r="D22" s="12">
        <v>3</v>
      </c>
      <c r="E22" s="12">
        <v>3</v>
      </c>
      <c r="F22" s="12">
        <v>2</v>
      </c>
      <c r="G22" s="12">
        <v>5</v>
      </c>
      <c r="H22" s="12">
        <v>6</v>
      </c>
      <c r="I22" s="12">
        <v>6</v>
      </c>
      <c r="J22" s="12">
        <v>1</v>
      </c>
      <c r="K22" s="12">
        <v>18</v>
      </c>
      <c r="L22" s="12">
        <v>2</v>
      </c>
      <c r="M22" s="12">
        <v>2</v>
      </c>
      <c r="N22" s="12">
        <v>6</v>
      </c>
      <c r="O22" s="12">
        <v>22</v>
      </c>
      <c r="P22" s="12">
        <v>6</v>
      </c>
      <c r="Q22" s="12">
        <v>5</v>
      </c>
      <c r="R22" s="12">
        <v>2</v>
      </c>
      <c r="S22" s="12">
        <v>9</v>
      </c>
      <c r="T22" s="12">
        <v>6</v>
      </c>
      <c r="U22" s="12">
        <v>3</v>
      </c>
      <c r="V22" s="12">
        <v>0</v>
      </c>
      <c r="W22" s="12">
        <v>0</v>
      </c>
      <c r="X22" s="12">
        <v>5</v>
      </c>
      <c r="Y22" s="12">
        <v>29</v>
      </c>
      <c r="Z22" s="12">
        <v>1</v>
      </c>
      <c r="AA22" s="12">
        <v>14</v>
      </c>
      <c r="AB22" s="12">
        <v>15</v>
      </c>
      <c r="AC22" s="12">
        <v>2</v>
      </c>
      <c r="AD22" s="12">
        <v>3</v>
      </c>
      <c r="AE22" s="12">
        <v>11</v>
      </c>
      <c r="AF22" s="12">
        <v>1</v>
      </c>
    </row>
    <row r="23" spans="1:32" x14ac:dyDescent="0.35">
      <c r="A23" s="31"/>
      <c r="B23" s="13" t="s">
        <v>408</v>
      </c>
      <c r="C23" s="14">
        <v>0.01</v>
      </c>
      <c r="D23" s="15" t="s">
        <v>333</v>
      </c>
      <c r="E23" s="15" t="s">
        <v>333</v>
      </c>
      <c r="F23" s="15" t="s">
        <v>333</v>
      </c>
      <c r="G23" s="14">
        <v>0.01</v>
      </c>
      <c r="H23" s="15" t="s">
        <v>333</v>
      </c>
      <c r="I23" s="15" t="s">
        <v>333</v>
      </c>
      <c r="J23" s="15" t="s">
        <v>333</v>
      </c>
      <c r="K23" s="14">
        <v>0.02</v>
      </c>
      <c r="L23" s="15" t="s">
        <v>333</v>
      </c>
      <c r="M23" s="15" t="s">
        <v>333</v>
      </c>
      <c r="N23" s="14">
        <v>0.01</v>
      </c>
      <c r="O23" s="14">
        <v>0.02</v>
      </c>
      <c r="P23" s="14">
        <v>0.01</v>
      </c>
      <c r="Q23" s="15" t="s">
        <v>333</v>
      </c>
      <c r="R23" s="15" t="s">
        <v>333</v>
      </c>
      <c r="S23" s="14">
        <v>0.01</v>
      </c>
      <c r="T23" s="14">
        <v>0.01</v>
      </c>
      <c r="U23" s="14">
        <v>0.01</v>
      </c>
      <c r="V23" s="15" t="s">
        <v>333</v>
      </c>
      <c r="W23" s="15" t="s">
        <v>333</v>
      </c>
      <c r="X23" s="14">
        <v>0.01</v>
      </c>
      <c r="Y23" s="14">
        <v>0.03</v>
      </c>
      <c r="Z23" s="15" t="s">
        <v>333</v>
      </c>
      <c r="AA23" s="14">
        <v>0.01</v>
      </c>
      <c r="AB23" s="14">
        <v>0.01</v>
      </c>
      <c r="AC23" s="15" t="s">
        <v>333</v>
      </c>
      <c r="AD23" s="15" t="s">
        <v>333</v>
      </c>
      <c r="AE23" s="14">
        <v>0.01</v>
      </c>
      <c r="AF23" s="15" t="s">
        <v>333</v>
      </c>
    </row>
    <row r="24" spans="1:32" ht="21.5" x14ac:dyDescent="0.35">
      <c r="A24" s="31"/>
      <c r="B24" s="11" t="s">
        <v>885</v>
      </c>
      <c r="C24" s="12">
        <v>712</v>
      </c>
      <c r="D24" s="12">
        <v>3</v>
      </c>
      <c r="E24" s="12">
        <v>31</v>
      </c>
      <c r="F24" s="12">
        <v>43</v>
      </c>
      <c r="G24" s="12">
        <v>7</v>
      </c>
      <c r="H24" s="12">
        <v>52</v>
      </c>
      <c r="I24" s="12">
        <v>63</v>
      </c>
      <c r="J24" s="12">
        <v>11</v>
      </c>
      <c r="K24" s="12">
        <v>49</v>
      </c>
      <c r="L24" s="12">
        <v>17</v>
      </c>
      <c r="M24" s="12">
        <v>20</v>
      </c>
      <c r="N24" s="12">
        <v>18</v>
      </c>
      <c r="O24" s="12">
        <v>15</v>
      </c>
      <c r="P24" s="12">
        <v>27</v>
      </c>
      <c r="Q24" s="12">
        <v>26</v>
      </c>
      <c r="R24" s="12">
        <v>16</v>
      </c>
      <c r="S24" s="12">
        <v>22</v>
      </c>
      <c r="T24" s="12">
        <v>50</v>
      </c>
      <c r="U24" s="12">
        <v>5</v>
      </c>
      <c r="V24" s="12">
        <v>9</v>
      </c>
      <c r="W24" s="12">
        <v>23</v>
      </c>
      <c r="X24" s="12">
        <v>16</v>
      </c>
      <c r="Y24" s="12">
        <v>56</v>
      </c>
      <c r="Z24" s="12">
        <v>44</v>
      </c>
      <c r="AA24" s="12">
        <v>41</v>
      </c>
      <c r="AB24" s="12">
        <v>38</v>
      </c>
      <c r="AC24" s="12">
        <v>28</v>
      </c>
      <c r="AD24" s="12">
        <v>10</v>
      </c>
      <c r="AE24" s="12">
        <v>18</v>
      </c>
      <c r="AF24" s="12">
        <v>2</v>
      </c>
    </row>
    <row r="25" spans="1:32" x14ac:dyDescent="0.35">
      <c r="A25" s="31"/>
      <c r="B25" s="13" t="s">
        <v>453</v>
      </c>
      <c r="C25" s="14">
        <v>0.03</v>
      </c>
      <c r="D25" s="15" t="s">
        <v>333</v>
      </c>
      <c r="E25" s="14">
        <v>0.03</v>
      </c>
      <c r="F25" s="14">
        <v>0.04</v>
      </c>
      <c r="G25" s="14">
        <v>0.01</v>
      </c>
      <c r="H25" s="14">
        <v>0.04</v>
      </c>
      <c r="I25" s="14">
        <v>0.04</v>
      </c>
      <c r="J25" s="14">
        <v>0.04</v>
      </c>
      <c r="K25" s="14">
        <v>0.05</v>
      </c>
      <c r="L25" s="14">
        <v>0.02</v>
      </c>
      <c r="M25" s="14">
        <v>0.02</v>
      </c>
      <c r="N25" s="14">
        <v>0.02</v>
      </c>
      <c r="O25" s="14">
        <v>0.02</v>
      </c>
      <c r="P25" s="14">
        <v>0.03</v>
      </c>
      <c r="Q25" s="14">
        <v>0.03</v>
      </c>
      <c r="R25" s="14">
        <v>0.03</v>
      </c>
      <c r="S25" s="14">
        <v>0.02</v>
      </c>
      <c r="T25" s="14">
        <v>0.05</v>
      </c>
      <c r="U25" s="14">
        <v>0.01</v>
      </c>
      <c r="V25" s="14">
        <v>0.01</v>
      </c>
      <c r="W25" s="14">
        <v>0.05</v>
      </c>
      <c r="X25" s="14">
        <v>0.02</v>
      </c>
      <c r="Y25" s="14">
        <v>0.06</v>
      </c>
      <c r="Z25" s="14">
        <v>0.04</v>
      </c>
      <c r="AA25" s="14">
        <v>0.04</v>
      </c>
      <c r="AB25" s="14">
        <v>0.04</v>
      </c>
      <c r="AC25" s="14">
        <v>0.03</v>
      </c>
      <c r="AD25" s="14">
        <v>0.01</v>
      </c>
      <c r="AE25" s="14">
        <v>0.02</v>
      </c>
      <c r="AF25" s="15" t="s">
        <v>333</v>
      </c>
    </row>
    <row r="26" spans="1:32" x14ac:dyDescent="0.35">
      <c r="A26" s="31"/>
      <c r="B26" s="11" t="s">
        <v>344</v>
      </c>
      <c r="C26" s="12">
        <v>1423</v>
      </c>
      <c r="D26" s="12">
        <v>16</v>
      </c>
      <c r="E26" s="12">
        <v>83</v>
      </c>
      <c r="F26" s="12">
        <v>35</v>
      </c>
      <c r="G26" s="12">
        <v>29</v>
      </c>
      <c r="H26" s="12">
        <v>92</v>
      </c>
      <c r="I26" s="12">
        <v>103</v>
      </c>
      <c r="J26" s="12">
        <v>11</v>
      </c>
      <c r="K26" s="12">
        <v>76</v>
      </c>
      <c r="L26" s="12">
        <v>42</v>
      </c>
      <c r="M26" s="12">
        <v>31</v>
      </c>
      <c r="N26" s="12">
        <v>71</v>
      </c>
      <c r="O26" s="12">
        <v>65</v>
      </c>
      <c r="P26" s="12">
        <v>63</v>
      </c>
      <c r="Q26" s="12">
        <v>47</v>
      </c>
      <c r="R26" s="12">
        <v>42</v>
      </c>
      <c r="S26" s="12">
        <v>78</v>
      </c>
      <c r="T26" s="12">
        <v>96</v>
      </c>
      <c r="U26" s="12">
        <v>14</v>
      </c>
      <c r="V26" s="12">
        <v>22</v>
      </c>
      <c r="W26" s="12">
        <v>19</v>
      </c>
      <c r="X26" s="12">
        <v>5</v>
      </c>
      <c r="Y26" s="12">
        <v>65</v>
      </c>
      <c r="Z26" s="12">
        <v>35</v>
      </c>
      <c r="AA26" s="12">
        <v>129</v>
      </c>
      <c r="AB26" s="12">
        <v>73</v>
      </c>
      <c r="AC26" s="12">
        <v>34</v>
      </c>
      <c r="AD26" s="12">
        <v>20</v>
      </c>
      <c r="AE26" s="12">
        <v>47</v>
      </c>
      <c r="AF26" s="12">
        <v>2</v>
      </c>
    </row>
    <row r="27" spans="1:32" x14ac:dyDescent="0.35">
      <c r="A27" s="31"/>
      <c r="B27" s="13" t="s">
        <v>357</v>
      </c>
      <c r="C27" s="14">
        <v>0.05</v>
      </c>
      <c r="D27" s="14">
        <v>0.02</v>
      </c>
      <c r="E27" s="14">
        <v>0.08</v>
      </c>
      <c r="F27" s="14">
        <v>0.03</v>
      </c>
      <c r="G27" s="14">
        <v>0.03</v>
      </c>
      <c r="H27" s="14">
        <v>7.0000000000000007E-2</v>
      </c>
      <c r="I27" s="14">
        <v>7.0000000000000007E-2</v>
      </c>
      <c r="J27" s="14">
        <v>0.04</v>
      </c>
      <c r="K27" s="14">
        <v>0.08</v>
      </c>
      <c r="L27" s="14">
        <v>0.04</v>
      </c>
      <c r="M27" s="14">
        <v>0.03</v>
      </c>
      <c r="N27" s="14">
        <v>7.0000000000000007E-2</v>
      </c>
      <c r="O27" s="14">
        <v>7.0000000000000007E-2</v>
      </c>
      <c r="P27" s="14">
        <v>0.06</v>
      </c>
      <c r="Q27" s="14">
        <v>0.05</v>
      </c>
      <c r="R27" s="14">
        <v>0.08</v>
      </c>
      <c r="S27" s="14">
        <v>0.08</v>
      </c>
      <c r="T27" s="14">
        <v>0.09</v>
      </c>
      <c r="U27" s="14">
        <v>0.03</v>
      </c>
      <c r="V27" s="14">
        <v>0.02</v>
      </c>
      <c r="W27" s="14">
        <v>0.04</v>
      </c>
      <c r="X27" s="15" t="s">
        <v>333</v>
      </c>
      <c r="Y27" s="14">
        <v>0.06</v>
      </c>
      <c r="Z27" s="14">
        <v>0.03</v>
      </c>
      <c r="AA27" s="14">
        <v>0.13</v>
      </c>
      <c r="AB27" s="14">
        <v>7.0000000000000007E-2</v>
      </c>
      <c r="AC27" s="14">
        <v>0.03</v>
      </c>
      <c r="AD27" s="14">
        <v>0.02</v>
      </c>
      <c r="AE27" s="14">
        <v>0.05</v>
      </c>
      <c r="AF27" s="15" t="s">
        <v>333</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143</v>
      </c>
      <c r="C3" s="30"/>
      <c r="D3" s="30"/>
      <c r="E3" s="30"/>
      <c r="F3" s="30"/>
      <c r="H3" s="30" t="s">
        <v>144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886</v>
      </c>
      <c r="C12" s="12">
        <v>621</v>
      </c>
      <c r="D12" s="12">
        <v>22</v>
      </c>
      <c r="E12" s="12">
        <v>16</v>
      </c>
      <c r="F12" s="12">
        <v>20</v>
      </c>
      <c r="G12" s="12">
        <v>17</v>
      </c>
      <c r="H12" s="12">
        <v>30</v>
      </c>
      <c r="I12" s="12">
        <v>38</v>
      </c>
      <c r="J12" s="12">
        <v>8</v>
      </c>
      <c r="K12" s="12">
        <v>17</v>
      </c>
      <c r="L12" s="12">
        <v>51</v>
      </c>
      <c r="M12" s="12">
        <v>11</v>
      </c>
      <c r="N12" s="12">
        <v>20</v>
      </c>
      <c r="O12" s="12">
        <v>13</v>
      </c>
      <c r="P12" s="12">
        <v>39</v>
      </c>
      <c r="Q12" s="12">
        <v>20</v>
      </c>
      <c r="R12" s="12">
        <v>22</v>
      </c>
      <c r="S12" s="12">
        <v>16</v>
      </c>
      <c r="T12" s="12">
        <v>15</v>
      </c>
      <c r="U12" s="12">
        <v>21</v>
      </c>
      <c r="V12" s="12">
        <v>9</v>
      </c>
      <c r="W12" s="12">
        <v>21</v>
      </c>
      <c r="X12" s="12">
        <v>34</v>
      </c>
      <c r="Y12" s="12">
        <v>84</v>
      </c>
      <c r="Z12" s="12">
        <v>41</v>
      </c>
      <c r="AA12" s="12">
        <v>23</v>
      </c>
      <c r="AB12" s="12">
        <v>21</v>
      </c>
      <c r="AC12" s="12">
        <v>14</v>
      </c>
      <c r="AD12" s="12">
        <v>24</v>
      </c>
      <c r="AE12" s="12">
        <v>10</v>
      </c>
      <c r="AF12" s="12">
        <v>32</v>
      </c>
    </row>
    <row r="13" spans="1:32" x14ac:dyDescent="0.35">
      <c r="A13" s="31"/>
      <c r="B13" s="13" t="s">
        <v>887</v>
      </c>
      <c r="C13" s="14">
        <v>0.02</v>
      </c>
      <c r="D13" s="14">
        <v>0.02</v>
      </c>
      <c r="E13" s="14">
        <v>0.02</v>
      </c>
      <c r="F13" s="14">
        <v>0.02</v>
      </c>
      <c r="G13" s="14">
        <v>0.02</v>
      </c>
      <c r="H13" s="14">
        <v>0.02</v>
      </c>
      <c r="I13" s="14">
        <v>0.03</v>
      </c>
      <c r="J13" s="14">
        <v>0.03</v>
      </c>
      <c r="K13" s="14">
        <v>0.02</v>
      </c>
      <c r="L13" s="14">
        <v>0.05</v>
      </c>
      <c r="M13" s="14">
        <v>0.01</v>
      </c>
      <c r="N13" s="14">
        <v>0.02</v>
      </c>
      <c r="O13" s="14">
        <v>0.01</v>
      </c>
      <c r="P13" s="14">
        <v>0.04</v>
      </c>
      <c r="Q13" s="14">
        <v>0.02</v>
      </c>
      <c r="R13" s="14">
        <v>0.05</v>
      </c>
      <c r="S13" s="14">
        <v>0.01</v>
      </c>
      <c r="T13" s="14">
        <v>0.02</v>
      </c>
      <c r="U13" s="14">
        <v>0.04</v>
      </c>
      <c r="V13" s="14">
        <v>0.01</v>
      </c>
      <c r="W13" s="14">
        <v>0.04</v>
      </c>
      <c r="X13" s="14">
        <v>0.03</v>
      </c>
      <c r="Y13" s="14">
        <v>0.08</v>
      </c>
      <c r="Z13" s="14">
        <v>0.04</v>
      </c>
      <c r="AA13" s="14">
        <v>0.02</v>
      </c>
      <c r="AB13" s="14">
        <v>0.02</v>
      </c>
      <c r="AC13" s="14">
        <v>0.01</v>
      </c>
      <c r="AD13" s="14">
        <v>0.03</v>
      </c>
      <c r="AE13" s="14">
        <v>0.01</v>
      </c>
      <c r="AF13" s="14">
        <v>0.03</v>
      </c>
    </row>
    <row r="14" spans="1:32" ht="21.5" x14ac:dyDescent="0.35">
      <c r="A14" s="31"/>
      <c r="B14" s="11" t="s">
        <v>888</v>
      </c>
      <c r="C14" s="12">
        <v>4853</v>
      </c>
      <c r="D14" s="12">
        <v>249</v>
      </c>
      <c r="E14" s="12">
        <v>169</v>
      </c>
      <c r="F14" s="12">
        <v>183</v>
      </c>
      <c r="G14" s="12">
        <v>129</v>
      </c>
      <c r="H14" s="12">
        <v>231</v>
      </c>
      <c r="I14" s="12">
        <v>266</v>
      </c>
      <c r="J14" s="12">
        <v>34</v>
      </c>
      <c r="K14" s="12">
        <v>146</v>
      </c>
      <c r="L14" s="12">
        <v>231</v>
      </c>
      <c r="M14" s="12">
        <v>88</v>
      </c>
      <c r="N14" s="12">
        <v>139</v>
      </c>
      <c r="O14" s="12">
        <v>120</v>
      </c>
      <c r="P14" s="12">
        <v>252</v>
      </c>
      <c r="Q14" s="12">
        <v>189</v>
      </c>
      <c r="R14" s="12">
        <v>55</v>
      </c>
      <c r="S14" s="12">
        <v>167</v>
      </c>
      <c r="T14" s="12">
        <v>195</v>
      </c>
      <c r="U14" s="12">
        <v>112</v>
      </c>
      <c r="V14" s="12">
        <v>239</v>
      </c>
      <c r="W14" s="12">
        <v>162</v>
      </c>
      <c r="X14" s="12">
        <v>225</v>
      </c>
      <c r="Y14" s="12">
        <v>264</v>
      </c>
      <c r="Z14" s="12">
        <v>359</v>
      </c>
      <c r="AA14" s="12">
        <v>229</v>
      </c>
      <c r="AB14" s="12">
        <v>207</v>
      </c>
      <c r="AC14" s="12">
        <v>198</v>
      </c>
      <c r="AD14" s="12">
        <v>234</v>
      </c>
      <c r="AE14" s="12">
        <v>119</v>
      </c>
      <c r="AF14" s="12">
        <v>94</v>
      </c>
    </row>
    <row r="15" spans="1:32" x14ac:dyDescent="0.35">
      <c r="A15" s="31"/>
      <c r="B15" s="13" t="s">
        <v>889</v>
      </c>
      <c r="C15" s="14">
        <v>0.19</v>
      </c>
      <c r="D15" s="14">
        <v>0.24</v>
      </c>
      <c r="E15" s="14">
        <v>0.16</v>
      </c>
      <c r="F15" s="14">
        <v>0.18</v>
      </c>
      <c r="G15" s="14">
        <v>0.13</v>
      </c>
      <c r="H15" s="14">
        <v>0.19</v>
      </c>
      <c r="I15" s="14">
        <v>0.17</v>
      </c>
      <c r="J15" s="14">
        <v>0.12</v>
      </c>
      <c r="K15" s="14">
        <v>0.14000000000000001</v>
      </c>
      <c r="L15" s="14">
        <v>0.23</v>
      </c>
      <c r="M15" s="14">
        <v>0.09</v>
      </c>
      <c r="N15" s="14">
        <v>0.14000000000000001</v>
      </c>
      <c r="O15" s="14">
        <v>0.12</v>
      </c>
      <c r="P15" s="14">
        <v>0.25</v>
      </c>
      <c r="Q15" s="14">
        <v>0.18</v>
      </c>
      <c r="R15" s="14">
        <v>0.11</v>
      </c>
      <c r="S15" s="14">
        <v>0.16</v>
      </c>
      <c r="T15" s="14">
        <v>0.19</v>
      </c>
      <c r="U15" s="14">
        <v>0.22</v>
      </c>
      <c r="V15" s="14">
        <v>0.23</v>
      </c>
      <c r="W15" s="14">
        <v>0.32</v>
      </c>
      <c r="X15" s="14">
        <v>0.22</v>
      </c>
      <c r="Y15" s="14">
        <v>0.27</v>
      </c>
      <c r="Z15" s="14">
        <v>0.35</v>
      </c>
      <c r="AA15" s="14">
        <v>0.22</v>
      </c>
      <c r="AB15" s="14">
        <v>0.2</v>
      </c>
      <c r="AC15" s="14">
        <v>0.2</v>
      </c>
      <c r="AD15" s="14">
        <v>0.23</v>
      </c>
      <c r="AE15" s="14">
        <v>0.12</v>
      </c>
      <c r="AF15" s="14">
        <v>0.09</v>
      </c>
    </row>
    <row r="16" spans="1:32" x14ac:dyDescent="0.35">
      <c r="A16" s="31"/>
      <c r="B16" s="11" t="s">
        <v>890</v>
      </c>
      <c r="C16" s="12">
        <v>10362</v>
      </c>
      <c r="D16" s="12">
        <v>373</v>
      </c>
      <c r="E16" s="12">
        <v>305</v>
      </c>
      <c r="F16" s="12">
        <v>439</v>
      </c>
      <c r="G16" s="12">
        <v>349</v>
      </c>
      <c r="H16" s="12">
        <v>499</v>
      </c>
      <c r="I16" s="12">
        <v>616</v>
      </c>
      <c r="J16" s="12">
        <v>117</v>
      </c>
      <c r="K16" s="12">
        <v>355</v>
      </c>
      <c r="L16" s="12">
        <v>314</v>
      </c>
      <c r="M16" s="12">
        <v>308</v>
      </c>
      <c r="N16" s="12">
        <v>331</v>
      </c>
      <c r="O16" s="12">
        <v>467</v>
      </c>
      <c r="P16" s="12">
        <v>443</v>
      </c>
      <c r="Q16" s="12">
        <v>399</v>
      </c>
      <c r="R16" s="12">
        <v>202</v>
      </c>
      <c r="S16" s="12">
        <v>426</v>
      </c>
      <c r="T16" s="12">
        <v>409</v>
      </c>
      <c r="U16" s="12">
        <v>229</v>
      </c>
      <c r="V16" s="12">
        <v>423</v>
      </c>
      <c r="W16" s="12">
        <v>184</v>
      </c>
      <c r="X16" s="12">
        <v>420</v>
      </c>
      <c r="Y16" s="12">
        <v>213</v>
      </c>
      <c r="Z16" s="12">
        <v>405</v>
      </c>
      <c r="AA16" s="12">
        <v>313</v>
      </c>
      <c r="AB16" s="12">
        <v>428</v>
      </c>
      <c r="AC16" s="12">
        <v>411</v>
      </c>
      <c r="AD16" s="12">
        <v>412</v>
      </c>
      <c r="AE16" s="12">
        <v>524</v>
      </c>
      <c r="AF16" s="12">
        <v>419</v>
      </c>
    </row>
    <row r="17" spans="1:32" x14ac:dyDescent="0.35">
      <c r="A17" s="31"/>
      <c r="B17" s="13" t="s">
        <v>891</v>
      </c>
      <c r="C17" s="14">
        <v>0.39</v>
      </c>
      <c r="D17" s="14">
        <v>0.37</v>
      </c>
      <c r="E17" s="14">
        <v>0.28999999999999998</v>
      </c>
      <c r="F17" s="14">
        <v>0.43</v>
      </c>
      <c r="G17" s="14">
        <v>0.34</v>
      </c>
      <c r="H17" s="14">
        <v>0.41</v>
      </c>
      <c r="I17" s="14">
        <v>0.4</v>
      </c>
      <c r="J17" s="14">
        <v>0.39</v>
      </c>
      <c r="K17" s="14">
        <v>0.35</v>
      </c>
      <c r="L17" s="14">
        <v>0.31</v>
      </c>
      <c r="M17" s="14">
        <v>0.31</v>
      </c>
      <c r="N17" s="14">
        <v>0.33</v>
      </c>
      <c r="O17" s="14">
        <v>0.47</v>
      </c>
      <c r="P17" s="14">
        <v>0.44</v>
      </c>
      <c r="Q17" s="14">
        <v>0.39</v>
      </c>
      <c r="R17" s="14">
        <v>0.4</v>
      </c>
      <c r="S17" s="14">
        <v>0.42</v>
      </c>
      <c r="T17" s="14">
        <v>0.4</v>
      </c>
      <c r="U17" s="14">
        <v>0.45</v>
      </c>
      <c r="V17" s="14">
        <v>0.42</v>
      </c>
      <c r="W17" s="14">
        <v>0.37</v>
      </c>
      <c r="X17" s="14">
        <v>0.42</v>
      </c>
      <c r="Y17" s="14">
        <v>0.21</v>
      </c>
      <c r="Z17" s="14">
        <v>0.4</v>
      </c>
      <c r="AA17" s="14">
        <v>0.3</v>
      </c>
      <c r="AB17" s="14">
        <v>0.4</v>
      </c>
      <c r="AC17" s="14">
        <v>0.41</v>
      </c>
      <c r="AD17" s="14">
        <v>0.41</v>
      </c>
      <c r="AE17" s="14">
        <v>0.52</v>
      </c>
      <c r="AF17" s="14">
        <v>0.41</v>
      </c>
    </row>
    <row r="18" spans="1:32" x14ac:dyDescent="0.35">
      <c r="A18" s="31"/>
      <c r="B18" s="11" t="s">
        <v>892</v>
      </c>
      <c r="C18" s="12">
        <v>10349</v>
      </c>
      <c r="D18" s="12">
        <v>378</v>
      </c>
      <c r="E18" s="12">
        <v>540</v>
      </c>
      <c r="F18" s="12">
        <v>369</v>
      </c>
      <c r="G18" s="12">
        <v>505</v>
      </c>
      <c r="H18" s="12">
        <v>467</v>
      </c>
      <c r="I18" s="12">
        <v>604</v>
      </c>
      <c r="J18" s="12">
        <v>137</v>
      </c>
      <c r="K18" s="12">
        <v>473</v>
      </c>
      <c r="L18" s="12">
        <v>403</v>
      </c>
      <c r="M18" s="12">
        <v>596</v>
      </c>
      <c r="N18" s="12">
        <v>498</v>
      </c>
      <c r="O18" s="12">
        <v>393</v>
      </c>
      <c r="P18" s="12">
        <v>261</v>
      </c>
      <c r="Q18" s="12">
        <v>423</v>
      </c>
      <c r="R18" s="12">
        <v>221</v>
      </c>
      <c r="S18" s="12">
        <v>406</v>
      </c>
      <c r="T18" s="12">
        <v>380</v>
      </c>
      <c r="U18" s="12">
        <v>141</v>
      </c>
      <c r="V18" s="12">
        <v>343</v>
      </c>
      <c r="W18" s="12">
        <v>119</v>
      </c>
      <c r="X18" s="12">
        <v>331</v>
      </c>
      <c r="Y18" s="12">
        <v>440</v>
      </c>
      <c r="Z18" s="12">
        <v>179</v>
      </c>
      <c r="AA18" s="12">
        <v>451</v>
      </c>
      <c r="AB18" s="12">
        <v>378</v>
      </c>
      <c r="AC18" s="12">
        <v>389</v>
      </c>
      <c r="AD18" s="12">
        <v>334</v>
      </c>
      <c r="AE18" s="12">
        <v>344</v>
      </c>
      <c r="AF18" s="12">
        <v>475</v>
      </c>
    </row>
    <row r="19" spans="1:32" x14ac:dyDescent="0.35">
      <c r="A19" s="31"/>
      <c r="B19" s="13" t="s">
        <v>893</v>
      </c>
      <c r="C19" s="14">
        <v>0.39</v>
      </c>
      <c r="D19" s="14">
        <v>0.37</v>
      </c>
      <c r="E19" s="14">
        <v>0.52</v>
      </c>
      <c r="F19" s="14">
        <v>0.36</v>
      </c>
      <c r="G19" s="14">
        <v>0.49</v>
      </c>
      <c r="H19" s="14">
        <v>0.38</v>
      </c>
      <c r="I19" s="14">
        <v>0.4</v>
      </c>
      <c r="J19" s="14">
        <v>0.46</v>
      </c>
      <c r="K19" s="14">
        <v>0.47</v>
      </c>
      <c r="L19" s="14">
        <v>0.4</v>
      </c>
      <c r="M19" s="14">
        <v>0.59</v>
      </c>
      <c r="N19" s="14">
        <v>0.5</v>
      </c>
      <c r="O19" s="14">
        <v>0.39</v>
      </c>
      <c r="P19" s="14">
        <v>0.26</v>
      </c>
      <c r="Q19" s="14">
        <v>0.41</v>
      </c>
      <c r="R19" s="14">
        <v>0.44</v>
      </c>
      <c r="S19" s="14">
        <v>0.4</v>
      </c>
      <c r="T19" s="14">
        <v>0.37</v>
      </c>
      <c r="U19" s="14">
        <v>0.28000000000000003</v>
      </c>
      <c r="V19" s="14">
        <v>0.34</v>
      </c>
      <c r="W19" s="14">
        <v>0.24</v>
      </c>
      <c r="X19" s="14">
        <v>0.33</v>
      </c>
      <c r="Y19" s="14">
        <v>0.44</v>
      </c>
      <c r="Z19" s="14">
        <v>0.18</v>
      </c>
      <c r="AA19" s="14">
        <v>0.44</v>
      </c>
      <c r="AB19" s="14">
        <v>0.36</v>
      </c>
      <c r="AC19" s="14">
        <v>0.38</v>
      </c>
      <c r="AD19" s="14">
        <v>0.33</v>
      </c>
      <c r="AE19" s="14">
        <v>0.34</v>
      </c>
      <c r="AF19" s="14">
        <v>0.47</v>
      </c>
    </row>
    <row r="20" spans="1:32" x14ac:dyDescent="0.35">
      <c r="A20" s="31"/>
      <c r="B20" s="11" t="s">
        <v>344</v>
      </c>
      <c r="C20" s="12">
        <v>225</v>
      </c>
      <c r="D20" s="12">
        <v>2</v>
      </c>
      <c r="E20" s="12">
        <v>10</v>
      </c>
      <c r="F20" s="12">
        <v>7</v>
      </c>
      <c r="G20" s="12">
        <v>17</v>
      </c>
      <c r="H20" s="12">
        <v>5</v>
      </c>
      <c r="I20" s="12">
        <v>6</v>
      </c>
      <c r="J20" s="12">
        <v>1</v>
      </c>
      <c r="K20" s="12">
        <v>17</v>
      </c>
      <c r="L20" s="12">
        <v>5</v>
      </c>
      <c r="M20" s="12">
        <v>1</v>
      </c>
      <c r="N20" s="12">
        <v>12</v>
      </c>
      <c r="O20" s="12">
        <v>6</v>
      </c>
      <c r="P20" s="12">
        <v>8</v>
      </c>
      <c r="Q20" s="12">
        <v>4</v>
      </c>
      <c r="R20" s="12">
        <v>1</v>
      </c>
      <c r="S20" s="12">
        <v>6</v>
      </c>
      <c r="T20" s="12">
        <v>18</v>
      </c>
      <c r="U20" s="12">
        <v>5</v>
      </c>
      <c r="V20" s="12">
        <v>0</v>
      </c>
      <c r="W20" s="12">
        <v>14</v>
      </c>
      <c r="X20" s="12">
        <v>0</v>
      </c>
      <c r="Y20" s="12">
        <v>2</v>
      </c>
      <c r="Z20" s="12">
        <v>34</v>
      </c>
      <c r="AA20" s="12">
        <v>14</v>
      </c>
      <c r="AB20" s="12">
        <v>22</v>
      </c>
      <c r="AC20" s="12">
        <v>1</v>
      </c>
      <c r="AD20" s="12">
        <v>0</v>
      </c>
      <c r="AE20" s="12">
        <v>10</v>
      </c>
      <c r="AF20" s="12">
        <v>0</v>
      </c>
    </row>
    <row r="21" spans="1:32" x14ac:dyDescent="0.35">
      <c r="A21" s="31"/>
      <c r="B21" s="13" t="s">
        <v>357</v>
      </c>
      <c r="C21" s="14">
        <v>0.01</v>
      </c>
      <c r="D21" s="15" t="s">
        <v>333</v>
      </c>
      <c r="E21" s="14">
        <v>0.01</v>
      </c>
      <c r="F21" s="14">
        <v>0.01</v>
      </c>
      <c r="G21" s="14">
        <v>0.02</v>
      </c>
      <c r="H21" s="15" t="s">
        <v>333</v>
      </c>
      <c r="I21" s="15" t="s">
        <v>333</v>
      </c>
      <c r="J21" s="15" t="s">
        <v>333</v>
      </c>
      <c r="K21" s="14">
        <v>0.02</v>
      </c>
      <c r="L21" s="14">
        <v>0.01</v>
      </c>
      <c r="M21" s="15" t="s">
        <v>333</v>
      </c>
      <c r="N21" s="14">
        <v>0.01</v>
      </c>
      <c r="O21" s="14">
        <v>0.01</v>
      </c>
      <c r="P21" s="14">
        <v>0.01</v>
      </c>
      <c r="Q21" s="15" t="s">
        <v>333</v>
      </c>
      <c r="R21" s="15" t="s">
        <v>333</v>
      </c>
      <c r="S21" s="14">
        <v>0.01</v>
      </c>
      <c r="T21" s="14">
        <v>0.02</v>
      </c>
      <c r="U21" s="14">
        <v>0.01</v>
      </c>
      <c r="V21" s="15" t="s">
        <v>333</v>
      </c>
      <c r="W21" s="14">
        <v>0.03</v>
      </c>
      <c r="X21" s="15" t="s">
        <v>333</v>
      </c>
      <c r="Y21" s="15" t="s">
        <v>333</v>
      </c>
      <c r="Z21" s="14">
        <v>0.03</v>
      </c>
      <c r="AA21" s="14">
        <v>0.02</v>
      </c>
      <c r="AB21" s="14">
        <v>0.02</v>
      </c>
      <c r="AC21" s="15" t="s">
        <v>333</v>
      </c>
      <c r="AD21" s="15" t="s">
        <v>333</v>
      </c>
      <c r="AE21" s="14">
        <v>0.01</v>
      </c>
      <c r="AF21" s="15" t="s">
        <v>333</v>
      </c>
    </row>
    <row r="22" spans="1:32" ht="21.5" x14ac:dyDescent="0.35">
      <c r="A22" s="31"/>
      <c r="B22" s="11" t="s">
        <v>894</v>
      </c>
      <c r="C22" s="12">
        <v>5474</v>
      </c>
      <c r="D22" s="12">
        <v>271</v>
      </c>
      <c r="E22" s="12">
        <v>185</v>
      </c>
      <c r="F22" s="12">
        <v>203</v>
      </c>
      <c r="G22" s="12">
        <v>146</v>
      </c>
      <c r="H22" s="12">
        <v>261</v>
      </c>
      <c r="I22" s="12">
        <v>304</v>
      </c>
      <c r="J22" s="12">
        <v>42</v>
      </c>
      <c r="K22" s="12">
        <v>163</v>
      </c>
      <c r="L22" s="12">
        <v>282</v>
      </c>
      <c r="M22" s="12">
        <v>99</v>
      </c>
      <c r="N22" s="12">
        <v>159</v>
      </c>
      <c r="O22" s="12">
        <v>133</v>
      </c>
      <c r="P22" s="12">
        <v>291</v>
      </c>
      <c r="Q22" s="12">
        <v>209</v>
      </c>
      <c r="R22" s="12">
        <v>77</v>
      </c>
      <c r="S22" s="12">
        <v>183</v>
      </c>
      <c r="T22" s="12">
        <v>210</v>
      </c>
      <c r="U22" s="12">
        <v>133</v>
      </c>
      <c r="V22" s="12">
        <v>248</v>
      </c>
      <c r="W22" s="12">
        <v>183</v>
      </c>
      <c r="X22" s="12">
        <v>259</v>
      </c>
      <c r="Y22" s="12">
        <v>348</v>
      </c>
      <c r="Z22" s="12">
        <v>400</v>
      </c>
      <c r="AA22" s="12">
        <v>252</v>
      </c>
      <c r="AB22" s="12">
        <v>228</v>
      </c>
      <c r="AC22" s="12">
        <v>212</v>
      </c>
      <c r="AD22" s="12">
        <v>258</v>
      </c>
      <c r="AE22" s="12">
        <v>129</v>
      </c>
      <c r="AF22" s="12">
        <v>126</v>
      </c>
    </row>
    <row r="23" spans="1:32" x14ac:dyDescent="0.35">
      <c r="A23" s="31"/>
      <c r="B23" s="13" t="s">
        <v>895</v>
      </c>
      <c r="C23" s="14">
        <v>0.21</v>
      </c>
      <c r="D23" s="14">
        <v>0.26</v>
      </c>
      <c r="E23" s="14">
        <v>0.18</v>
      </c>
      <c r="F23" s="14">
        <v>0.2</v>
      </c>
      <c r="G23" s="14">
        <v>0.15</v>
      </c>
      <c r="H23" s="14">
        <v>0.21</v>
      </c>
      <c r="I23" s="14">
        <v>0.2</v>
      </c>
      <c r="J23" s="14">
        <v>0.15</v>
      </c>
      <c r="K23" s="14">
        <v>0.16</v>
      </c>
      <c r="L23" s="14">
        <v>0.28000000000000003</v>
      </c>
      <c r="M23" s="14">
        <v>0.1</v>
      </c>
      <c r="N23" s="14">
        <v>0.16</v>
      </c>
      <c r="O23" s="14">
        <v>0.13</v>
      </c>
      <c r="P23" s="14">
        <v>0.28999999999999998</v>
      </c>
      <c r="Q23" s="14">
        <v>0.2</v>
      </c>
      <c r="R23" s="14">
        <v>0.16</v>
      </c>
      <c r="S23" s="14">
        <v>0.17</v>
      </c>
      <c r="T23" s="14">
        <v>0.21</v>
      </c>
      <c r="U23" s="14">
        <v>0.26</v>
      </c>
      <c r="V23" s="14">
        <v>0.24</v>
      </c>
      <c r="W23" s="14">
        <v>0.36</v>
      </c>
      <c r="X23" s="14">
        <v>0.25</v>
      </c>
      <c r="Y23" s="14">
        <v>0.35</v>
      </c>
      <c r="Z23" s="14">
        <v>0.39</v>
      </c>
      <c r="AA23" s="14">
        <v>0.24</v>
      </c>
      <c r="AB23" s="14">
        <v>0.22</v>
      </c>
      <c r="AC23" s="14">
        <v>0.21</v>
      </c>
      <c r="AD23" s="14">
        <v>0.26</v>
      </c>
      <c r="AE23" s="14">
        <v>0.13</v>
      </c>
      <c r="AF23" s="14">
        <v>0.12</v>
      </c>
    </row>
    <row r="24" spans="1:32" ht="21.5" x14ac:dyDescent="0.35">
      <c r="A24" s="31"/>
      <c r="B24" s="11" t="s">
        <v>896</v>
      </c>
      <c r="C24" s="12">
        <v>20711</v>
      </c>
      <c r="D24" s="12">
        <v>751</v>
      </c>
      <c r="E24" s="12">
        <v>845</v>
      </c>
      <c r="F24" s="12">
        <v>808</v>
      </c>
      <c r="G24" s="12">
        <v>854</v>
      </c>
      <c r="H24" s="12">
        <v>966</v>
      </c>
      <c r="I24" s="12">
        <v>1220</v>
      </c>
      <c r="J24" s="12">
        <v>254</v>
      </c>
      <c r="K24" s="12">
        <v>828</v>
      </c>
      <c r="L24" s="12">
        <v>717</v>
      </c>
      <c r="M24" s="12">
        <v>904</v>
      </c>
      <c r="N24" s="12">
        <v>829</v>
      </c>
      <c r="O24" s="12">
        <v>860</v>
      </c>
      <c r="P24" s="12">
        <v>704</v>
      </c>
      <c r="Q24" s="12">
        <v>822</v>
      </c>
      <c r="R24" s="12">
        <v>423</v>
      </c>
      <c r="S24" s="12">
        <v>832</v>
      </c>
      <c r="T24" s="12">
        <v>789</v>
      </c>
      <c r="U24" s="12">
        <v>370</v>
      </c>
      <c r="V24" s="12">
        <v>766</v>
      </c>
      <c r="W24" s="12">
        <v>303</v>
      </c>
      <c r="X24" s="12">
        <v>751</v>
      </c>
      <c r="Y24" s="12">
        <v>653</v>
      </c>
      <c r="Z24" s="12">
        <v>584</v>
      </c>
      <c r="AA24" s="12">
        <v>764</v>
      </c>
      <c r="AB24" s="12">
        <v>806</v>
      </c>
      <c r="AC24" s="12">
        <v>800</v>
      </c>
      <c r="AD24" s="12">
        <v>746</v>
      </c>
      <c r="AE24" s="12">
        <v>868</v>
      </c>
      <c r="AF24" s="12">
        <v>894</v>
      </c>
    </row>
    <row r="25" spans="1:32" x14ac:dyDescent="0.35">
      <c r="A25" s="31"/>
      <c r="B25" s="13" t="s">
        <v>897</v>
      </c>
      <c r="C25" s="14">
        <v>0.78</v>
      </c>
      <c r="D25" s="14">
        <v>0.74</v>
      </c>
      <c r="E25" s="14">
        <v>0.81</v>
      </c>
      <c r="F25" s="14">
        <v>0.79</v>
      </c>
      <c r="G25" s="14">
        <v>0.83000000000000007</v>
      </c>
      <c r="H25" s="14">
        <v>0.79</v>
      </c>
      <c r="I25" s="14">
        <v>0.8</v>
      </c>
      <c r="J25" s="14">
        <v>0.85</v>
      </c>
      <c r="K25" s="14">
        <v>0.82000000000000006</v>
      </c>
      <c r="L25" s="14">
        <v>0.71</v>
      </c>
      <c r="M25" s="14">
        <v>0.9</v>
      </c>
      <c r="N25" s="14">
        <v>0.83000000000000007</v>
      </c>
      <c r="O25" s="14">
        <v>0.86</v>
      </c>
      <c r="P25" s="14">
        <v>0.70000000000000007</v>
      </c>
      <c r="Q25" s="14">
        <v>0.8</v>
      </c>
      <c r="R25" s="14">
        <v>0.84</v>
      </c>
      <c r="S25" s="14">
        <v>0.82000000000000006</v>
      </c>
      <c r="T25" s="14">
        <v>0.77</v>
      </c>
      <c r="U25" s="14">
        <v>0.73</v>
      </c>
      <c r="V25" s="14">
        <v>0.76</v>
      </c>
      <c r="W25" s="14">
        <v>0.61</v>
      </c>
      <c r="X25" s="14">
        <v>0.75</v>
      </c>
      <c r="Y25" s="14">
        <v>0.65</v>
      </c>
      <c r="Z25" s="14">
        <v>0.57999999999999996</v>
      </c>
      <c r="AA25" s="14">
        <v>0.74</v>
      </c>
      <c r="AB25" s="14">
        <v>0.76</v>
      </c>
      <c r="AC25" s="14">
        <v>0.79</v>
      </c>
      <c r="AD25" s="14">
        <v>0.74</v>
      </c>
      <c r="AE25" s="14">
        <v>0.86</v>
      </c>
      <c r="AF25" s="14">
        <v>0.88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60" customHeight="1" x14ac:dyDescent="0.35">
      <c r="B3" s="30" t="s">
        <v>145</v>
      </c>
      <c r="C3" s="30"/>
      <c r="D3" s="30"/>
      <c r="E3" s="30"/>
      <c r="F3" s="30"/>
      <c r="H3" s="30" t="s">
        <v>146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71.5" x14ac:dyDescent="0.35">
      <c r="A12" s="31"/>
      <c r="B12" s="11" t="s">
        <v>898</v>
      </c>
      <c r="C12" s="12">
        <v>10521</v>
      </c>
      <c r="D12" s="12">
        <v>425</v>
      </c>
      <c r="E12" s="12">
        <v>375</v>
      </c>
      <c r="F12" s="12">
        <v>269</v>
      </c>
      <c r="G12" s="12">
        <v>423</v>
      </c>
      <c r="H12" s="12">
        <v>493</v>
      </c>
      <c r="I12" s="12">
        <v>613</v>
      </c>
      <c r="J12" s="12">
        <v>120</v>
      </c>
      <c r="K12" s="12">
        <v>249</v>
      </c>
      <c r="L12" s="12">
        <v>385</v>
      </c>
      <c r="M12" s="12">
        <v>481</v>
      </c>
      <c r="N12" s="12">
        <v>418</v>
      </c>
      <c r="O12" s="12">
        <v>388</v>
      </c>
      <c r="P12" s="12">
        <v>319</v>
      </c>
      <c r="Q12" s="12">
        <v>451</v>
      </c>
      <c r="R12" s="12">
        <v>190</v>
      </c>
      <c r="S12" s="12">
        <v>285</v>
      </c>
      <c r="T12" s="12">
        <v>294</v>
      </c>
      <c r="U12" s="12">
        <v>204</v>
      </c>
      <c r="V12" s="12">
        <v>414</v>
      </c>
      <c r="W12" s="12">
        <v>200</v>
      </c>
      <c r="X12" s="12">
        <v>455</v>
      </c>
      <c r="Y12" s="12">
        <v>343</v>
      </c>
      <c r="Z12" s="12">
        <v>388</v>
      </c>
      <c r="AA12" s="12">
        <v>348</v>
      </c>
      <c r="AB12" s="12">
        <v>350</v>
      </c>
      <c r="AC12" s="12">
        <v>301</v>
      </c>
      <c r="AD12" s="12">
        <v>330</v>
      </c>
      <c r="AE12" s="12">
        <v>440</v>
      </c>
      <c r="AF12" s="12">
        <v>549</v>
      </c>
    </row>
    <row r="13" spans="1:32" ht="41.5" x14ac:dyDescent="0.35">
      <c r="A13" s="31"/>
      <c r="B13" s="13" t="s">
        <v>899</v>
      </c>
      <c r="C13" s="14">
        <v>0.4</v>
      </c>
      <c r="D13" s="14">
        <v>0.41</v>
      </c>
      <c r="E13" s="14">
        <v>0.36</v>
      </c>
      <c r="F13" s="14">
        <v>0.26</v>
      </c>
      <c r="G13" s="14">
        <v>0.42</v>
      </c>
      <c r="H13" s="14">
        <v>0.4</v>
      </c>
      <c r="I13" s="14">
        <v>0.4</v>
      </c>
      <c r="J13" s="14">
        <v>0.4</v>
      </c>
      <c r="K13" s="14">
        <v>0.25</v>
      </c>
      <c r="L13" s="14">
        <v>0.38</v>
      </c>
      <c r="M13" s="14">
        <v>0.48</v>
      </c>
      <c r="N13" s="14">
        <v>0.42</v>
      </c>
      <c r="O13" s="14">
        <v>0.39</v>
      </c>
      <c r="P13" s="14">
        <v>0.32</v>
      </c>
      <c r="Q13" s="14">
        <v>0.44</v>
      </c>
      <c r="R13" s="14">
        <v>0.38</v>
      </c>
      <c r="S13" s="14">
        <v>0.28000000000000003</v>
      </c>
      <c r="T13" s="14">
        <v>0.28999999999999998</v>
      </c>
      <c r="U13" s="14">
        <v>0.4</v>
      </c>
      <c r="V13" s="14">
        <v>0.41</v>
      </c>
      <c r="W13" s="14">
        <v>0.4</v>
      </c>
      <c r="X13" s="14">
        <v>0.45</v>
      </c>
      <c r="Y13" s="14">
        <v>0.34</v>
      </c>
      <c r="Z13" s="14">
        <v>0.38</v>
      </c>
      <c r="AA13" s="14">
        <v>0.34</v>
      </c>
      <c r="AB13" s="14">
        <v>0.33</v>
      </c>
      <c r="AC13" s="14">
        <v>0.3</v>
      </c>
      <c r="AD13" s="14">
        <v>0.33</v>
      </c>
      <c r="AE13" s="14">
        <v>0.44</v>
      </c>
      <c r="AF13" s="14">
        <v>0.54</v>
      </c>
    </row>
    <row r="14" spans="1:32" ht="81.5" x14ac:dyDescent="0.35">
      <c r="A14" s="31"/>
      <c r="B14" s="11" t="s">
        <v>900</v>
      </c>
      <c r="C14" s="12">
        <v>6964</v>
      </c>
      <c r="D14" s="12">
        <v>250</v>
      </c>
      <c r="E14" s="12">
        <v>280</v>
      </c>
      <c r="F14" s="12">
        <v>216</v>
      </c>
      <c r="G14" s="12">
        <v>241</v>
      </c>
      <c r="H14" s="12">
        <v>294</v>
      </c>
      <c r="I14" s="12">
        <v>379</v>
      </c>
      <c r="J14" s="12">
        <v>86</v>
      </c>
      <c r="K14" s="12">
        <v>169</v>
      </c>
      <c r="L14" s="12">
        <v>304</v>
      </c>
      <c r="M14" s="12">
        <v>360</v>
      </c>
      <c r="N14" s="12">
        <v>232</v>
      </c>
      <c r="O14" s="12">
        <v>203</v>
      </c>
      <c r="P14" s="12">
        <v>318</v>
      </c>
      <c r="Q14" s="12">
        <v>380</v>
      </c>
      <c r="R14" s="12">
        <v>135</v>
      </c>
      <c r="S14" s="12">
        <v>159</v>
      </c>
      <c r="T14" s="12">
        <v>241</v>
      </c>
      <c r="U14" s="12">
        <v>126</v>
      </c>
      <c r="V14" s="12">
        <v>317</v>
      </c>
      <c r="W14" s="12">
        <v>145</v>
      </c>
      <c r="X14" s="12">
        <v>268</v>
      </c>
      <c r="Y14" s="12">
        <v>296</v>
      </c>
      <c r="Z14" s="12">
        <v>269</v>
      </c>
      <c r="AA14" s="12">
        <v>277</v>
      </c>
      <c r="AB14" s="12">
        <v>334</v>
      </c>
      <c r="AC14" s="12">
        <v>184</v>
      </c>
      <c r="AD14" s="12">
        <v>334</v>
      </c>
      <c r="AE14" s="12">
        <v>143</v>
      </c>
      <c r="AF14" s="12">
        <v>193</v>
      </c>
    </row>
    <row r="15" spans="1:32" ht="61.5" x14ac:dyDescent="0.35">
      <c r="A15" s="31"/>
      <c r="B15" s="13" t="s">
        <v>901</v>
      </c>
      <c r="C15" s="14">
        <v>0.26</v>
      </c>
      <c r="D15" s="14">
        <v>0.24</v>
      </c>
      <c r="E15" s="14">
        <v>0.27</v>
      </c>
      <c r="F15" s="14">
        <v>0.21</v>
      </c>
      <c r="G15" s="14">
        <v>0.24</v>
      </c>
      <c r="H15" s="14">
        <v>0.24</v>
      </c>
      <c r="I15" s="14">
        <v>0.25</v>
      </c>
      <c r="J15" s="14">
        <v>0.28999999999999998</v>
      </c>
      <c r="K15" s="14">
        <v>0.17</v>
      </c>
      <c r="L15" s="14">
        <v>0.3</v>
      </c>
      <c r="M15" s="14">
        <v>0.36</v>
      </c>
      <c r="N15" s="14">
        <v>0.23</v>
      </c>
      <c r="O15" s="14">
        <v>0.2</v>
      </c>
      <c r="P15" s="14">
        <v>0.32</v>
      </c>
      <c r="Q15" s="14">
        <v>0.37</v>
      </c>
      <c r="R15" s="14">
        <v>0.27</v>
      </c>
      <c r="S15" s="14">
        <v>0.16</v>
      </c>
      <c r="T15" s="14">
        <v>0.24</v>
      </c>
      <c r="U15" s="14">
        <v>0.25</v>
      </c>
      <c r="V15" s="14">
        <v>0.31</v>
      </c>
      <c r="W15" s="14">
        <v>0.28999999999999998</v>
      </c>
      <c r="X15" s="14">
        <v>0.26</v>
      </c>
      <c r="Y15" s="14">
        <v>0.28999999999999998</v>
      </c>
      <c r="Z15" s="14">
        <v>0.26</v>
      </c>
      <c r="AA15" s="14">
        <v>0.27</v>
      </c>
      <c r="AB15" s="14">
        <v>0.32</v>
      </c>
      <c r="AC15" s="14">
        <v>0.18</v>
      </c>
      <c r="AD15" s="14">
        <v>0.33</v>
      </c>
      <c r="AE15" s="14">
        <v>0.14000000000000001</v>
      </c>
      <c r="AF15" s="14">
        <v>0.19</v>
      </c>
    </row>
    <row r="16" spans="1:32" ht="41.5" x14ac:dyDescent="0.35">
      <c r="A16" s="31"/>
      <c r="B16" s="11" t="s">
        <v>902</v>
      </c>
      <c r="C16" s="12">
        <v>6719</v>
      </c>
      <c r="D16" s="12">
        <v>296</v>
      </c>
      <c r="E16" s="12">
        <v>190</v>
      </c>
      <c r="F16" s="12">
        <v>197</v>
      </c>
      <c r="G16" s="12">
        <v>267</v>
      </c>
      <c r="H16" s="12">
        <v>358</v>
      </c>
      <c r="I16" s="12">
        <v>423</v>
      </c>
      <c r="J16" s="12">
        <v>65</v>
      </c>
      <c r="K16" s="12">
        <v>213</v>
      </c>
      <c r="L16" s="12">
        <v>266</v>
      </c>
      <c r="M16" s="12">
        <v>305</v>
      </c>
      <c r="N16" s="12">
        <v>174</v>
      </c>
      <c r="O16" s="12">
        <v>286</v>
      </c>
      <c r="P16" s="12">
        <v>286</v>
      </c>
      <c r="Q16" s="12">
        <v>267</v>
      </c>
      <c r="R16" s="12">
        <v>141</v>
      </c>
      <c r="S16" s="12">
        <v>201</v>
      </c>
      <c r="T16" s="12">
        <v>205</v>
      </c>
      <c r="U16" s="12">
        <v>156</v>
      </c>
      <c r="V16" s="12">
        <v>265</v>
      </c>
      <c r="W16" s="12">
        <v>162</v>
      </c>
      <c r="X16" s="12">
        <v>330</v>
      </c>
      <c r="Y16" s="12">
        <v>291</v>
      </c>
      <c r="Z16" s="12">
        <v>201</v>
      </c>
      <c r="AA16" s="12">
        <v>217</v>
      </c>
      <c r="AB16" s="12">
        <v>221</v>
      </c>
      <c r="AC16" s="12">
        <v>206</v>
      </c>
      <c r="AD16" s="12">
        <v>242</v>
      </c>
      <c r="AE16" s="12">
        <v>309</v>
      </c>
      <c r="AF16" s="12">
        <v>415</v>
      </c>
    </row>
    <row r="17" spans="1:32" ht="41.5" x14ac:dyDescent="0.35">
      <c r="A17" s="31"/>
      <c r="B17" s="13" t="s">
        <v>903</v>
      </c>
      <c r="C17" s="14">
        <v>0.25</v>
      </c>
      <c r="D17" s="14">
        <v>0.28999999999999998</v>
      </c>
      <c r="E17" s="14">
        <v>0.18</v>
      </c>
      <c r="F17" s="14">
        <v>0.19</v>
      </c>
      <c r="G17" s="14">
        <v>0.26</v>
      </c>
      <c r="H17" s="14">
        <v>0.28999999999999998</v>
      </c>
      <c r="I17" s="14">
        <v>0.28000000000000003</v>
      </c>
      <c r="J17" s="14">
        <v>0.22</v>
      </c>
      <c r="K17" s="14">
        <v>0.21</v>
      </c>
      <c r="L17" s="14">
        <v>0.27</v>
      </c>
      <c r="M17" s="14">
        <v>0.3</v>
      </c>
      <c r="N17" s="14">
        <v>0.17</v>
      </c>
      <c r="O17" s="14">
        <v>0.28999999999999998</v>
      </c>
      <c r="P17" s="14">
        <v>0.28000000000000003</v>
      </c>
      <c r="Q17" s="14">
        <v>0.26</v>
      </c>
      <c r="R17" s="14">
        <v>0.28000000000000003</v>
      </c>
      <c r="S17" s="14">
        <v>0.2</v>
      </c>
      <c r="T17" s="14">
        <v>0.2</v>
      </c>
      <c r="U17" s="14">
        <v>0.31</v>
      </c>
      <c r="V17" s="14">
        <v>0.26</v>
      </c>
      <c r="W17" s="14">
        <v>0.32</v>
      </c>
      <c r="X17" s="14">
        <v>0.33</v>
      </c>
      <c r="Y17" s="14">
        <v>0.28999999999999998</v>
      </c>
      <c r="Z17" s="14">
        <v>0.2</v>
      </c>
      <c r="AA17" s="14">
        <v>0.21</v>
      </c>
      <c r="AB17" s="14">
        <v>0.21</v>
      </c>
      <c r="AC17" s="14">
        <v>0.2</v>
      </c>
      <c r="AD17" s="14">
        <v>0.24</v>
      </c>
      <c r="AE17" s="14">
        <v>0.31</v>
      </c>
      <c r="AF17" s="14">
        <v>0.41</v>
      </c>
    </row>
    <row r="18" spans="1:32" ht="51.5" x14ac:dyDescent="0.35">
      <c r="A18" s="31"/>
      <c r="B18" s="11" t="s">
        <v>904</v>
      </c>
      <c r="C18" s="12">
        <v>8851</v>
      </c>
      <c r="D18" s="12">
        <v>356</v>
      </c>
      <c r="E18" s="12">
        <v>392</v>
      </c>
      <c r="F18" s="12">
        <v>410</v>
      </c>
      <c r="G18" s="12">
        <v>329</v>
      </c>
      <c r="H18" s="12">
        <v>399</v>
      </c>
      <c r="I18" s="12">
        <v>507</v>
      </c>
      <c r="J18" s="12">
        <v>108</v>
      </c>
      <c r="K18" s="12">
        <v>355</v>
      </c>
      <c r="L18" s="12">
        <v>312</v>
      </c>
      <c r="M18" s="12">
        <v>488</v>
      </c>
      <c r="N18" s="12">
        <v>283</v>
      </c>
      <c r="O18" s="12">
        <v>307</v>
      </c>
      <c r="P18" s="12">
        <v>429</v>
      </c>
      <c r="Q18" s="12">
        <v>363</v>
      </c>
      <c r="R18" s="12">
        <v>162</v>
      </c>
      <c r="S18" s="12">
        <v>305</v>
      </c>
      <c r="T18" s="12">
        <v>328</v>
      </c>
      <c r="U18" s="12">
        <v>149</v>
      </c>
      <c r="V18" s="12">
        <v>338</v>
      </c>
      <c r="W18" s="12">
        <v>133</v>
      </c>
      <c r="X18" s="12">
        <v>256</v>
      </c>
      <c r="Y18" s="12">
        <v>328</v>
      </c>
      <c r="Z18" s="12">
        <v>359</v>
      </c>
      <c r="AA18" s="12">
        <v>407</v>
      </c>
      <c r="AB18" s="12">
        <v>362</v>
      </c>
      <c r="AC18" s="12">
        <v>426</v>
      </c>
      <c r="AD18" s="12">
        <v>483</v>
      </c>
      <c r="AE18" s="12">
        <v>333</v>
      </c>
      <c r="AF18" s="12">
        <v>368</v>
      </c>
    </row>
    <row r="19" spans="1:32" ht="31.5" x14ac:dyDescent="0.35">
      <c r="A19" s="31"/>
      <c r="B19" s="13" t="s">
        <v>905</v>
      </c>
      <c r="C19" s="14">
        <v>0.34</v>
      </c>
      <c r="D19" s="14">
        <v>0.35</v>
      </c>
      <c r="E19" s="14">
        <v>0.38</v>
      </c>
      <c r="F19" s="14">
        <v>0.4</v>
      </c>
      <c r="G19" s="14">
        <v>0.32</v>
      </c>
      <c r="H19" s="14">
        <v>0.32</v>
      </c>
      <c r="I19" s="14">
        <v>0.33</v>
      </c>
      <c r="J19" s="14">
        <v>0.36</v>
      </c>
      <c r="K19" s="14">
        <v>0.35</v>
      </c>
      <c r="L19" s="14">
        <v>0.31</v>
      </c>
      <c r="M19" s="14">
        <v>0.49</v>
      </c>
      <c r="N19" s="14">
        <v>0.28000000000000003</v>
      </c>
      <c r="O19" s="14">
        <v>0.31</v>
      </c>
      <c r="P19" s="14">
        <v>0.43</v>
      </c>
      <c r="Q19" s="14">
        <v>0.35</v>
      </c>
      <c r="R19" s="14">
        <v>0.32</v>
      </c>
      <c r="S19" s="14">
        <v>0.3</v>
      </c>
      <c r="T19" s="14">
        <v>0.32</v>
      </c>
      <c r="U19" s="14">
        <v>0.28999999999999998</v>
      </c>
      <c r="V19" s="14">
        <v>0.33</v>
      </c>
      <c r="W19" s="14">
        <v>0.27</v>
      </c>
      <c r="X19" s="14">
        <v>0.25</v>
      </c>
      <c r="Y19" s="14">
        <v>0.33</v>
      </c>
      <c r="Z19" s="14">
        <v>0.35</v>
      </c>
      <c r="AA19" s="14">
        <v>0.4</v>
      </c>
      <c r="AB19" s="14">
        <v>0.34</v>
      </c>
      <c r="AC19" s="14">
        <v>0.42</v>
      </c>
      <c r="AD19" s="14">
        <v>0.48</v>
      </c>
      <c r="AE19" s="14">
        <v>0.33</v>
      </c>
      <c r="AF19" s="14">
        <v>0.36</v>
      </c>
    </row>
    <row r="20" spans="1:32" x14ac:dyDescent="0.35">
      <c r="A20" s="31"/>
      <c r="B20" s="11" t="s">
        <v>407</v>
      </c>
      <c r="C20" s="12">
        <v>871</v>
      </c>
      <c r="D20" s="12">
        <v>17</v>
      </c>
      <c r="E20" s="12">
        <v>20</v>
      </c>
      <c r="F20" s="12">
        <v>22</v>
      </c>
      <c r="G20" s="12">
        <v>70</v>
      </c>
      <c r="H20" s="12">
        <v>36</v>
      </c>
      <c r="I20" s="12">
        <v>43</v>
      </c>
      <c r="J20" s="12">
        <v>7</v>
      </c>
      <c r="K20" s="12">
        <v>91</v>
      </c>
      <c r="L20" s="12">
        <v>24</v>
      </c>
      <c r="M20" s="12">
        <v>25</v>
      </c>
      <c r="N20" s="12">
        <v>44</v>
      </c>
      <c r="O20" s="12">
        <v>50</v>
      </c>
      <c r="P20" s="12">
        <v>20</v>
      </c>
      <c r="Q20" s="12">
        <v>22</v>
      </c>
      <c r="R20" s="12">
        <v>25</v>
      </c>
      <c r="S20" s="12">
        <v>42</v>
      </c>
      <c r="T20" s="12">
        <v>62</v>
      </c>
      <c r="U20" s="12">
        <v>32</v>
      </c>
      <c r="V20" s="12">
        <v>4</v>
      </c>
      <c r="W20" s="12">
        <v>4</v>
      </c>
      <c r="X20" s="12">
        <v>65</v>
      </c>
      <c r="Y20" s="12">
        <v>76</v>
      </c>
      <c r="Z20" s="12">
        <v>3</v>
      </c>
      <c r="AA20" s="12">
        <v>48</v>
      </c>
      <c r="AB20" s="12">
        <v>34</v>
      </c>
      <c r="AC20" s="12">
        <v>76</v>
      </c>
      <c r="AD20" s="12">
        <v>9</v>
      </c>
      <c r="AE20" s="12">
        <v>45</v>
      </c>
      <c r="AF20" s="12">
        <v>23</v>
      </c>
    </row>
    <row r="21" spans="1:32" x14ac:dyDescent="0.35">
      <c r="A21" s="31"/>
      <c r="B21" s="13" t="s">
        <v>408</v>
      </c>
      <c r="C21" s="14">
        <v>0.03</v>
      </c>
      <c r="D21" s="14">
        <v>0.02</v>
      </c>
      <c r="E21" s="14">
        <v>0.02</v>
      </c>
      <c r="F21" s="14">
        <v>0.02</v>
      </c>
      <c r="G21" s="14">
        <v>7.0000000000000007E-2</v>
      </c>
      <c r="H21" s="14">
        <v>0.03</v>
      </c>
      <c r="I21" s="14">
        <v>0.03</v>
      </c>
      <c r="J21" s="14">
        <v>0.02</v>
      </c>
      <c r="K21" s="14">
        <v>0.09</v>
      </c>
      <c r="L21" s="14">
        <v>0.02</v>
      </c>
      <c r="M21" s="14">
        <v>0.02</v>
      </c>
      <c r="N21" s="14">
        <v>0.04</v>
      </c>
      <c r="O21" s="14">
        <v>0.05</v>
      </c>
      <c r="P21" s="14">
        <v>0.02</v>
      </c>
      <c r="Q21" s="14">
        <v>0.02</v>
      </c>
      <c r="R21" s="14">
        <v>0.05</v>
      </c>
      <c r="S21" s="14">
        <v>0.04</v>
      </c>
      <c r="T21" s="14">
        <v>0.06</v>
      </c>
      <c r="U21" s="14">
        <v>0.06</v>
      </c>
      <c r="V21" s="15" t="s">
        <v>333</v>
      </c>
      <c r="W21" s="14">
        <v>0.01</v>
      </c>
      <c r="X21" s="14">
        <v>0.06</v>
      </c>
      <c r="Y21" s="14">
        <v>0.08</v>
      </c>
      <c r="Z21" s="15" t="s">
        <v>333</v>
      </c>
      <c r="AA21" s="14">
        <v>0.05</v>
      </c>
      <c r="AB21" s="14">
        <v>0.03</v>
      </c>
      <c r="AC21" s="14">
        <v>7.0000000000000007E-2</v>
      </c>
      <c r="AD21" s="14">
        <v>0.01</v>
      </c>
      <c r="AE21" s="14">
        <v>0.04</v>
      </c>
      <c r="AF21" s="14">
        <v>0.02</v>
      </c>
    </row>
    <row r="22" spans="1:32" x14ac:dyDescent="0.35">
      <c r="A22" s="31"/>
      <c r="B22" s="11" t="s">
        <v>344</v>
      </c>
      <c r="C22" s="12">
        <v>3351</v>
      </c>
      <c r="D22" s="12">
        <v>87</v>
      </c>
      <c r="E22" s="12">
        <v>181</v>
      </c>
      <c r="F22" s="12">
        <v>154</v>
      </c>
      <c r="G22" s="12">
        <v>134</v>
      </c>
      <c r="H22" s="12">
        <v>163</v>
      </c>
      <c r="I22" s="12">
        <v>200</v>
      </c>
      <c r="J22" s="12">
        <v>37</v>
      </c>
      <c r="K22" s="12">
        <v>201</v>
      </c>
      <c r="L22" s="12">
        <v>125</v>
      </c>
      <c r="M22" s="12">
        <v>66</v>
      </c>
      <c r="N22" s="12">
        <v>175</v>
      </c>
      <c r="O22" s="12">
        <v>155</v>
      </c>
      <c r="P22" s="12">
        <v>109</v>
      </c>
      <c r="Q22" s="12">
        <v>91</v>
      </c>
      <c r="R22" s="12">
        <v>84</v>
      </c>
      <c r="S22" s="12">
        <v>232</v>
      </c>
      <c r="T22" s="12">
        <v>238</v>
      </c>
      <c r="U22" s="12">
        <v>41</v>
      </c>
      <c r="V22" s="12">
        <v>91</v>
      </c>
      <c r="W22" s="12">
        <v>98</v>
      </c>
      <c r="X22" s="12">
        <v>77</v>
      </c>
      <c r="Y22" s="12">
        <v>155</v>
      </c>
      <c r="Z22" s="12">
        <v>126</v>
      </c>
      <c r="AA22" s="12">
        <v>155</v>
      </c>
      <c r="AB22" s="12">
        <v>109</v>
      </c>
      <c r="AC22" s="12">
        <v>119</v>
      </c>
      <c r="AD22" s="12">
        <v>93</v>
      </c>
      <c r="AE22" s="12">
        <v>141</v>
      </c>
      <c r="AF22" s="12">
        <v>59</v>
      </c>
    </row>
    <row r="23" spans="1:32" x14ac:dyDescent="0.35">
      <c r="A23" s="31"/>
      <c r="B23" s="13" t="s">
        <v>357</v>
      </c>
      <c r="C23" s="14">
        <v>0.13</v>
      </c>
      <c r="D23" s="14">
        <v>0.09</v>
      </c>
      <c r="E23" s="14">
        <v>0.17</v>
      </c>
      <c r="F23" s="14">
        <v>0.15</v>
      </c>
      <c r="G23" s="14">
        <v>0.13</v>
      </c>
      <c r="H23" s="14">
        <v>0.13</v>
      </c>
      <c r="I23" s="14">
        <v>0.13</v>
      </c>
      <c r="J23" s="14">
        <v>0.12</v>
      </c>
      <c r="K23" s="14">
        <v>0.2</v>
      </c>
      <c r="L23" s="14">
        <v>0.12</v>
      </c>
      <c r="M23" s="14">
        <v>7.0000000000000007E-2</v>
      </c>
      <c r="N23" s="14">
        <v>0.17</v>
      </c>
      <c r="O23" s="14">
        <v>0.15</v>
      </c>
      <c r="P23" s="14">
        <v>0.11</v>
      </c>
      <c r="Q23" s="14">
        <v>0.09</v>
      </c>
      <c r="R23" s="14">
        <v>0.17</v>
      </c>
      <c r="S23" s="14">
        <v>0.23</v>
      </c>
      <c r="T23" s="14">
        <v>0.23</v>
      </c>
      <c r="U23" s="14">
        <v>0.08</v>
      </c>
      <c r="V23" s="14">
        <v>0.09</v>
      </c>
      <c r="W23" s="14">
        <v>0.19</v>
      </c>
      <c r="X23" s="14">
        <v>0.08</v>
      </c>
      <c r="Y23" s="14">
        <v>0.15</v>
      </c>
      <c r="Z23" s="14">
        <v>0.12</v>
      </c>
      <c r="AA23" s="14">
        <v>0.15</v>
      </c>
      <c r="AB23" s="14">
        <v>0.1</v>
      </c>
      <c r="AC23" s="14">
        <v>0.12</v>
      </c>
      <c r="AD23" s="14">
        <v>0.09</v>
      </c>
      <c r="AE23" s="14">
        <v>0.14000000000000001</v>
      </c>
      <c r="AF23" s="14">
        <v>0.06</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906</v>
      </c>
      <c r="C3" s="30"/>
      <c r="D3" s="30"/>
      <c r="E3" s="30"/>
      <c r="F3" s="30"/>
      <c r="H3" s="30" t="s">
        <v>907</v>
      </c>
      <c r="I3" s="30"/>
      <c r="J3" s="30"/>
      <c r="K3" s="30"/>
      <c r="L3" s="30"/>
    </row>
    <row r="4" spans="1:32" ht="27" customHeight="1" x14ac:dyDescent="0.35">
      <c r="B4" s="30" t="s">
        <v>908</v>
      </c>
      <c r="C4" s="30"/>
      <c r="D4" s="30"/>
      <c r="E4" s="30"/>
      <c r="F4" s="30"/>
      <c r="H4" s="30" t="s">
        <v>909</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3749</v>
      </c>
      <c r="D12" s="12">
        <v>108</v>
      </c>
      <c r="E12" s="12">
        <v>62</v>
      </c>
      <c r="F12" s="12">
        <v>250</v>
      </c>
      <c r="G12" s="12">
        <v>388</v>
      </c>
      <c r="H12" s="12">
        <v>170</v>
      </c>
      <c r="I12" s="12">
        <v>201</v>
      </c>
      <c r="J12" s="12">
        <v>31</v>
      </c>
      <c r="K12" s="12">
        <v>102</v>
      </c>
      <c r="L12" s="12">
        <v>306</v>
      </c>
      <c r="M12" s="12">
        <v>115</v>
      </c>
      <c r="N12" s="12">
        <v>134</v>
      </c>
      <c r="O12" s="12">
        <v>102</v>
      </c>
      <c r="P12" s="12">
        <v>155</v>
      </c>
      <c r="Q12" s="12">
        <v>149</v>
      </c>
      <c r="R12" s="12">
        <v>53</v>
      </c>
      <c r="S12" s="12">
        <v>173</v>
      </c>
      <c r="T12" s="12">
        <v>212</v>
      </c>
      <c r="U12" s="12">
        <v>70</v>
      </c>
      <c r="V12" s="12">
        <v>161</v>
      </c>
      <c r="W12" s="12">
        <v>76</v>
      </c>
      <c r="X12" s="12">
        <v>71</v>
      </c>
      <c r="Y12" s="12">
        <v>178</v>
      </c>
      <c r="Z12" s="12">
        <v>149</v>
      </c>
      <c r="AA12" s="12">
        <v>242</v>
      </c>
      <c r="AB12" s="12">
        <v>78</v>
      </c>
      <c r="AC12" s="12">
        <v>149</v>
      </c>
      <c r="AD12" s="12">
        <v>196</v>
      </c>
      <c r="AE12" s="12">
        <v>243</v>
      </c>
      <c r="AF12" s="12">
        <v>306</v>
      </c>
    </row>
    <row r="13" spans="1:32" x14ac:dyDescent="0.35">
      <c r="A13" s="31"/>
      <c r="B13" s="13" t="s">
        <v>503</v>
      </c>
      <c r="C13" s="14">
        <v>0.14000000000000001</v>
      </c>
      <c r="D13" s="14">
        <v>0.11</v>
      </c>
      <c r="E13" s="14">
        <v>0.06</v>
      </c>
      <c r="F13" s="14">
        <v>0.25</v>
      </c>
      <c r="G13" s="14">
        <v>0.38</v>
      </c>
      <c r="H13" s="14">
        <v>0.14000000000000001</v>
      </c>
      <c r="I13" s="14">
        <v>0.13</v>
      </c>
      <c r="J13" s="14">
        <v>0.1</v>
      </c>
      <c r="K13" s="14">
        <v>0.1</v>
      </c>
      <c r="L13" s="14">
        <v>0.31</v>
      </c>
      <c r="M13" s="14">
        <v>0.11</v>
      </c>
      <c r="N13" s="14">
        <v>0.14000000000000001</v>
      </c>
      <c r="O13" s="14">
        <v>0.1</v>
      </c>
      <c r="P13" s="14">
        <v>0.15</v>
      </c>
      <c r="Q13" s="14">
        <v>0.14000000000000001</v>
      </c>
      <c r="R13" s="14">
        <v>0.1</v>
      </c>
      <c r="S13" s="14">
        <v>0.17</v>
      </c>
      <c r="T13" s="14">
        <v>0.21</v>
      </c>
      <c r="U13" s="14">
        <v>0.14000000000000001</v>
      </c>
      <c r="V13" s="14">
        <v>0.16</v>
      </c>
      <c r="W13" s="14">
        <v>0.15</v>
      </c>
      <c r="X13" s="14">
        <v>7.0000000000000007E-2</v>
      </c>
      <c r="Y13" s="14">
        <v>0.18</v>
      </c>
      <c r="Z13" s="14">
        <v>0.15</v>
      </c>
      <c r="AA13" s="14">
        <v>0.23</v>
      </c>
      <c r="AB13" s="14">
        <v>7.0000000000000007E-2</v>
      </c>
      <c r="AC13" s="14">
        <v>0.15</v>
      </c>
      <c r="AD13" s="14">
        <v>0.2</v>
      </c>
      <c r="AE13" s="14">
        <v>0.24</v>
      </c>
      <c r="AF13" s="14">
        <v>0.3</v>
      </c>
    </row>
    <row r="14" spans="1:32" x14ac:dyDescent="0.35">
      <c r="A14" s="31"/>
      <c r="B14" s="11" t="s">
        <v>504</v>
      </c>
      <c r="C14" s="12">
        <v>9277</v>
      </c>
      <c r="D14" s="12">
        <v>436</v>
      </c>
      <c r="E14" s="12">
        <v>152</v>
      </c>
      <c r="F14" s="12">
        <v>481</v>
      </c>
      <c r="G14" s="12">
        <v>360</v>
      </c>
      <c r="H14" s="12">
        <v>452</v>
      </c>
      <c r="I14" s="12">
        <v>522</v>
      </c>
      <c r="J14" s="12">
        <v>70</v>
      </c>
      <c r="K14" s="12">
        <v>298</v>
      </c>
      <c r="L14" s="12">
        <v>372</v>
      </c>
      <c r="M14" s="12">
        <v>271</v>
      </c>
      <c r="N14" s="12">
        <v>253</v>
      </c>
      <c r="O14" s="12">
        <v>310</v>
      </c>
      <c r="P14" s="12">
        <v>379</v>
      </c>
      <c r="Q14" s="12">
        <v>400</v>
      </c>
      <c r="R14" s="12">
        <v>115</v>
      </c>
      <c r="S14" s="12">
        <v>372</v>
      </c>
      <c r="T14" s="12">
        <v>419</v>
      </c>
      <c r="U14" s="12">
        <v>194</v>
      </c>
      <c r="V14" s="12">
        <v>348</v>
      </c>
      <c r="W14" s="12">
        <v>193</v>
      </c>
      <c r="X14" s="12">
        <v>276</v>
      </c>
      <c r="Y14" s="12">
        <v>418</v>
      </c>
      <c r="Z14" s="12">
        <v>496</v>
      </c>
      <c r="AA14" s="12">
        <v>588</v>
      </c>
      <c r="AB14" s="12">
        <v>322</v>
      </c>
      <c r="AC14" s="12">
        <v>308</v>
      </c>
      <c r="AD14" s="12">
        <v>391</v>
      </c>
      <c r="AE14" s="12">
        <v>386</v>
      </c>
      <c r="AF14" s="12">
        <v>375</v>
      </c>
    </row>
    <row r="15" spans="1:32" x14ac:dyDescent="0.35">
      <c r="A15" s="31"/>
      <c r="B15" s="13" t="s">
        <v>505</v>
      </c>
      <c r="C15" s="14">
        <v>0.35</v>
      </c>
      <c r="D15" s="14">
        <v>0.43</v>
      </c>
      <c r="E15" s="14">
        <v>0.15</v>
      </c>
      <c r="F15" s="14">
        <v>0.47</v>
      </c>
      <c r="G15" s="14">
        <v>0.35</v>
      </c>
      <c r="H15" s="14">
        <v>0.37</v>
      </c>
      <c r="I15" s="14">
        <v>0.34</v>
      </c>
      <c r="J15" s="14">
        <v>0.24</v>
      </c>
      <c r="K15" s="14">
        <v>0.3</v>
      </c>
      <c r="L15" s="14">
        <v>0.37</v>
      </c>
      <c r="M15" s="14">
        <v>0.27</v>
      </c>
      <c r="N15" s="14">
        <v>0.25</v>
      </c>
      <c r="O15" s="14">
        <v>0.31</v>
      </c>
      <c r="P15" s="14">
        <v>0.38</v>
      </c>
      <c r="Q15" s="14">
        <v>0.39</v>
      </c>
      <c r="R15" s="14">
        <v>0.23</v>
      </c>
      <c r="S15" s="14">
        <v>0.36</v>
      </c>
      <c r="T15" s="14">
        <v>0.41</v>
      </c>
      <c r="U15" s="14">
        <v>0.38</v>
      </c>
      <c r="V15" s="14">
        <v>0.34</v>
      </c>
      <c r="W15" s="14">
        <v>0.39</v>
      </c>
      <c r="X15" s="14">
        <v>0.28000000000000003</v>
      </c>
      <c r="Y15" s="14">
        <v>0.42</v>
      </c>
      <c r="Z15" s="14">
        <v>0.49</v>
      </c>
      <c r="AA15" s="14">
        <v>0.57000000000000006</v>
      </c>
      <c r="AB15" s="14">
        <v>0.31</v>
      </c>
      <c r="AC15" s="14">
        <v>0.3</v>
      </c>
      <c r="AD15" s="14">
        <v>0.39</v>
      </c>
      <c r="AE15" s="14">
        <v>0.38</v>
      </c>
      <c r="AF15" s="14">
        <v>0.37</v>
      </c>
    </row>
    <row r="16" spans="1:32" x14ac:dyDescent="0.35">
      <c r="A16" s="31"/>
      <c r="B16" s="11" t="s">
        <v>506</v>
      </c>
      <c r="C16" s="12">
        <v>7940</v>
      </c>
      <c r="D16" s="12">
        <v>323</v>
      </c>
      <c r="E16" s="12">
        <v>347</v>
      </c>
      <c r="F16" s="12">
        <v>208</v>
      </c>
      <c r="G16" s="12">
        <v>173</v>
      </c>
      <c r="H16" s="12">
        <v>381</v>
      </c>
      <c r="I16" s="12">
        <v>501</v>
      </c>
      <c r="J16" s="12">
        <v>120</v>
      </c>
      <c r="K16" s="12">
        <v>330</v>
      </c>
      <c r="L16" s="12">
        <v>183</v>
      </c>
      <c r="M16" s="12">
        <v>383</v>
      </c>
      <c r="N16" s="12">
        <v>290</v>
      </c>
      <c r="O16" s="12">
        <v>292</v>
      </c>
      <c r="P16" s="12">
        <v>290</v>
      </c>
      <c r="Q16" s="12">
        <v>334</v>
      </c>
      <c r="R16" s="12">
        <v>184</v>
      </c>
      <c r="S16" s="12">
        <v>283</v>
      </c>
      <c r="T16" s="12">
        <v>249</v>
      </c>
      <c r="U16" s="12">
        <v>134</v>
      </c>
      <c r="V16" s="12">
        <v>288</v>
      </c>
      <c r="W16" s="12">
        <v>151</v>
      </c>
      <c r="X16" s="12">
        <v>468</v>
      </c>
      <c r="Y16" s="12">
        <v>267</v>
      </c>
      <c r="Z16" s="12">
        <v>259</v>
      </c>
      <c r="AA16" s="12">
        <v>115</v>
      </c>
      <c r="AB16" s="12">
        <v>392</v>
      </c>
      <c r="AC16" s="12">
        <v>326</v>
      </c>
      <c r="AD16" s="12">
        <v>256</v>
      </c>
      <c r="AE16" s="12">
        <v>262</v>
      </c>
      <c r="AF16" s="12">
        <v>229</v>
      </c>
    </row>
    <row r="17" spans="1:32" x14ac:dyDescent="0.35">
      <c r="A17" s="31"/>
      <c r="B17" s="13" t="s">
        <v>507</v>
      </c>
      <c r="C17" s="14">
        <v>0.3</v>
      </c>
      <c r="D17" s="14">
        <v>0.31</v>
      </c>
      <c r="E17" s="14">
        <v>0.33</v>
      </c>
      <c r="F17" s="14">
        <v>0.2</v>
      </c>
      <c r="G17" s="14">
        <v>0.17</v>
      </c>
      <c r="H17" s="14">
        <v>0.31</v>
      </c>
      <c r="I17" s="14">
        <v>0.33</v>
      </c>
      <c r="J17" s="14">
        <v>0.4</v>
      </c>
      <c r="K17" s="14">
        <v>0.33</v>
      </c>
      <c r="L17" s="14">
        <v>0.18</v>
      </c>
      <c r="M17" s="14">
        <v>0.38</v>
      </c>
      <c r="N17" s="14">
        <v>0.28999999999999998</v>
      </c>
      <c r="O17" s="14">
        <v>0.28999999999999998</v>
      </c>
      <c r="P17" s="14">
        <v>0.28999999999999998</v>
      </c>
      <c r="Q17" s="14">
        <v>0.32</v>
      </c>
      <c r="R17" s="14">
        <v>0.37</v>
      </c>
      <c r="S17" s="14">
        <v>0.28000000000000003</v>
      </c>
      <c r="T17" s="14">
        <v>0.24</v>
      </c>
      <c r="U17" s="14">
        <v>0.26</v>
      </c>
      <c r="V17" s="14">
        <v>0.28999999999999998</v>
      </c>
      <c r="W17" s="14">
        <v>0.3</v>
      </c>
      <c r="X17" s="14">
        <v>0.46</v>
      </c>
      <c r="Y17" s="14">
        <v>0.26</v>
      </c>
      <c r="Z17" s="14">
        <v>0.25</v>
      </c>
      <c r="AA17" s="14">
        <v>0.11</v>
      </c>
      <c r="AB17" s="14">
        <v>0.37</v>
      </c>
      <c r="AC17" s="14">
        <v>0.32</v>
      </c>
      <c r="AD17" s="14">
        <v>0.25</v>
      </c>
      <c r="AE17" s="14">
        <v>0.26</v>
      </c>
      <c r="AF17" s="14">
        <v>0.22</v>
      </c>
    </row>
    <row r="18" spans="1:32" x14ac:dyDescent="0.35">
      <c r="A18" s="31"/>
      <c r="B18" s="11" t="s">
        <v>508</v>
      </c>
      <c r="C18" s="12">
        <v>3789</v>
      </c>
      <c r="D18" s="12">
        <v>115</v>
      </c>
      <c r="E18" s="12">
        <v>381</v>
      </c>
      <c r="F18" s="12">
        <v>47</v>
      </c>
      <c r="G18" s="12">
        <v>48</v>
      </c>
      <c r="H18" s="12">
        <v>184</v>
      </c>
      <c r="I18" s="12">
        <v>256</v>
      </c>
      <c r="J18" s="12">
        <v>72</v>
      </c>
      <c r="K18" s="12">
        <v>155</v>
      </c>
      <c r="L18" s="12">
        <v>95</v>
      </c>
      <c r="M18" s="12">
        <v>201</v>
      </c>
      <c r="N18" s="12">
        <v>239</v>
      </c>
      <c r="O18" s="12">
        <v>145</v>
      </c>
      <c r="P18" s="12">
        <v>132</v>
      </c>
      <c r="Q18" s="12">
        <v>120</v>
      </c>
      <c r="R18" s="12">
        <v>119</v>
      </c>
      <c r="S18" s="12">
        <v>99</v>
      </c>
      <c r="T18" s="12">
        <v>50</v>
      </c>
      <c r="U18" s="12">
        <v>44</v>
      </c>
      <c r="V18" s="12">
        <v>197</v>
      </c>
      <c r="W18" s="12">
        <v>57</v>
      </c>
      <c r="X18" s="12">
        <v>144</v>
      </c>
      <c r="Y18" s="12">
        <v>112</v>
      </c>
      <c r="Z18" s="12">
        <v>61</v>
      </c>
      <c r="AA18" s="12">
        <v>18</v>
      </c>
      <c r="AB18" s="12">
        <v>187</v>
      </c>
      <c r="AC18" s="12">
        <v>193</v>
      </c>
      <c r="AD18" s="12">
        <v>105</v>
      </c>
      <c r="AE18" s="12">
        <v>79</v>
      </c>
      <c r="AF18" s="12">
        <v>88</v>
      </c>
    </row>
    <row r="19" spans="1:32" x14ac:dyDescent="0.35">
      <c r="A19" s="31"/>
      <c r="B19" s="13" t="s">
        <v>509</v>
      </c>
      <c r="C19" s="14">
        <v>0.15</v>
      </c>
      <c r="D19" s="14">
        <v>0.11</v>
      </c>
      <c r="E19" s="14">
        <v>0.37</v>
      </c>
      <c r="F19" s="14">
        <v>0.05</v>
      </c>
      <c r="G19" s="14">
        <v>0.05</v>
      </c>
      <c r="H19" s="14">
        <v>0.15</v>
      </c>
      <c r="I19" s="14">
        <v>0.17</v>
      </c>
      <c r="J19" s="14">
        <v>0.24</v>
      </c>
      <c r="K19" s="14">
        <v>0.15</v>
      </c>
      <c r="L19" s="14">
        <v>0.09</v>
      </c>
      <c r="M19" s="14">
        <v>0.2</v>
      </c>
      <c r="N19" s="14">
        <v>0.24</v>
      </c>
      <c r="O19" s="14">
        <v>0.15</v>
      </c>
      <c r="P19" s="14">
        <v>0.13</v>
      </c>
      <c r="Q19" s="14">
        <v>0.12</v>
      </c>
      <c r="R19" s="14">
        <v>0.24</v>
      </c>
      <c r="S19" s="14">
        <v>0.1</v>
      </c>
      <c r="T19" s="14">
        <v>0.05</v>
      </c>
      <c r="U19" s="14">
        <v>0.09</v>
      </c>
      <c r="V19" s="14">
        <v>0.19</v>
      </c>
      <c r="W19" s="14">
        <v>0.11</v>
      </c>
      <c r="X19" s="14">
        <v>0.14000000000000001</v>
      </c>
      <c r="Y19" s="14">
        <v>0.11</v>
      </c>
      <c r="Z19" s="14">
        <v>0.06</v>
      </c>
      <c r="AA19" s="14">
        <v>0.02</v>
      </c>
      <c r="AB19" s="14">
        <v>0.18</v>
      </c>
      <c r="AC19" s="14">
        <v>0.19</v>
      </c>
      <c r="AD19" s="14">
        <v>0.1</v>
      </c>
      <c r="AE19" s="14">
        <v>0.08</v>
      </c>
      <c r="AF19" s="14">
        <v>0.09</v>
      </c>
    </row>
    <row r="20" spans="1:32" x14ac:dyDescent="0.35">
      <c r="A20" s="31"/>
      <c r="B20" s="11" t="s">
        <v>344</v>
      </c>
      <c r="C20" s="12">
        <v>1654</v>
      </c>
      <c r="D20" s="12">
        <v>44</v>
      </c>
      <c r="E20" s="12">
        <v>97</v>
      </c>
      <c r="F20" s="12">
        <v>32</v>
      </c>
      <c r="G20" s="12">
        <v>48</v>
      </c>
      <c r="H20" s="12">
        <v>44</v>
      </c>
      <c r="I20" s="12">
        <v>50</v>
      </c>
      <c r="J20" s="12">
        <v>5</v>
      </c>
      <c r="K20" s="12">
        <v>124</v>
      </c>
      <c r="L20" s="12">
        <v>48</v>
      </c>
      <c r="M20" s="12">
        <v>35</v>
      </c>
      <c r="N20" s="12">
        <v>84</v>
      </c>
      <c r="O20" s="12">
        <v>151</v>
      </c>
      <c r="P20" s="12">
        <v>48</v>
      </c>
      <c r="Q20" s="12">
        <v>31</v>
      </c>
      <c r="R20" s="12">
        <v>31</v>
      </c>
      <c r="S20" s="12">
        <v>94</v>
      </c>
      <c r="T20" s="12">
        <v>88</v>
      </c>
      <c r="U20" s="12">
        <v>67</v>
      </c>
      <c r="V20" s="12">
        <v>21</v>
      </c>
      <c r="W20" s="12">
        <v>24</v>
      </c>
      <c r="X20" s="12">
        <v>52</v>
      </c>
      <c r="Y20" s="12">
        <v>29</v>
      </c>
      <c r="Z20" s="12">
        <v>54</v>
      </c>
      <c r="AA20" s="12">
        <v>67</v>
      </c>
      <c r="AB20" s="12">
        <v>76</v>
      </c>
      <c r="AC20" s="12">
        <v>37</v>
      </c>
      <c r="AD20" s="12">
        <v>55</v>
      </c>
      <c r="AE20" s="12">
        <v>37</v>
      </c>
      <c r="AF20" s="12">
        <v>22</v>
      </c>
    </row>
    <row r="21" spans="1:32" x14ac:dyDescent="0.35">
      <c r="A21" s="31"/>
      <c r="B21" s="13" t="s">
        <v>357</v>
      </c>
      <c r="C21" s="14">
        <v>0.06</v>
      </c>
      <c r="D21" s="14">
        <v>0.04</v>
      </c>
      <c r="E21" s="14">
        <v>0.09</v>
      </c>
      <c r="F21" s="14">
        <v>0.03</v>
      </c>
      <c r="G21" s="14">
        <v>0.05</v>
      </c>
      <c r="H21" s="14">
        <v>0.03</v>
      </c>
      <c r="I21" s="14">
        <v>0.03</v>
      </c>
      <c r="J21" s="14">
        <v>0.02</v>
      </c>
      <c r="K21" s="14">
        <v>0.12</v>
      </c>
      <c r="L21" s="14">
        <v>0.05</v>
      </c>
      <c r="M21" s="14">
        <v>0.04</v>
      </c>
      <c r="N21" s="14">
        <v>0.08</v>
      </c>
      <c r="O21" s="14">
        <v>0.15</v>
      </c>
      <c r="P21" s="14">
        <v>0.05</v>
      </c>
      <c r="Q21" s="14">
        <v>0.03</v>
      </c>
      <c r="R21" s="14">
        <v>0.06</v>
      </c>
      <c r="S21" s="14">
        <v>0.09</v>
      </c>
      <c r="T21" s="14">
        <v>0.09</v>
      </c>
      <c r="U21" s="14">
        <v>0.13</v>
      </c>
      <c r="V21" s="14">
        <v>0.02</v>
      </c>
      <c r="W21" s="14">
        <v>0.05</v>
      </c>
      <c r="X21" s="14">
        <v>0.05</v>
      </c>
      <c r="Y21" s="14">
        <v>0.03</v>
      </c>
      <c r="Z21" s="14">
        <v>0.05</v>
      </c>
      <c r="AA21" s="14">
        <v>7.0000000000000007E-2</v>
      </c>
      <c r="AB21" s="14">
        <v>7.0000000000000007E-2</v>
      </c>
      <c r="AC21" s="14">
        <v>0.04</v>
      </c>
      <c r="AD21" s="14">
        <v>0.06</v>
      </c>
      <c r="AE21" s="14">
        <v>0.04</v>
      </c>
      <c r="AF21" s="14">
        <v>0.02</v>
      </c>
    </row>
    <row r="22" spans="1:32" x14ac:dyDescent="0.35">
      <c r="A22" s="31"/>
      <c r="B22" s="11" t="s">
        <v>510</v>
      </c>
      <c r="C22" s="12">
        <v>13026</v>
      </c>
      <c r="D22" s="12">
        <v>544</v>
      </c>
      <c r="E22" s="12">
        <v>214</v>
      </c>
      <c r="F22" s="12">
        <v>731</v>
      </c>
      <c r="G22" s="12">
        <v>748</v>
      </c>
      <c r="H22" s="12">
        <v>622</v>
      </c>
      <c r="I22" s="12">
        <v>723</v>
      </c>
      <c r="J22" s="12">
        <v>101</v>
      </c>
      <c r="K22" s="12">
        <v>400</v>
      </c>
      <c r="L22" s="12">
        <v>678</v>
      </c>
      <c r="M22" s="12">
        <v>386</v>
      </c>
      <c r="N22" s="12">
        <v>387</v>
      </c>
      <c r="O22" s="12">
        <v>412</v>
      </c>
      <c r="P22" s="12">
        <v>534</v>
      </c>
      <c r="Q22" s="12">
        <v>549</v>
      </c>
      <c r="R22" s="12">
        <v>168</v>
      </c>
      <c r="S22" s="12">
        <v>545</v>
      </c>
      <c r="T22" s="12">
        <v>631</v>
      </c>
      <c r="U22" s="12">
        <v>264</v>
      </c>
      <c r="V22" s="12">
        <v>509</v>
      </c>
      <c r="W22" s="12">
        <v>269</v>
      </c>
      <c r="X22" s="12">
        <v>347</v>
      </c>
      <c r="Y22" s="12">
        <v>596</v>
      </c>
      <c r="Z22" s="12">
        <v>645</v>
      </c>
      <c r="AA22" s="12">
        <v>830</v>
      </c>
      <c r="AB22" s="12">
        <v>400</v>
      </c>
      <c r="AC22" s="12">
        <v>457</v>
      </c>
      <c r="AD22" s="12">
        <v>587</v>
      </c>
      <c r="AE22" s="12">
        <v>629</v>
      </c>
      <c r="AF22" s="12">
        <v>681</v>
      </c>
    </row>
    <row r="23" spans="1:32" x14ac:dyDescent="0.35">
      <c r="A23" s="31"/>
      <c r="B23" s="13" t="s">
        <v>511</v>
      </c>
      <c r="C23" s="14">
        <v>0.49</v>
      </c>
      <c r="D23" s="14">
        <v>0.54</v>
      </c>
      <c r="E23" s="14">
        <v>0.21</v>
      </c>
      <c r="F23" s="14">
        <v>0.72</v>
      </c>
      <c r="G23" s="14">
        <v>0.73</v>
      </c>
      <c r="H23" s="14">
        <v>0.51</v>
      </c>
      <c r="I23" s="14">
        <v>0.47</v>
      </c>
      <c r="J23" s="14">
        <v>0.34</v>
      </c>
      <c r="K23" s="14">
        <v>0.4</v>
      </c>
      <c r="L23" s="14">
        <v>0.68</v>
      </c>
      <c r="M23" s="14">
        <v>0.38</v>
      </c>
      <c r="N23" s="14">
        <v>0.39</v>
      </c>
      <c r="O23" s="14">
        <v>0.41</v>
      </c>
      <c r="P23" s="14">
        <v>0.53</v>
      </c>
      <c r="Q23" s="14">
        <v>0.53</v>
      </c>
      <c r="R23" s="14">
        <v>0.33</v>
      </c>
      <c r="S23" s="14">
        <v>0.53</v>
      </c>
      <c r="T23" s="14">
        <v>0.62</v>
      </c>
      <c r="U23" s="14">
        <v>0.52</v>
      </c>
      <c r="V23" s="14">
        <v>0.5</v>
      </c>
      <c r="W23" s="14">
        <v>0.54</v>
      </c>
      <c r="X23" s="14">
        <v>0.35</v>
      </c>
      <c r="Y23" s="14">
        <v>0.6</v>
      </c>
      <c r="Z23" s="14">
        <v>0.64</v>
      </c>
      <c r="AA23" s="14">
        <v>0.8</v>
      </c>
      <c r="AB23" s="14">
        <v>0.38</v>
      </c>
      <c r="AC23" s="14">
        <v>0.45</v>
      </c>
      <c r="AD23" s="14">
        <v>0.59</v>
      </c>
      <c r="AE23" s="14">
        <v>0.62</v>
      </c>
      <c r="AF23" s="14">
        <v>0.67</v>
      </c>
    </row>
    <row r="24" spans="1:32" x14ac:dyDescent="0.35">
      <c r="A24" s="31"/>
      <c r="B24" s="11" t="s">
        <v>512</v>
      </c>
      <c r="C24" s="12">
        <v>11729</v>
      </c>
      <c r="D24" s="12">
        <v>438</v>
      </c>
      <c r="E24" s="12">
        <v>728</v>
      </c>
      <c r="F24" s="12">
        <v>255</v>
      </c>
      <c r="G24" s="12">
        <v>221</v>
      </c>
      <c r="H24" s="12">
        <v>565</v>
      </c>
      <c r="I24" s="12">
        <v>757</v>
      </c>
      <c r="J24" s="12">
        <v>192</v>
      </c>
      <c r="K24" s="12">
        <v>485</v>
      </c>
      <c r="L24" s="12">
        <v>278</v>
      </c>
      <c r="M24" s="12">
        <v>584</v>
      </c>
      <c r="N24" s="12">
        <v>529</v>
      </c>
      <c r="O24" s="12">
        <v>437</v>
      </c>
      <c r="P24" s="12">
        <v>422</v>
      </c>
      <c r="Q24" s="12">
        <v>454</v>
      </c>
      <c r="R24" s="12">
        <v>303</v>
      </c>
      <c r="S24" s="12">
        <v>382</v>
      </c>
      <c r="T24" s="12">
        <v>299</v>
      </c>
      <c r="U24" s="12">
        <v>178</v>
      </c>
      <c r="V24" s="12">
        <v>485</v>
      </c>
      <c r="W24" s="12">
        <v>208</v>
      </c>
      <c r="X24" s="12">
        <v>612</v>
      </c>
      <c r="Y24" s="12">
        <v>379</v>
      </c>
      <c r="Z24" s="12">
        <v>320</v>
      </c>
      <c r="AA24" s="12">
        <v>133</v>
      </c>
      <c r="AB24" s="12">
        <v>579</v>
      </c>
      <c r="AC24" s="12">
        <v>519</v>
      </c>
      <c r="AD24" s="12">
        <v>361</v>
      </c>
      <c r="AE24" s="12">
        <v>341</v>
      </c>
      <c r="AF24" s="12">
        <v>317</v>
      </c>
    </row>
    <row r="25" spans="1:32" x14ac:dyDescent="0.35">
      <c r="A25" s="31"/>
      <c r="B25" s="13" t="s">
        <v>513</v>
      </c>
      <c r="C25" s="14">
        <v>0.45</v>
      </c>
      <c r="D25" s="14">
        <v>0.42</v>
      </c>
      <c r="E25" s="14">
        <v>0.70000000000000007</v>
      </c>
      <c r="F25" s="14">
        <v>0.25</v>
      </c>
      <c r="G25" s="14">
        <v>0.22</v>
      </c>
      <c r="H25" s="14">
        <v>0.46</v>
      </c>
      <c r="I25" s="14">
        <v>0.5</v>
      </c>
      <c r="J25" s="14">
        <v>0.64</v>
      </c>
      <c r="K25" s="14">
        <v>0.48</v>
      </c>
      <c r="L25" s="14">
        <v>0.27</v>
      </c>
      <c r="M25" s="14">
        <v>0.57999999999999996</v>
      </c>
      <c r="N25" s="14">
        <v>0.53</v>
      </c>
      <c r="O25" s="14">
        <v>0.44</v>
      </c>
      <c r="P25" s="14">
        <v>0.42</v>
      </c>
      <c r="Q25" s="14">
        <v>0.44</v>
      </c>
      <c r="R25" s="14">
        <v>0.61</v>
      </c>
      <c r="S25" s="14">
        <v>0.38</v>
      </c>
      <c r="T25" s="14">
        <v>0.28999999999999998</v>
      </c>
      <c r="U25" s="14">
        <v>0.35</v>
      </c>
      <c r="V25" s="14">
        <v>0.48</v>
      </c>
      <c r="W25" s="14">
        <v>0.41</v>
      </c>
      <c r="X25" s="14">
        <v>0.6</v>
      </c>
      <c r="Y25" s="14">
        <v>0.37</v>
      </c>
      <c r="Z25" s="14">
        <v>0.31</v>
      </c>
      <c r="AA25" s="14">
        <v>0.13</v>
      </c>
      <c r="AB25" s="14">
        <v>0.55000000000000004</v>
      </c>
      <c r="AC25" s="14">
        <v>0.51</v>
      </c>
      <c r="AD25" s="14">
        <v>0.35</v>
      </c>
      <c r="AE25" s="14">
        <v>0.34</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910</v>
      </c>
      <c r="C3" s="30"/>
      <c r="D3" s="30"/>
      <c r="E3" s="30"/>
      <c r="F3" s="30"/>
      <c r="H3" s="30" t="s">
        <v>911</v>
      </c>
      <c r="I3" s="30"/>
      <c r="J3" s="30"/>
      <c r="K3" s="30"/>
      <c r="L3" s="30"/>
    </row>
    <row r="4" spans="1:32" ht="27" customHeight="1" x14ac:dyDescent="0.35">
      <c r="B4" s="30" t="s">
        <v>912</v>
      </c>
      <c r="C4" s="30"/>
      <c r="D4" s="30"/>
      <c r="E4" s="30"/>
      <c r="F4" s="30"/>
      <c r="H4" s="30" t="s">
        <v>913</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4852</v>
      </c>
      <c r="D12" s="12">
        <v>151</v>
      </c>
      <c r="E12" s="12">
        <v>185</v>
      </c>
      <c r="F12" s="12">
        <v>194</v>
      </c>
      <c r="G12" s="12">
        <v>348</v>
      </c>
      <c r="H12" s="12">
        <v>237</v>
      </c>
      <c r="I12" s="12">
        <v>281</v>
      </c>
      <c r="J12" s="12">
        <v>44</v>
      </c>
      <c r="K12" s="12">
        <v>121</v>
      </c>
      <c r="L12" s="12">
        <v>277</v>
      </c>
      <c r="M12" s="12">
        <v>150</v>
      </c>
      <c r="N12" s="12">
        <v>170</v>
      </c>
      <c r="O12" s="12">
        <v>154</v>
      </c>
      <c r="P12" s="12">
        <v>190</v>
      </c>
      <c r="Q12" s="12">
        <v>182</v>
      </c>
      <c r="R12" s="12">
        <v>81</v>
      </c>
      <c r="S12" s="12">
        <v>166</v>
      </c>
      <c r="T12" s="12">
        <v>223</v>
      </c>
      <c r="U12" s="12">
        <v>114</v>
      </c>
      <c r="V12" s="12">
        <v>235</v>
      </c>
      <c r="W12" s="12">
        <v>102</v>
      </c>
      <c r="X12" s="12">
        <v>219</v>
      </c>
      <c r="Y12" s="12">
        <v>310</v>
      </c>
      <c r="Z12" s="12">
        <v>190</v>
      </c>
      <c r="AA12" s="12">
        <v>190</v>
      </c>
      <c r="AB12" s="12">
        <v>134</v>
      </c>
      <c r="AC12" s="12">
        <v>137</v>
      </c>
      <c r="AD12" s="12">
        <v>214</v>
      </c>
      <c r="AE12" s="12">
        <v>236</v>
      </c>
      <c r="AF12" s="12">
        <v>277</v>
      </c>
    </row>
    <row r="13" spans="1:32" x14ac:dyDescent="0.35">
      <c r="A13" s="31"/>
      <c r="B13" s="13" t="s">
        <v>503</v>
      </c>
      <c r="C13" s="14">
        <v>0.18</v>
      </c>
      <c r="D13" s="14">
        <v>0.15</v>
      </c>
      <c r="E13" s="14">
        <v>0.18</v>
      </c>
      <c r="F13" s="14">
        <v>0.19</v>
      </c>
      <c r="G13" s="14">
        <v>0.34</v>
      </c>
      <c r="H13" s="14">
        <v>0.19</v>
      </c>
      <c r="I13" s="14">
        <v>0.18</v>
      </c>
      <c r="J13" s="14">
        <v>0.15</v>
      </c>
      <c r="K13" s="14">
        <v>0.12</v>
      </c>
      <c r="L13" s="14">
        <v>0.28000000000000003</v>
      </c>
      <c r="M13" s="14">
        <v>0.15</v>
      </c>
      <c r="N13" s="14">
        <v>0.17</v>
      </c>
      <c r="O13" s="14">
        <v>0.15</v>
      </c>
      <c r="P13" s="14">
        <v>0.19</v>
      </c>
      <c r="Q13" s="14">
        <v>0.18</v>
      </c>
      <c r="R13" s="14">
        <v>0.16</v>
      </c>
      <c r="S13" s="14">
        <v>0.16</v>
      </c>
      <c r="T13" s="14">
        <v>0.22</v>
      </c>
      <c r="U13" s="14">
        <v>0.22</v>
      </c>
      <c r="V13" s="14">
        <v>0.23</v>
      </c>
      <c r="W13" s="14">
        <v>0.2</v>
      </c>
      <c r="X13" s="14">
        <v>0.22</v>
      </c>
      <c r="Y13" s="14">
        <v>0.31</v>
      </c>
      <c r="Z13" s="14">
        <v>0.19</v>
      </c>
      <c r="AA13" s="14">
        <v>0.19</v>
      </c>
      <c r="AB13" s="14">
        <v>0.13</v>
      </c>
      <c r="AC13" s="14">
        <v>0.14000000000000001</v>
      </c>
      <c r="AD13" s="14">
        <v>0.21</v>
      </c>
      <c r="AE13" s="14">
        <v>0.24</v>
      </c>
      <c r="AF13" s="14">
        <v>0.27</v>
      </c>
    </row>
    <row r="14" spans="1:32" x14ac:dyDescent="0.35">
      <c r="A14" s="31"/>
      <c r="B14" s="11" t="s">
        <v>504</v>
      </c>
      <c r="C14" s="12">
        <v>9950</v>
      </c>
      <c r="D14" s="12">
        <v>419</v>
      </c>
      <c r="E14" s="12">
        <v>382</v>
      </c>
      <c r="F14" s="12">
        <v>458</v>
      </c>
      <c r="G14" s="12">
        <v>369</v>
      </c>
      <c r="H14" s="12">
        <v>472</v>
      </c>
      <c r="I14" s="12">
        <v>556</v>
      </c>
      <c r="J14" s="12">
        <v>84</v>
      </c>
      <c r="K14" s="12">
        <v>415</v>
      </c>
      <c r="L14" s="12">
        <v>382</v>
      </c>
      <c r="M14" s="12">
        <v>326</v>
      </c>
      <c r="N14" s="12">
        <v>239</v>
      </c>
      <c r="O14" s="12">
        <v>311</v>
      </c>
      <c r="P14" s="12">
        <v>424</v>
      </c>
      <c r="Q14" s="12">
        <v>470</v>
      </c>
      <c r="R14" s="12">
        <v>163</v>
      </c>
      <c r="S14" s="12">
        <v>374</v>
      </c>
      <c r="T14" s="12">
        <v>423</v>
      </c>
      <c r="U14" s="12">
        <v>185</v>
      </c>
      <c r="V14" s="12">
        <v>397</v>
      </c>
      <c r="W14" s="12">
        <v>182</v>
      </c>
      <c r="X14" s="12">
        <v>343</v>
      </c>
      <c r="Y14" s="12">
        <v>399</v>
      </c>
      <c r="Z14" s="12">
        <v>549</v>
      </c>
      <c r="AA14" s="12">
        <v>598</v>
      </c>
      <c r="AB14" s="12">
        <v>360</v>
      </c>
      <c r="AC14" s="12">
        <v>338</v>
      </c>
      <c r="AD14" s="12">
        <v>411</v>
      </c>
      <c r="AE14" s="12">
        <v>384</v>
      </c>
      <c r="AF14" s="12">
        <v>351</v>
      </c>
    </row>
    <row r="15" spans="1:32" x14ac:dyDescent="0.35">
      <c r="A15" s="31"/>
      <c r="B15" s="13" t="s">
        <v>505</v>
      </c>
      <c r="C15" s="14">
        <v>0.38</v>
      </c>
      <c r="D15" s="14">
        <v>0.41</v>
      </c>
      <c r="E15" s="14">
        <v>0.37</v>
      </c>
      <c r="F15" s="14">
        <v>0.45</v>
      </c>
      <c r="G15" s="14">
        <v>0.36</v>
      </c>
      <c r="H15" s="14">
        <v>0.38</v>
      </c>
      <c r="I15" s="14">
        <v>0.36</v>
      </c>
      <c r="J15" s="14">
        <v>0.28000000000000003</v>
      </c>
      <c r="K15" s="14">
        <v>0.41</v>
      </c>
      <c r="L15" s="14">
        <v>0.38</v>
      </c>
      <c r="M15" s="14">
        <v>0.32</v>
      </c>
      <c r="N15" s="14">
        <v>0.24</v>
      </c>
      <c r="O15" s="14">
        <v>0.31</v>
      </c>
      <c r="P15" s="14">
        <v>0.42</v>
      </c>
      <c r="Q15" s="14">
        <v>0.45</v>
      </c>
      <c r="R15" s="14">
        <v>0.33</v>
      </c>
      <c r="S15" s="14">
        <v>0.37</v>
      </c>
      <c r="T15" s="14">
        <v>0.42</v>
      </c>
      <c r="U15" s="14">
        <v>0.36</v>
      </c>
      <c r="V15" s="14">
        <v>0.39</v>
      </c>
      <c r="W15" s="14">
        <v>0.36</v>
      </c>
      <c r="X15" s="14">
        <v>0.34</v>
      </c>
      <c r="Y15" s="14">
        <v>0.4</v>
      </c>
      <c r="Z15" s="14">
        <v>0.54</v>
      </c>
      <c r="AA15" s="14">
        <v>0.57999999999999996</v>
      </c>
      <c r="AB15" s="14">
        <v>0.34</v>
      </c>
      <c r="AC15" s="14">
        <v>0.33</v>
      </c>
      <c r="AD15" s="14">
        <v>0.41</v>
      </c>
      <c r="AE15" s="14">
        <v>0.38</v>
      </c>
      <c r="AF15" s="14">
        <v>0.35</v>
      </c>
    </row>
    <row r="16" spans="1:32" x14ac:dyDescent="0.35">
      <c r="A16" s="31"/>
      <c r="B16" s="11" t="s">
        <v>506</v>
      </c>
      <c r="C16" s="12">
        <v>7225</v>
      </c>
      <c r="D16" s="12">
        <v>312</v>
      </c>
      <c r="E16" s="12">
        <v>283</v>
      </c>
      <c r="F16" s="12">
        <v>259</v>
      </c>
      <c r="G16" s="12">
        <v>186</v>
      </c>
      <c r="H16" s="12">
        <v>344</v>
      </c>
      <c r="I16" s="12">
        <v>446</v>
      </c>
      <c r="J16" s="12">
        <v>102</v>
      </c>
      <c r="K16" s="12">
        <v>268</v>
      </c>
      <c r="L16" s="12">
        <v>205</v>
      </c>
      <c r="M16" s="12">
        <v>320</v>
      </c>
      <c r="N16" s="12">
        <v>284</v>
      </c>
      <c r="O16" s="12">
        <v>302</v>
      </c>
      <c r="P16" s="12">
        <v>259</v>
      </c>
      <c r="Q16" s="12">
        <v>276</v>
      </c>
      <c r="R16" s="12">
        <v>128</v>
      </c>
      <c r="S16" s="12">
        <v>306</v>
      </c>
      <c r="T16" s="12">
        <v>208</v>
      </c>
      <c r="U16" s="12">
        <v>125</v>
      </c>
      <c r="V16" s="12">
        <v>225</v>
      </c>
      <c r="W16" s="12">
        <v>129</v>
      </c>
      <c r="X16" s="12">
        <v>336</v>
      </c>
      <c r="Y16" s="12">
        <v>157</v>
      </c>
      <c r="Z16" s="12">
        <v>195</v>
      </c>
      <c r="AA16" s="12">
        <v>157</v>
      </c>
      <c r="AB16" s="12">
        <v>390</v>
      </c>
      <c r="AC16" s="12">
        <v>312</v>
      </c>
      <c r="AD16" s="12">
        <v>288</v>
      </c>
      <c r="AE16" s="12">
        <v>276</v>
      </c>
      <c r="AF16" s="12">
        <v>275</v>
      </c>
    </row>
    <row r="17" spans="1:32" x14ac:dyDescent="0.35">
      <c r="A17" s="31"/>
      <c r="B17" s="13" t="s">
        <v>507</v>
      </c>
      <c r="C17" s="14">
        <v>0.27</v>
      </c>
      <c r="D17" s="14">
        <v>0.3</v>
      </c>
      <c r="E17" s="14">
        <v>0.27</v>
      </c>
      <c r="F17" s="14">
        <v>0.25</v>
      </c>
      <c r="G17" s="14">
        <v>0.19</v>
      </c>
      <c r="H17" s="14">
        <v>0.28000000000000003</v>
      </c>
      <c r="I17" s="14">
        <v>0.28999999999999998</v>
      </c>
      <c r="J17" s="14">
        <v>0.34</v>
      </c>
      <c r="K17" s="14">
        <v>0.27</v>
      </c>
      <c r="L17" s="14">
        <v>0.2</v>
      </c>
      <c r="M17" s="14">
        <v>0.32</v>
      </c>
      <c r="N17" s="14">
        <v>0.28000000000000003</v>
      </c>
      <c r="O17" s="14">
        <v>0.3</v>
      </c>
      <c r="P17" s="14">
        <v>0.26</v>
      </c>
      <c r="Q17" s="14">
        <v>0.27</v>
      </c>
      <c r="R17" s="14">
        <v>0.25</v>
      </c>
      <c r="S17" s="14">
        <v>0.3</v>
      </c>
      <c r="T17" s="14">
        <v>0.2</v>
      </c>
      <c r="U17" s="14">
        <v>0.25</v>
      </c>
      <c r="V17" s="14">
        <v>0.22</v>
      </c>
      <c r="W17" s="14">
        <v>0.26</v>
      </c>
      <c r="X17" s="14">
        <v>0.33</v>
      </c>
      <c r="Y17" s="14">
        <v>0.15</v>
      </c>
      <c r="Z17" s="14">
        <v>0.19</v>
      </c>
      <c r="AA17" s="14">
        <v>0.15</v>
      </c>
      <c r="AB17" s="14">
        <v>0.37</v>
      </c>
      <c r="AC17" s="14">
        <v>0.31</v>
      </c>
      <c r="AD17" s="14">
        <v>0.28999999999999998</v>
      </c>
      <c r="AE17" s="14">
        <v>0.27</v>
      </c>
      <c r="AF17" s="14">
        <v>0.27</v>
      </c>
    </row>
    <row r="18" spans="1:32" x14ac:dyDescent="0.35">
      <c r="A18" s="31"/>
      <c r="B18" s="11" t="s">
        <v>508</v>
      </c>
      <c r="C18" s="12">
        <v>3364</v>
      </c>
      <c r="D18" s="12">
        <v>126</v>
      </c>
      <c r="E18" s="12">
        <v>126</v>
      </c>
      <c r="F18" s="12">
        <v>76</v>
      </c>
      <c r="G18" s="12">
        <v>70</v>
      </c>
      <c r="H18" s="12">
        <v>143</v>
      </c>
      <c r="I18" s="12">
        <v>206</v>
      </c>
      <c r="J18" s="12">
        <v>63</v>
      </c>
      <c r="K18" s="12">
        <v>130</v>
      </c>
      <c r="L18" s="12">
        <v>76</v>
      </c>
      <c r="M18" s="12">
        <v>188</v>
      </c>
      <c r="N18" s="12">
        <v>234</v>
      </c>
      <c r="O18" s="12">
        <v>186</v>
      </c>
      <c r="P18" s="12">
        <v>90</v>
      </c>
      <c r="Q18" s="12">
        <v>83</v>
      </c>
      <c r="R18" s="12">
        <v>111</v>
      </c>
      <c r="S18" s="12">
        <v>99</v>
      </c>
      <c r="T18" s="12">
        <v>51</v>
      </c>
      <c r="U18" s="12">
        <v>36</v>
      </c>
      <c r="V18" s="12">
        <v>151</v>
      </c>
      <c r="W18" s="12">
        <v>65</v>
      </c>
      <c r="X18" s="12">
        <v>94</v>
      </c>
      <c r="Y18" s="12">
        <v>110</v>
      </c>
      <c r="Z18" s="12">
        <v>42</v>
      </c>
      <c r="AA18" s="12">
        <v>20</v>
      </c>
      <c r="AB18" s="12">
        <v>110</v>
      </c>
      <c r="AC18" s="12">
        <v>189</v>
      </c>
      <c r="AD18" s="12">
        <v>77</v>
      </c>
      <c r="AE18" s="12">
        <v>87</v>
      </c>
      <c r="AF18" s="12">
        <v>106</v>
      </c>
    </row>
    <row r="19" spans="1:32" x14ac:dyDescent="0.35">
      <c r="A19" s="31"/>
      <c r="B19" s="13" t="s">
        <v>509</v>
      </c>
      <c r="C19" s="14">
        <v>0.13</v>
      </c>
      <c r="D19" s="14">
        <v>0.12</v>
      </c>
      <c r="E19" s="14">
        <v>0.12</v>
      </c>
      <c r="F19" s="14">
        <v>0.08</v>
      </c>
      <c r="G19" s="14">
        <v>7.0000000000000007E-2</v>
      </c>
      <c r="H19" s="14">
        <v>0.12</v>
      </c>
      <c r="I19" s="14">
        <v>0.14000000000000001</v>
      </c>
      <c r="J19" s="14">
        <v>0.21</v>
      </c>
      <c r="K19" s="14">
        <v>0.13</v>
      </c>
      <c r="L19" s="14">
        <v>0.08</v>
      </c>
      <c r="M19" s="14">
        <v>0.19</v>
      </c>
      <c r="N19" s="14">
        <v>0.24</v>
      </c>
      <c r="O19" s="14">
        <v>0.19</v>
      </c>
      <c r="P19" s="14">
        <v>0.09</v>
      </c>
      <c r="Q19" s="14">
        <v>0.08</v>
      </c>
      <c r="R19" s="14">
        <v>0.22</v>
      </c>
      <c r="S19" s="14">
        <v>0.1</v>
      </c>
      <c r="T19" s="14">
        <v>0.05</v>
      </c>
      <c r="U19" s="14">
        <v>7.0000000000000007E-2</v>
      </c>
      <c r="V19" s="14">
        <v>0.15</v>
      </c>
      <c r="W19" s="14">
        <v>0.13</v>
      </c>
      <c r="X19" s="14">
        <v>0.09</v>
      </c>
      <c r="Y19" s="14">
        <v>0.11</v>
      </c>
      <c r="Z19" s="14">
        <v>0.04</v>
      </c>
      <c r="AA19" s="14">
        <v>0.02</v>
      </c>
      <c r="AB19" s="14">
        <v>0.1</v>
      </c>
      <c r="AC19" s="14">
        <v>0.19</v>
      </c>
      <c r="AD19" s="14">
        <v>0.08</v>
      </c>
      <c r="AE19" s="14">
        <v>0.09</v>
      </c>
      <c r="AF19" s="14">
        <v>0.1</v>
      </c>
    </row>
    <row r="20" spans="1:32" x14ac:dyDescent="0.35">
      <c r="A20" s="31"/>
      <c r="B20" s="11" t="s">
        <v>344</v>
      </c>
      <c r="C20" s="12">
        <v>1018</v>
      </c>
      <c r="D20" s="12">
        <v>17</v>
      </c>
      <c r="E20" s="12">
        <v>63</v>
      </c>
      <c r="F20" s="12">
        <v>31</v>
      </c>
      <c r="G20" s="12">
        <v>44</v>
      </c>
      <c r="H20" s="12">
        <v>36</v>
      </c>
      <c r="I20" s="12">
        <v>42</v>
      </c>
      <c r="J20" s="12">
        <v>5</v>
      </c>
      <c r="K20" s="12">
        <v>76</v>
      </c>
      <c r="L20" s="12">
        <v>65</v>
      </c>
      <c r="M20" s="12">
        <v>20</v>
      </c>
      <c r="N20" s="12">
        <v>72</v>
      </c>
      <c r="O20" s="12">
        <v>47</v>
      </c>
      <c r="P20" s="12">
        <v>41</v>
      </c>
      <c r="Q20" s="12">
        <v>26</v>
      </c>
      <c r="R20" s="12">
        <v>18</v>
      </c>
      <c r="S20" s="12">
        <v>76</v>
      </c>
      <c r="T20" s="12">
        <v>111</v>
      </c>
      <c r="U20" s="12">
        <v>49</v>
      </c>
      <c r="V20" s="12">
        <v>6</v>
      </c>
      <c r="W20" s="12">
        <v>22</v>
      </c>
      <c r="X20" s="12">
        <v>17</v>
      </c>
      <c r="Y20" s="12">
        <v>27</v>
      </c>
      <c r="Z20" s="12">
        <v>43</v>
      </c>
      <c r="AA20" s="12">
        <v>65</v>
      </c>
      <c r="AB20" s="12">
        <v>62</v>
      </c>
      <c r="AC20" s="12">
        <v>36</v>
      </c>
      <c r="AD20" s="12">
        <v>13</v>
      </c>
      <c r="AE20" s="12">
        <v>24</v>
      </c>
      <c r="AF20" s="12">
        <v>10</v>
      </c>
    </row>
    <row r="21" spans="1:32" x14ac:dyDescent="0.35">
      <c r="A21" s="31"/>
      <c r="B21" s="13" t="s">
        <v>357</v>
      </c>
      <c r="C21" s="14">
        <v>0.04</v>
      </c>
      <c r="D21" s="14">
        <v>0.02</v>
      </c>
      <c r="E21" s="14">
        <v>0.06</v>
      </c>
      <c r="F21" s="14">
        <v>0.03</v>
      </c>
      <c r="G21" s="14">
        <v>0.04</v>
      </c>
      <c r="H21" s="14">
        <v>0.03</v>
      </c>
      <c r="I21" s="14">
        <v>0.03</v>
      </c>
      <c r="J21" s="14">
        <v>0.02</v>
      </c>
      <c r="K21" s="14">
        <v>7.0000000000000007E-2</v>
      </c>
      <c r="L21" s="14">
        <v>0.06</v>
      </c>
      <c r="M21" s="14">
        <v>0.02</v>
      </c>
      <c r="N21" s="14">
        <v>7.0000000000000007E-2</v>
      </c>
      <c r="O21" s="14">
        <v>0.05</v>
      </c>
      <c r="P21" s="14">
        <v>0.04</v>
      </c>
      <c r="Q21" s="14">
        <v>0.02</v>
      </c>
      <c r="R21" s="14">
        <v>0.04</v>
      </c>
      <c r="S21" s="14">
        <v>7.0000000000000007E-2</v>
      </c>
      <c r="T21" s="14">
        <v>0.11</v>
      </c>
      <c r="U21" s="14">
        <v>0.1</v>
      </c>
      <c r="V21" s="14">
        <v>0.01</v>
      </c>
      <c r="W21" s="14">
        <v>0.05</v>
      </c>
      <c r="X21" s="14">
        <v>0.02</v>
      </c>
      <c r="Y21" s="14">
        <v>0.03</v>
      </c>
      <c r="Z21" s="14">
        <v>0.04</v>
      </c>
      <c r="AA21" s="14">
        <v>0.06</v>
      </c>
      <c r="AB21" s="14">
        <v>0.06</v>
      </c>
      <c r="AC21" s="14">
        <v>0.03</v>
      </c>
      <c r="AD21" s="14">
        <v>0.01</v>
      </c>
      <c r="AE21" s="14">
        <v>0.02</v>
      </c>
      <c r="AF21" s="14">
        <v>0.01</v>
      </c>
    </row>
    <row r="22" spans="1:32" x14ac:dyDescent="0.35">
      <c r="A22" s="31"/>
      <c r="B22" s="11" t="s">
        <v>510</v>
      </c>
      <c r="C22" s="12">
        <v>14802</v>
      </c>
      <c r="D22" s="12">
        <v>570</v>
      </c>
      <c r="E22" s="12">
        <v>567</v>
      </c>
      <c r="F22" s="12">
        <v>652</v>
      </c>
      <c r="G22" s="12">
        <v>717</v>
      </c>
      <c r="H22" s="12">
        <v>709</v>
      </c>
      <c r="I22" s="12">
        <v>837</v>
      </c>
      <c r="J22" s="12">
        <v>128</v>
      </c>
      <c r="K22" s="12">
        <v>536</v>
      </c>
      <c r="L22" s="12">
        <v>659</v>
      </c>
      <c r="M22" s="12">
        <v>476</v>
      </c>
      <c r="N22" s="12">
        <v>409</v>
      </c>
      <c r="O22" s="12">
        <v>465</v>
      </c>
      <c r="P22" s="12">
        <v>614</v>
      </c>
      <c r="Q22" s="12">
        <v>652</v>
      </c>
      <c r="R22" s="12">
        <v>244</v>
      </c>
      <c r="S22" s="12">
        <v>540</v>
      </c>
      <c r="T22" s="12">
        <v>646</v>
      </c>
      <c r="U22" s="12">
        <v>299</v>
      </c>
      <c r="V22" s="12">
        <v>632</v>
      </c>
      <c r="W22" s="12">
        <v>284</v>
      </c>
      <c r="X22" s="12">
        <v>562</v>
      </c>
      <c r="Y22" s="12">
        <v>709</v>
      </c>
      <c r="Z22" s="12">
        <v>739</v>
      </c>
      <c r="AA22" s="12">
        <v>788</v>
      </c>
      <c r="AB22" s="12">
        <v>494</v>
      </c>
      <c r="AC22" s="12">
        <v>475</v>
      </c>
      <c r="AD22" s="12">
        <v>625</v>
      </c>
      <c r="AE22" s="12">
        <v>620</v>
      </c>
      <c r="AF22" s="12">
        <v>628</v>
      </c>
    </row>
    <row r="23" spans="1:32" x14ac:dyDescent="0.35">
      <c r="A23" s="31"/>
      <c r="B23" s="13" t="s">
        <v>511</v>
      </c>
      <c r="C23" s="14">
        <v>0.56000000000000005</v>
      </c>
      <c r="D23" s="14">
        <v>0.56000000000000005</v>
      </c>
      <c r="E23" s="14">
        <v>0.55000000000000004</v>
      </c>
      <c r="F23" s="14">
        <v>0.64</v>
      </c>
      <c r="G23" s="14">
        <v>0.70000000000000007</v>
      </c>
      <c r="H23" s="14">
        <v>0.57000000000000006</v>
      </c>
      <c r="I23" s="14">
        <v>0.54</v>
      </c>
      <c r="J23" s="14">
        <v>0.43</v>
      </c>
      <c r="K23" s="14">
        <v>0.53</v>
      </c>
      <c r="L23" s="14">
        <v>0.66</v>
      </c>
      <c r="M23" s="14">
        <v>0.47</v>
      </c>
      <c r="N23" s="14">
        <v>0.41</v>
      </c>
      <c r="O23" s="14">
        <v>0.46</v>
      </c>
      <c r="P23" s="14">
        <v>0.61</v>
      </c>
      <c r="Q23" s="14">
        <v>0.63</v>
      </c>
      <c r="R23" s="14">
        <v>0.49</v>
      </c>
      <c r="S23" s="14">
        <v>0.53</v>
      </c>
      <c r="T23" s="14">
        <v>0.64</v>
      </c>
      <c r="U23" s="14">
        <v>0.57999999999999996</v>
      </c>
      <c r="V23" s="14">
        <v>0.62</v>
      </c>
      <c r="W23" s="14">
        <v>0.56000000000000005</v>
      </c>
      <c r="X23" s="14">
        <v>0.56000000000000005</v>
      </c>
      <c r="Y23" s="14">
        <v>0.71</v>
      </c>
      <c r="Z23" s="14">
        <v>0.73</v>
      </c>
      <c r="AA23" s="14">
        <v>0.77</v>
      </c>
      <c r="AB23" s="14">
        <v>0.47</v>
      </c>
      <c r="AC23" s="14">
        <v>0.47</v>
      </c>
      <c r="AD23" s="14">
        <v>0.62</v>
      </c>
      <c r="AE23" s="14">
        <v>0.62</v>
      </c>
      <c r="AF23" s="14">
        <v>0.62</v>
      </c>
    </row>
    <row r="24" spans="1:32" x14ac:dyDescent="0.35">
      <c r="A24" s="31"/>
      <c r="B24" s="11" t="s">
        <v>512</v>
      </c>
      <c r="C24" s="12">
        <v>10589</v>
      </c>
      <c r="D24" s="12">
        <v>438</v>
      </c>
      <c r="E24" s="12">
        <v>409</v>
      </c>
      <c r="F24" s="12">
        <v>335</v>
      </c>
      <c r="G24" s="12">
        <v>256</v>
      </c>
      <c r="H24" s="12">
        <v>487</v>
      </c>
      <c r="I24" s="12">
        <v>652</v>
      </c>
      <c r="J24" s="12">
        <v>165</v>
      </c>
      <c r="K24" s="12">
        <v>398</v>
      </c>
      <c r="L24" s="12">
        <v>281</v>
      </c>
      <c r="M24" s="12">
        <v>508</v>
      </c>
      <c r="N24" s="12">
        <v>518</v>
      </c>
      <c r="O24" s="12">
        <v>488</v>
      </c>
      <c r="P24" s="12">
        <v>349</v>
      </c>
      <c r="Q24" s="12">
        <v>359</v>
      </c>
      <c r="R24" s="12">
        <v>239</v>
      </c>
      <c r="S24" s="12">
        <v>405</v>
      </c>
      <c r="T24" s="12">
        <v>259</v>
      </c>
      <c r="U24" s="12">
        <v>161</v>
      </c>
      <c r="V24" s="12">
        <v>376</v>
      </c>
      <c r="W24" s="12">
        <v>194</v>
      </c>
      <c r="X24" s="12">
        <v>430</v>
      </c>
      <c r="Y24" s="12">
        <v>267</v>
      </c>
      <c r="Z24" s="12">
        <v>237</v>
      </c>
      <c r="AA24" s="12">
        <v>177</v>
      </c>
      <c r="AB24" s="12">
        <v>500</v>
      </c>
      <c r="AC24" s="12">
        <v>501</v>
      </c>
      <c r="AD24" s="12">
        <v>365</v>
      </c>
      <c r="AE24" s="12">
        <v>363</v>
      </c>
      <c r="AF24" s="12">
        <v>381</v>
      </c>
    </row>
    <row r="25" spans="1:32" x14ac:dyDescent="0.35">
      <c r="A25" s="31"/>
      <c r="B25" s="13" t="s">
        <v>513</v>
      </c>
      <c r="C25" s="14">
        <v>0.4</v>
      </c>
      <c r="D25" s="14">
        <v>0.42</v>
      </c>
      <c r="E25" s="14">
        <v>0.39</v>
      </c>
      <c r="F25" s="14">
        <v>0.33</v>
      </c>
      <c r="G25" s="14">
        <v>0.26</v>
      </c>
      <c r="H25" s="14">
        <v>0.4</v>
      </c>
      <c r="I25" s="14">
        <v>0.43</v>
      </c>
      <c r="J25" s="14">
        <v>0.55000000000000004</v>
      </c>
      <c r="K25" s="14">
        <v>0.4</v>
      </c>
      <c r="L25" s="14">
        <v>0.28000000000000003</v>
      </c>
      <c r="M25" s="14">
        <v>0.51</v>
      </c>
      <c r="N25" s="14">
        <v>0.52</v>
      </c>
      <c r="O25" s="14">
        <v>0.49</v>
      </c>
      <c r="P25" s="14">
        <v>0.35</v>
      </c>
      <c r="Q25" s="14">
        <v>0.35</v>
      </c>
      <c r="R25" s="14">
        <v>0.47</v>
      </c>
      <c r="S25" s="14">
        <v>0.4</v>
      </c>
      <c r="T25" s="14">
        <v>0.25</v>
      </c>
      <c r="U25" s="14">
        <v>0.32</v>
      </c>
      <c r="V25" s="14">
        <v>0.37</v>
      </c>
      <c r="W25" s="14">
        <v>0.39</v>
      </c>
      <c r="X25" s="14">
        <v>0.42</v>
      </c>
      <c r="Y25" s="14">
        <v>0.26</v>
      </c>
      <c r="Z25" s="14">
        <v>0.23</v>
      </c>
      <c r="AA25" s="14">
        <v>0.17</v>
      </c>
      <c r="AB25" s="14">
        <v>0.47</v>
      </c>
      <c r="AC25" s="14">
        <v>0.5</v>
      </c>
      <c r="AD25" s="14">
        <v>0.37</v>
      </c>
      <c r="AE25" s="14">
        <v>0.36</v>
      </c>
      <c r="AF25" s="14">
        <v>0.37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914</v>
      </c>
      <c r="C3" s="30"/>
      <c r="D3" s="30"/>
      <c r="E3" s="30"/>
      <c r="F3" s="30"/>
      <c r="H3" s="30" t="s">
        <v>915</v>
      </c>
      <c r="I3" s="30"/>
      <c r="J3" s="30"/>
      <c r="K3" s="30"/>
      <c r="L3" s="30"/>
    </row>
    <row r="4" spans="1:32" ht="27" customHeight="1" x14ac:dyDescent="0.35">
      <c r="B4" s="30" t="s">
        <v>916</v>
      </c>
      <c r="C4" s="30"/>
      <c r="D4" s="30"/>
      <c r="E4" s="30"/>
      <c r="F4" s="30"/>
      <c r="H4" s="30" t="s">
        <v>917</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3856</v>
      </c>
      <c r="D12" s="12">
        <v>158</v>
      </c>
      <c r="E12" s="12">
        <v>93</v>
      </c>
      <c r="F12" s="12">
        <v>167</v>
      </c>
      <c r="G12" s="12">
        <v>162</v>
      </c>
      <c r="H12" s="12">
        <v>154</v>
      </c>
      <c r="I12" s="12">
        <v>181</v>
      </c>
      <c r="J12" s="12">
        <v>27</v>
      </c>
      <c r="K12" s="12">
        <v>80</v>
      </c>
      <c r="L12" s="12">
        <v>252</v>
      </c>
      <c r="M12" s="12">
        <v>118</v>
      </c>
      <c r="N12" s="12">
        <v>73</v>
      </c>
      <c r="O12" s="12">
        <v>186</v>
      </c>
      <c r="P12" s="12">
        <v>168</v>
      </c>
      <c r="Q12" s="12">
        <v>202</v>
      </c>
      <c r="R12" s="12">
        <v>16</v>
      </c>
      <c r="S12" s="12">
        <v>107</v>
      </c>
      <c r="T12" s="12">
        <v>132</v>
      </c>
      <c r="U12" s="12">
        <v>129</v>
      </c>
      <c r="V12" s="12">
        <v>216</v>
      </c>
      <c r="W12" s="12">
        <v>90</v>
      </c>
      <c r="X12" s="12">
        <v>129</v>
      </c>
      <c r="Y12" s="12">
        <v>202</v>
      </c>
      <c r="Z12" s="12">
        <v>163</v>
      </c>
      <c r="AA12" s="12">
        <v>122</v>
      </c>
      <c r="AB12" s="12">
        <v>106</v>
      </c>
      <c r="AC12" s="12">
        <v>73</v>
      </c>
      <c r="AD12" s="12">
        <v>175</v>
      </c>
      <c r="AE12" s="12">
        <v>123</v>
      </c>
      <c r="AF12" s="12">
        <v>166</v>
      </c>
    </row>
    <row r="13" spans="1:32" x14ac:dyDescent="0.35">
      <c r="A13" s="31"/>
      <c r="B13" s="13" t="s">
        <v>503</v>
      </c>
      <c r="C13" s="14">
        <v>0.15</v>
      </c>
      <c r="D13" s="14">
        <v>0.15</v>
      </c>
      <c r="E13" s="14">
        <v>0.09</v>
      </c>
      <c r="F13" s="14">
        <v>0.16</v>
      </c>
      <c r="G13" s="14">
        <v>0.16</v>
      </c>
      <c r="H13" s="14">
        <v>0.12</v>
      </c>
      <c r="I13" s="14">
        <v>0.12</v>
      </c>
      <c r="J13" s="14">
        <v>0.09</v>
      </c>
      <c r="K13" s="14">
        <v>0.08</v>
      </c>
      <c r="L13" s="14">
        <v>0.25</v>
      </c>
      <c r="M13" s="14">
        <v>0.12</v>
      </c>
      <c r="N13" s="14">
        <v>7.0000000000000007E-2</v>
      </c>
      <c r="O13" s="14">
        <v>0.19</v>
      </c>
      <c r="P13" s="14">
        <v>0.17</v>
      </c>
      <c r="Q13" s="14">
        <v>0.19</v>
      </c>
      <c r="R13" s="14">
        <v>0.03</v>
      </c>
      <c r="S13" s="14">
        <v>0.11</v>
      </c>
      <c r="T13" s="14">
        <v>0.13</v>
      </c>
      <c r="U13" s="14">
        <v>0.25</v>
      </c>
      <c r="V13" s="14">
        <v>0.21</v>
      </c>
      <c r="W13" s="14">
        <v>0.18</v>
      </c>
      <c r="X13" s="14">
        <v>0.13</v>
      </c>
      <c r="Y13" s="14">
        <v>0.2</v>
      </c>
      <c r="Z13" s="14">
        <v>0.16</v>
      </c>
      <c r="AA13" s="14">
        <v>0.12</v>
      </c>
      <c r="AB13" s="14">
        <v>0.1</v>
      </c>
      <c r="AC13" s="14">
        <v>7.0000000000000007E-2</v>
      </c>
      <c r="AD13" s="14">
        <v>0.17</v>
      </c>
      <c r="AE13" s="14">
        <v>0.12</v>
      </c>
      <c r="AF13" s="14">
        <v>0.16</v>
      </c>
    </row>
    <row r="14" spans="1:32" x14ac:dyDescent="0.35">
      <c r="A14" s="31"/>
      <c r="B14" s="11" t="s">
        <v>504</v>
      </c>
      <c r="C14" s="12">
        <v>9485</v>
      </c>
      <c r="D14" s="12">
        <v>405</v>
      </c>
      <c r="E14" s="12">
        <v>237</v>
      </c>
      <c r="F14" s="12">
        <v>373</v>
      </c>
      <c r="G14" s="12">
        <v>400</v>
      </c>
      <c r="H14" s="12">
        <v>468</v>
      </c>
      <c r="I14" s="12">
        <v>543</v>
      </c>
      <c r="J14" s="12">
        <v>75</v>
      </c>
      <c r="K14" s="12">
        <v>312</v>
      </c>
      <c r="L14" s="12">
        <v>355</v>
      </c>
      <c r="M14" s="12">
        <v>202</v>
      </c>
      <c r="N14" s="12">
        <v>212</v>
      </c>
      <c r="O14" s="12">
        <v>395</v>
      </c>
      <c r="P14" s="12">
        <v>458</v>
      </c>
      <c r="Q14" s="12">
        <v>369</v>
      </c>
      <c r="R14" s="12">
        <v>109</v>
      </c>
      <c r="S14" s="12">
        <v>362</v>
      </c>
      <c r="T14" s="12">
        <v>300</v>
      </c>
      <c r="U14" s="12">
        <v>206</v>
      </c>
      <c r="V14" s="12">
        <v>379</v>
      </c>
      <c r="W14" s="12">
        <v>127</v>
      </c>
      <c r="X14" s="12">
        <v>389</v>
      </c>
      <c r="Y14" s="12">
        <v>389</v>
      </c>
      <c r="Z14" s="12">
        <v>526</v>
      </c>
      <c r="AA14" s="12">
        <v>406</v>
      </c>
      <c r="AB14" s="12">
        <v>331</v>
      </c>
      <c r="AC14" s="12">
        <v>250</v>
      </c>
      <c r="AD14" s="12">
        <v>391</v>
      </c>
      <c r="AE14" s="12">
        <v>465</v>
      </c>
      <c r="AF14" s="12">
        <v>438</v>
      </c>
    </row>
    <row r="15" spans="1:32" x14ac:dyDescent="0.35">
      <c r="A15" s="31"/>
      <c r="B15" s="13" t="s">
        <v>505</v>
      </c>
      <c r="C15" s="14">
        <v>0.36</v>
      </c>
      <c r="D15" s="14">
        <v>0.4</v>
      </c>
      <c r="E15" s="14">
        <v>0.23</v>
      </c>
      <c r="F15" s="14">
        <v>0.37</v>
      </c>
      <c r="G15" s="14">
        <v>0.39</v>
      </c>
      <c r="H15" s="14">
        <v>0.38</v>
      </c>
      <c r="I15" s="14">
        <v>0.35</v>
      </c>
      <c r="J15" s="14">
        <v>0.25</v>
      </c>
      <c r="K15" s="14">
        <v>0.31</v>
      </c>
      <c r="L15" s="14">
        <v>0.35</v>
      </c>
      <c r="M15" s="14">
        <v>0.2</v>
      </c>
      <c r="N15" s="14">
        <v>0.21</v>
      </c>
      <c r="O15" s="14">
        <v>0.39</v>
      </c>
      <c r="P15" s="14">
        <v>0.45</v>
      </c>
      <c r="Q15" s="14">
        <v>0.36</v>
      </c>
      <c r="R15" s="14">
        <v>0.22</v>
      </c>
      <c r="S15" s="14">
        <v>0.35</v>
      </c>
      <c r="T15" s="14">
        <v>0.3</v>
      </c>
      <c r="U15" s="14">
        <v>0.41</v>
      </c>
      <c r="V15" s="14">
        <v>0.38</v>
      </c>
      <c r="W15" s="14">
        <v>0.25</v>
      </c>
      <c r="X15" s="14">
        <v>0.38</v>
      </c>
      <c r="Y15" s="14">
        <v>0.39</v>
      </c>
      <c r="Z15" s="14">
        <v>0.52</v>
      </c>
      <c r="AA15" s="14">
        <v>0.39</v>
      </c>
      <c r="AB15" s="14">
        <v>0.31</v>
      </c>
      <c r="AC15" s="14">
        <v>0.25</v>
      </c>
      <c r="AD15" s="14">
        <v>0.39</v>
      </c>
      <c r="AE15" s="14">
        <v>0.46</v>
      </c>
      <c r="AF15" s="14">
        <v>0.43</v>
      </c>
    </row>
    <row r="16" spans="1:32" x14ac:dyDescent="0.35">
      <c r="A16" s="31"/>
      <c r="B16" s="11" t="s">
        <v>506</v>
      </c>
      <c r="C16" s="12">
        <v>7802</v>
      </c>
      <c r="D16" s="12">
        <v>304</v>
      </c>
      <c r="E16" s="12">
        <v>343</v>
      </c>
      <c r="F16" s="12">
        <v>326</v>
      </c>
      <c r="G16" s="12">
        <v>291</v>
      </c>
      <c r="H16" s="12">
        <v>390</v>
      </c>
      <c r="I16" s="12">
        <v>504</v>
      </c>
      <c r="J16" s="12">
        <v>114</v>
      </c>
      <c r="K16" s="12">
        <v>351</v>
      </c>
      <c r="L16" s="12">
        <v>231</v>
      </c>
      <c r="M16" s="12">
        <v>363</v>
      </c>
      <c r="N16" s="12">
        <v>301</v>
      </c>
      <c r="O16" s="12">
        <v>248</v>
      </c>
      <c r="P16" s="12">
        <v>239</v>
      </c>
      <c r="Q16" s="12">
        <v>313</v>
      </c>
      <c r="R16" s="12">
        <v>149</v>
      </c>
      <c r="S16" s="12">
        <v>299</v>
      </c>
      <c r="T16" s="12">
        <v>328</v>
      </c>
      <c r="U16" s="12">
        <v>82</v>
      </c>
      <c r="V16" s="12">
        <v>236</v>
      </c>
      <c r="W16" s="12">
        <v>111</v>
      </c>
      <c r="X16" s="12">
        <v>371</v>
      </c>
      <c r="Y16" s="12">
        <v>248</v>
      </c>
      <c r="Z16" s="12">
        <v>229</v>
      </c>
      <c r="AA16" s="12">
        <v>299</v>
      </c>
      <c r="AB16" s="12">
        <v>383</v>
      </c>
      <c r="AC16" s="12">
        <v>402</v>
      </c>
      <c r="AD16" s="12">
        <v>281</v>
      </c>
      <c r="AE16" s="12">
        <v>283</v>
      </c>
      <c r="AF16" s="12">
        <v>309</v>
      </c>
    </row>
    <row r="17" spans="1:32" x14ac:dyDescent="0.35">
      <c r="A17" s="31"/>
      <c r="B17" s="13" t="s">
        <v>507</v>
      </c>
      <c r="C17" s="14">
        <v>0.28999999999999998</v>
      </c>
      <c r="D17" s="14">
        <v>0.3</v>
      </c>
      <c r="E17" s="14">
        <v>0.33</v>
      </c>
      <c r="F17" s="14">
        <v>0.32</v>
      </c>
      <c r="G17" s="14">
        <v>0.28999999999999998</v>
      </c>
      <c r="H17" s="14">
        <v>0.32</v>
      </c>
      <c r="I17" s="14">
        <v>0.33</v>
      </c>
      <c r="J17" s="14">
        <v>0.38</v>
      </c>
      <c r="K17" s="14">
        <v>0.35</v>
      </c>
      <c r="L17" s="14">
        <v>0.23</v>
      </c>
      <c r="M17" s="14">
        <v>0.36</v>
      </c>
      <c r="N17" s="14">
        <v>0.3</v>
      </c>
      <c r="O17" s="14">
        <v>0.25</v>
      </c>
      <c r="P17" s="14">
        <v>0.24</v>
      </c>
      <c r="Q17" s="14">
        <v>0.3</v>
      </c>
      <c r="R17" s="14">
        <v>0.3</v>
      </c>
      <c r="S17" s="14">
        <v>0.28999999999999998</v>
      </c>
      <c r="T17" s="14">
        <v>0.32</v>
      </c>
      <c r="U17" s="14">
        <v>0.16</v>
      </c>
      <c r="V17" s="14">
        <v>0.23</v>
      </c>
      <c r="W17" s="14">
        <v>0.22</v>
      </c>
      <c r="X17" s="14">
        <v>0.37</v>
      </c>
      <c r="Y17" s="14">
        <v>0.25</v>
      </c>
      <c r="Z17" s="14">
        <v>0.22</v>
      </c>
      <c r="AA17" s="14">
        <v>0.28999999999999998</v>
      </c>
      <c r="AB17" s="14">
        <v>0.36</v>
      </c>
      <c r="AC17" s="14">
        <v>0.4</v>
      </c>
      <c r="AD17" s="14">
        <v>0.28000000000000003</v>
      </c>
      <c r="AE17" s="14">
        <v>0.28000000000000003</v>
      </c>
      <c r="AF17" s="14">
        <v>0.3</v>
      </c>
    </row>
    <row r="18" spans="1:32" x14ac:dyDescent="0.35">
      <c r="A18" s="31"/>
      <c r="B18" s="11" t="s">
        <v>508</v>
      </c>
      <c r="C18" s="12">
        <v>3937</v>
      </c>
      <c r="D18" s="12">
        <v>126</v>
      </c>
      <c r="E18" s="12">
        <v>293</v>
      </c>
      <c r="F18" s="12">
        <v>97</v>
      </c>
      <c r="G18" s="12">
        <v>104</v>
      </c>
      <c r="H18" s="12">
        <v>158</v>
      </c>
      <c r="I18" s="12">
        <v>229</v>
      </c>
      <c r="J18" s="12">
        <v>70</v>
      </c>
      <c r="K18" s="12">
        <v>180</v>
      </c>
      <c r="L18" s="12">
        <v>108</v>
      </c>
      <c r="M18" s="12">
        <v>288</v>
      </c>
      <c r="N18" s="12">
        <v>361</v>
      </c>
      <c r="O18" s="12">
        <v>107</v>
      </c>
      <c r="P18" s="12">
        <v>92</v>
      </c>
      <c r="Q18" s="12">
        <v>121</v>
      </c>
      <c r="R18" s="12">
        <v>206</v>
      </c>
      <c r="S18" s="12">
        <v>130</v>
      </c>
      <c r="T18" s="12">
        <v>145</v>
      </c>
      <c r="U18" s="12">
        <v>37</v>
      </c>
      <c r="V18" s="12">
        <v>162</v>
      </c>
      <c r="W18" s="12">
        <v>153</v>
      </c>
      <c r="X18" s="12">
        <v>93</v>
      </c>
      <c r="Y18" s="12">
        <v>117</v>
      </c>
      <c r="Z18" s="12">
        <v>33</v>
      </c>
      <c r="AA18" s="12">
        <v>125</v>
      </c>
      <c r="AB18" s="12">
        <v>165</v>
      </c>
      <c r="AC18" s="12">
        <v>248</v>
      </c>
      <c r="AD18" s="12">
        <v>107</v>
      </c>
      <c r="AE18" s="12">
        <v>80</v>
      </c>
      <c r="AF18" s="12">
        <v>83</v>
      </c>
    </row>
    <row r="19" spans="1:32" x14ac:dyDescent="0.35">
      <c r="A19" s="31"/>
      <c r="B19" s="13" t="s">
        <v>509</v>
      </c>
      <c r="C19" s="14">
        <v>0.15</v>
      </c>
      <c r="D19" s="14">
        <v>0.12</v>
      </c>
      <c r="E19" s="14">
        <v>0.28000000000000003</v>
      </c>
      <c r="F19" s="14">
        <v>0.1</v>
      </c>
      <c r="G19" s="14">
        <v>0.1</v>
      </c>
      <c r="H19" s="14">
        <v>0.13</v>
      </c>
      <c r="I19" s="14">
        <v>0.15</v>
      </c>
      <c r="J19" s="14">
        <v>0.24</v>
      </c>
      <c r="K19" s="14">
        <v>0.18</v>
      </c>
      <c r="L19" s="14">
        <v>0.11</v>
      </c>
      <c r="M19" s="14">
        <v>0.28999999999999998</v>
      </c>
      <c r="N19" s="14">
        <v>0.36</v>
      </c>
      <c r="O19" s="14">
        <v>0.11</v>
      </c>
      <c r="P19" s="14">
        <v>0.09</v>
      </c>
      <c r="Q19" s="14">
        <v>0.12</v>
      </c>
      <c r="R19" s="14">
        <v>0.41</v>
      </c>
      <c r="S19" s="14">
        <v>0.13</v>
      </c>
      <c r="T19" s="14">
        <v>0.14000000000000001</v>
      </c>
      <c r="U19" s="14">
        <v>7.0000000000000007E-2</v>
      </c>
      <c r="V19" s="14">
        <v>0.16</v>
      </c>
      <c r="W19" s="14">
        <v>0.31</v>
      </c>
      <c r="X19" s="14">
        <v>0.09</v>
      </c>
      <c r="Y19" s="14">
        <v>0.12</v>
      </c>
      <c r="Z19" s="14">
        <v>0.03</v>
      </c>
      <c r="AA19" s="14">
        <v>0.12</v>
      </c>
      <c r="AB19" s="14">
        <v>0.16</v>
      </c>
      <c r="AC19" s="14">
        <v>0.24</v>
      </c>
      <c r="AD19" s="14">
        <v>0.11</v>
      </c>
      <c r="AE19" s="14">
        <v>0.08</v>
      </c>
      <c r="AF19" s="14">
        <v>0.08</v>
      </c>
    </row>
    <row r="20" spans="1:32" x14ac:dyDescent="0.35">
      <c r="A20" s="31"/>
      <c r="B20" s="11" t="s">
        <v>344</v>
      </c>
      <c r="C20" s="12">
        <v>1329</v>
      </c>
      <c r="D20" s="12">
        <v>31</v>
      </c>
      <c r="E20" s="12">
        <v>73</v>
      </c>
      <c r="F20" s="12">
        <v>54</v>
      </c>
      <c r="G20" s="12">
        <v>60</v>
      </c>
      <c r="H20" s="12">
        <v>63</v>
      </c>
      <c r="I20" s="12">
        <v>74</v>
      </c>
      <c r="J20" s="12">
        <v>11</v>
      </c>
      <c r="K20" s="12">
        <v>86</v>
      </c>
      <c r="L20" s="12">
        <v>59</v>
      </c>
      <c r="M20" s="12">
        <v>33</v>
      </c>
      <c r="N20" s="12">
        <v>53</v>
      </c>
      <c r="O20" s="12">
        <v>64</v>
      </c>
      <c r="P20" s="12">
        <v>47</v>
      </c>
      <c r="Q20" s="12">
        <v>30</v>
      </c>
      <c r="R20" s="12">
        <v>21</v>
      </c>
      <c r="S20" s="12">
        <v>122</v>
      </c>
      <c r="T20" s="12">
        <v>113</v>
      </c>
      <c r="U20" s="12">
        <v>54</v>
      </c>
      <c r="V20" s="12">
        <v>21</v>
      </c>
      <c r="W20" s="12">
        <v>20</v>
      </c>
      <c r="X20" s="12">
        <v>28</v>
      </c>
      <c r="Y20" s="12">
        <v>46</v>
      </c>
      <c r="Z20" s="12">
        <v>68</v>
      </c>
      <c r="AA20" s="12">
        <v>79</v>
      </c>
      <c r="AB20" s="12">
        <v>71</v>
      </c>
      <c r="AC20" s="12">
        <v>39</v>
      </c>
      <c r="AD20" s="12">
        <v>49</v>
      </c>
      <c r="AE20" s="12">
        <v>55</v>
      </c>
      <c r="AF20" s="12">
        <v>24</v>
      </c>
    </row>
    <row r="21" spans="1:32" x14ac:dyDescent="0.35">
      <c r="A21" s="31"/>
      <c r="B21" s="13" t="s">
        <v>357</v>
      </c>
      <c r="C21" s="14">
        <v>0.05</v>
      </c>
      <c r="D21" s="14">
        <v>0.03</v>
      </c>
      <c r="E21" s="14">
        <v>7.0000000000000007E-2</v>
      </c>
      <c r="F21" s="14">
        <v>0.05</v>
      </c>
      <c r="G21" s="14">
        <v>0.06</v>
      </c>
      <c r="H21" s="14">
        <v>0.05</v>
      </c>
      <c r="I21" s="14">
        <v>0.05</v>
      </c>
      <c r="J21" s="14">
        <v>0.04</v>
      </c>
      <c r="K21" s="14">
        <v>0.08</v>
      </c>
      <c r="L21" s="14">
        <v>0.06</v>
      </c>
      <c r="M21" s="14">
        <v>0.03</v>
      </c>
      <c r="N21" s="14">
        <v>0.06</v>
      </c>
      <c r="O21" s="14">
        <v>0.06</v>
      </c>
      <c r="P21" s="14">
        <v>0.05</v>
      </c>
      <c r="Q21" s="14">
        <v>0.03</v>
      </c>
      <c r="R21" s="14">
        <v>0.04</v>
      </c>
      <c r="S21" s="14">
        <v>0.12</v>
      </c>
      <c r="T21" s="14">
        <v>0.11</v>
      </c>
      <c r="U21" s="14">
        <v>0.11</v>
      </c>
      <c r="V21" s="14">
        <v>0.02</v>
      </c>
      <c r="W21" s="14">
        <v>0.04</v>
      </c>
      <c r="X21" s="14">
        <v>0.03</v>
      </c>
      <c r="Y21" s="14">
        <v>0.04</v>
      </c>
      <c r="Z21" s="14">
        <v>7.0000000000000007E-2</v>
      </c>
      <c r="AA21" s="14">
        <v>0.08</v>
      </c>
      <c r="AB21" s="14">
        <v>7.0000000000000007E-2</v>
      </c>
      <c r="AC21" s="14">
        <v>0.04</v>
      </c>
      <c r="AD21" s="14">
        <v>0.05</v>
      </c>
      <c r="AE21" s="14">
        <v>0.06</v>
      </c>
      <c r="AF21" s="14">
        <v>0.03</v>
      </c>
    </row>
    <row r="22" spans="1:32" x14ac:dyDescent="0.35">
      <c r="A22" s="31"/>
      <c r="B22" s="11" t="s">
        <v>510</v>
      </c>
      <c r="C22" s="12">
        <v>13341</v>
      </c>
      <c r="D22" s="12">
        <v>563</v>
      </c>
      <c r="E22" s="12">
        <v>330</v>
      </c>
      <c r="F22" s="12">
        <v>540</v>
      </c>
      <c r="G22" s="12">
        <v>562</v>
      </c>
      <c r="H22" s="12">
        <v>622</v>
      </c>
      <c r="I22" s="12">
        <v>724</v>
      </c>
      <c r="J22" s="12">
        <v>102</v>
      </c>
      <c r="K22" s="12">
        <v>392</v>
      </c>
      <c r="L22" s="12">
        <v>607</v>
      </c>
      <c r="M22" s="12">
        <v>320</v>
      </c>
      <c r="N22" s="12">
        <v>285</v>
      </c>
      <c r="O22" s="12">
        <v>581</v>
      </c>
      <c r="P22" s="12">
        <v>626</v>
      </c>
      <c r="Q22" s="12">
        <v>571</v>
      </c>
      <c r="R22" s="12">
        <v>125</v>
      </c>
      <c r="S22" s="12">
        <v>469</v>
      </c>
      <c r="T22" s="12">
        <v>432</v>
      </c>
      <c r="U22" s="12">
        <v>335</v>
      </c>
      <c r="V22" s="12">
        <v>595</v>
      </c>
      <c r="W22" s="12">
        <v>217</v>
      </c>
      <c r="X22" s="12">
        <v>518</v>
      </c>
      <c r="Y22" s="12">
        <v>591</v>
      </c>
      <c r="Z22" s="12">
        <v>689</v>
      </c>
      <c r="AA22" s="12">
        <v>528</v>
      </c>
      <c r="AB22" s="12">
        <v>437</v>
      </c>
      <c r="AC22" s="12">
        <v>323</v>
      </c>
      <c r="AD22" s="12">
        <v>566</v>
      </c>
      <c r="AE22" s="12">
        <v>588</v>
      </c>
      <c r="AF22" s="12">
        <v>604</v>
      </c>
    </row>
    <row r="23" spans="1:32" x14ac:dyDescent="0.35">
      <c r="A23" s="31"/>
      <c r="B23" s="13" t="s">
        <v>511</v>
      </c>
      <c r="C23" s="14">
        <v>0.51</v>
      </c>
      <c r="D23" s="14">
        <v>0.55000000000000004</v>
      </c>
      <c r="E23" s="14">
        <v>0.32</v>
      </c>
      <c r="F23" s="14">
        <v>0.53</v>
      </c>
      <c r="G23" s="14">
        <v>0.55000000000000004</v>
      </c>
      <c r="H23" s="14">
        <v>0.5</v>
      </c>
      <c r="I23" s="14">
        <v>0.47</v>
      </c>
      <c r="J23" s="14">
        <v>0.34</v>
      </c>
      <c r="K23" s="14">
        <v>0.39</v>
      </c>
      <c r="L23" s="14">
        <v>0.6</v>
      </c>
      <c r="M23" s="14">
        <v>0.32</v>
      </c>
      <c r="N23" s="14">
        <v>0.28000000000000003</v>
      </c>
      <c r="O23" s="14">
        <v>0.57999999999999996</v>
      </c>
      <c r="P23" s="14">
        <v>0.62</v>
      </c>
      <c r="Q23" s="14">
        <v>0.55000000000000004</v>
      </c>
      <c r="R23" s="14">
        <v>0.25</v>
      </c>
      <c r="S23" s="14">
        <v>0.46</v>
      </c>
      <c r="T23" s="14">
        <v>0.43</v>
      </c>
      <c r="U23" s="14">
        <v>0.66</v>
      </c>
      <c r="V23" s="14">
        <v>0.59</v>
      </c>
      <c r="W23" s="14">
        <v>0.43</v>
      </c>
      <c r="X23" s="14">
        <v>0.51</v>
      </c>
      <c r="Y23" s="14">
        <v>0.59</v>
      </c>
      <c r="Z23" s="14">
        <v>0.68</v>
      </c>
      <c r="AA23" s="14">
        <v>0.51</v>
      </c>
      <c r="AB23" s="14">
        <v>0.41</v>
      </c>
      <c r="AC23" s="14">
        <v>0.32</v>
      </c>
      <c r="AD23" s="14">
        <v>0.56000000000000005</v>
      </c>
      <c r="AE23" s="14">
        <v>0.57999999999999996</v>
      </c>
      <c r="AF23" s="14">
        <v>0.59</v>
      </c>
    </row>
    <row r="24" spans="1:32" x14ac:dyDescent="0.35">
      <c r="A24" s="31"/>
      <c r="B24" s="11" t="s">
        <v>512</v>
      </c>
      <c r="C24" s="12">
        <v>11739</v>
      </c>
      <c r="D24" s="12">
        <v>430</v>
      </c>
      <c r="E24" s="12">
        <v>636</v>
      </c>
      <c r="F24" s="12">
        <v>423</v>
      </c>
      <c r="G24" s="12">
        <v>395</v>
      </c>
      <c r="H24" s="12">
        <v>548</v>
      </c>
      <c r="I24" s="12">
        <v>733</v>
      </c>
      <c r="J24" s="12">
        <v>184</v>
      </c>
      <c r="K24" s="12">
        <v>531</v>
      </c>
      <c r="L24" s="12">
        <v>339</v>
      </c>
      <c r="M24" s="12">
        <v>651</v>
      </c>
      <c r="N24" s="12">
        <v>662</v>
      </c>
      <c r="O24" s="12">
        <v>355</v>
      </c>
      <c r="P24" s="12">
        <v>331</v>
      </c>
      <c r="Q24" s="12">
        <v>434</v>
      </c>
      <c r="R24" s="12">
        <v>355</v>
      </c>
      <c r="S24" s="12">
        <v>429</v>
      </c>
      <c r="T24" s="12">
        <v>473</v>
      </c>
      <c r="U24" s="12">
        <v>119</v>
      </c>
      <c r="V24" s="12">
        <v>398</v>
      </c>
      <c r="W24" s="12">
        <v>264</v>
      </c>
      <c r="X24" s="12">
        <v>464</v>
      </c>
      <c r="Y24" s="12">
        <v>365</v>
      </c>
      <c r="Z24" s="12">
        <v>262</v>
      </c>
      <c r="AA24" s="12">
        <v>424</v>
      </c>
      <c r="AB24" s="12">
        <v>548</v>
      </c>
      <c r="AC24" s="12">
        <v>650</v>
      </c>
      <c r="AD24" s="12">
        <v>388</v>
      </c>
      <c r="AE24" s="12">
        <v>363</v>
      </c>
      <c r="AF24" s="12">
        <v>392</v>
      </c>
    </row>
    <row r="25" spans="1:32" x14ac:dyDescent="0.35">
      <c r="A25" s="31"/>
      <c r="B25" s="13" t="s">
        <v>513</v>
      </c>
      <c r="C25" s="14">
        <v>0.44</v>
      </c>
      <c r="D25" s="14">
        <v>0.42</v>
      </c>
      <c r="E25" s="14">
        <v>0.61</v>
      </c>
      <c r="F25" s="14">
        <v>0.42</v>
      </c>
      <c r="G25" s="14">
        <v>0.39</v>
      </c>
      <c r="H25" s="14">
        <v>0.45</v>
      </c>
      <c r="I25" s="14">
        <v>0.48</v>
      </c>
      <c r="J25" s="14">
        <v>0.62</v>
      </c>
      <c r="K25" s="14">
        <v>0.53</v>
      </c>
      <c r="L25" s="14">
        <v>0.34</v>
      </c>
      <c r="M25" s="14">
        <v>0.65</v>
      </c>
      <c r="N25" s="14">
        <v>0.66</v>
      </c>
      <c r="O25" s="14">
        <v>0.36</v>
      </c>
      <c r="P25" s="14">
        <v>0.33</v>
      </c>
      <c r="Q25" s="14">
        <v>0.42</v>
      </c>
      <c r="R25" s="14">
        <v>0.71</v>
      </c>
      <c r="S25" s="14">
        <v>0.42</v>
      </c>
      <c r="T25" s="14">
        <v>0.46</v>
      </c>
      <c r="U25" s="14">
        <v>0.23</v>
      </c>
      <c r="V25" s="14">
        <v>0.39</v>
      </c>
      <c r="W25" s="14">
        <v>0.53</v>
      </c>
      <c r="X25" s="14">
        <v>0.46</v>
      </c>
      <c r="Y25" s="14">
        <v>0.37</v>
      </c>
      <c r="Z25" s="14">
        <v>0.25</v>
      </c>
      <c r="AA25" s="14">
        <v>0.41</v>
      </c>
      <c r="AB25" s="14">
        <v>0.52</v>
      </c>
      <c r="AC25" s="14">
        <v>0.64</v>
      </c>
      <c r="AD25" s="14">
        <v>0.39</v>
      </c>
      <c r="AE25" s="14">
        <v>0.36</v>
      </c>
      <c r="AF25" s="14">
        <v>0.38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918</v>
      </c>
      <c r="C3" s="30"/>
      <c r="D3" s="30"/>
      <c r="E3" s="30"/>
      <c r="F3" s="30"/>
      <c r="H3" s="30" t="s">
        <v>919</v>
      </c>
      <c r="I3" s="30"/>
      <c r="J3" s="30"/>
      <c r="K3" s="30"/>
      <c r="L3" s="30"/>
    </row>
    <row r="4" spans="1:32" ht="27" customHeight="1" x14ac:dyDescent="0.35">
      <c r="B4" s="30" t="s">
        <v>920</v>
      </c>
      <c r="C4" s="30"/>
      <c r="D4" s="30"/>
      <c r="E4" s="30"/>
      <c r="F4" s="30"/>
      <c r="H4" s="30" t="s">
        <v>921</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4954</v>
      </c>
      <c r="D12" s="12">
        <v>161</v>
      </c>
      <c r="E12" s="12">
        <v>105</v>
      </c>
      <c r="F12" s="12">
        <v>166</v>
      </c>
      <c r="G12" s="12">
        <v>453</v>
      </c>
      <c r="H12" s="12">
        <v>318</v>
      </c>
      <c r="I12" s="12">
        <v>363</v>
      </c>
      <c r="J12" s="12">
        <v>45</v>
      </c>
      <c r="K12" s="12">
        <v>156</v>
      </c>
      <c r="L12" s="12">
        <v>321</v>
      </c>
      <c r="M12" s="12">
        <v>121</v>
      </c>
      <c r="N12" s="12">
        <v>143</v>
      </c>
      <c r="O12" s="12">
        <v>138</v>
      </c>
      <c r="P12" s="12">
        <v>170</v>
      </c>
      <c r="Q12" s="12">
        <v>166</v>
      </c>
      <c r="R12" s="12">
        <v>74</v>
      </c>
      <c r="S12" s="12">
        <v>201</v>
      </c>
      <c r="T12" s="12">
        <v>239</v>
      </c>
      <c r="U12" s="12">
        <v>108</v>
      </c>
      <c r="V12" s="12">
        <v>183</v>
      </c>
      <c r="W12" s="12">
        <v>102</v>
      </c>
      <c r="X12" s="12">
        <v>286</v>
      </c>
      <c r="Y12" s="12">
        <v>294</v>
      </c>
      <c r="Z12" s="12">
        <v>164</v>
      </c>
      <c r="AA12" s="12">
        <v>157</v>
      </c>
      <c r="AB12" s="12">
        <v>112</v>
      </c>
      <c r="AC12" s="12">
        <v>148</v>
      </c>
      <c r="AD12" s="12">
        <v>205</v>
      </c>
      <c r="AE12" s="12">
        <v>268</v>
      </c>
      <c r="AF12" s="12">
        <v>439</v>
      </c>
    </row>
    <row r="13" spans="1:32" x14ac:dyDescent="0.35">
      <c r="A13" s="31"/>
      <c r="B13" s="13" t="s">
        <v>503</v>
      </c>
      <c r="C13" s="14">
        <v>0.19</v>
      </c>
      <c r="D13" s="14">
        <v>0.16</v>
      </c>
      <c r="E13" s="14">
        <v>0.1</v>
      </c>
      <c r="F13" s="14">
        <v>0.16</v>
      </c>
      <c r="G13" s="14">
        <v>0.45</v>
      </c>
      <c r="H13" s="14">
        <v>0.26</v>
      </c>
      <c r="I13" s="14">
        <v>0.24</v>
      </c>
      <c r="J13" s="14">
        <v>0.15</v>
      </c>
      <c r="K13" s="14">
        <v>0.15</v>
      </c>
      <c r="L13" s="14">
        <v>0.32</v>
      </c>
      <c r="M13" s="14">
        <v>0.12</v>
      </c>
      <c r="N13" s="14">
        <v>0.14000000000000001</v>
      </c>
      <c r="O13" s="14">
        <v>0.14000000000000001</v>
      </c>
      <c r="P13" s="14">
        <v>0.17</v>
      </c>
      <c r="Q13" s="14">
        <v>0.16</v>
      </c>
      <c r="R13" s="14">
        <v>0.15</v>
      </c>
      <c r="S13" s="14">
        <v>0.2</v>
      </c>
      <c r="T13" s="14">
        <v>0.24</v>
      </c>
      <c r="U13" s="14">
        <v>0.21</v>
      </c>
      <c r="V13" s="14">
        <v>0.18</v>
      </c>
      <c r="W13" s="14">
        <v>0.2</v>
      </c>
      <c r="X13" s="14">
        <v>0.28000000000000003</v>
      </c>
      <c r="Y13" s="14">
        <v>0.28999999999999998</v>
      </c>
      <c r="Z13" s="14">
        <v>0.16</v>
      </c>
      <c r="AA13" s="14">
        <v>0.15</v>
      </c>
      <c r="AB13" s="14">
        <v>0.11</v>
      </c>
      <c r="AC13" s="14">
        <v>0.15</v>
      </c>
      <c r="AD13" s="14">
        <v>0.2</v>
      </c>
      <c r="AE13" s="14">
        <v>0.27</v>
      </c>
      <c r="AF13" s="14">
        <v>0.43</v>
      </c>
    </row>
    <row r="14" spans="1:32" x14ac:dyDescent="0.35">
      <c r="A14" s="31"/>
      <c r="B14" s="11" t="s">
        <v>504</v>
      </c>
      <c r="C14" s="12">
        <v>11928</v>
      </c>
      <c r="D14" s="12">
        <v>507</v>
      </c>
      <c r="E14" s="12">
        <v>399</v>
      </c>
      <c r="F14" s="12">
        <v>427</v>
      </c>
      <c r="G14" s="12">
        <v>398</v>
      </c>
      <c r="H14" s="12">
        <v>591</v>
      </c>
      <c r="I14" s="12">
        <v>707</v>
      </c>
      <c r="J14" s="12">
        <v>116</v>
      </c>
      <c r="K14" s="12">
        <v>468</v>
      </c>
      <c r="L14" s="12">
        <v>438</v>
      </c>
      <c r="M14" s="12">
        <v>321</v>
      </c>
      <c r="N14" s="12">
        <v>337</v>
      </c>
      <c r="O14" s="12">
        <v>461</v>
      </c>
      <c r="P14" s="12">
        <v>488</v>
      </c>
      <c r="Q14" s="12">
        <v>467</v>
      </c>
      <c r="R14" s="12">
        <v>202</v>
      </c>
      <c r="S14" s="12">
        <v>455</v>
      </c>
      <c r="T14" s="12">
        <v>477</v>
      </c>
      <c r="U14" s="12">
        <v>249</v>
      </c>
      <c r="V14" s="12">
        <v>433</v>
      </c>
      <c r="W14" s="12">
        <v>271</v>
      </c>
      <c r="X14" s="12">
        <v>436</v>
      </c>
      <c r="Y14" s="12">
        <v>429</v>
      </c>
      <c r="Z14" s="12">
        <v>635</v>
      </c>
      <c r="AA14" s="12">
        <v>601</v>
      </c>
      <c r="AB14" s="12">
        <v>433</v>
      </c>
      <c r="AC14" s="12">
        <v>389</v>
      </c>
      <c r="AD14" s="12">
        <v>532</v>
      </c>
      <c r="AE14" s="12">
        <v>517</v>
      </c>
      <c r="AF14" s="12">
        <v>400</v>
      </c>
    </row>
    <row r="15" spans="1:32" x14ac:dyDescent="0.35">
      <c r="A15" s="31"/>
      <c r="B15" s="13" t="s">
        <v>505</v>
      </c>
      <c r="C15" s="14">
        <v>0.45</v>
      </c>
      <c r="D15" s="14">
        <v>0.49</v>
      </c>
      <c r="E15" s="14">
        <v>0.38</v>
      </c>
      <c r="F15" s="14">
        <v>0.42</v>
      </c>
      <c r="G15" s="14">
        <v>0.39</v>
      </c>
      <c r="H15" s="14">
        <v>0.48</v>
      </c>
      <c r="I15" s="14">
        <v>0.46</v>
      </c>
      <c r="J15" s="14">
        <v>0.39</v>
      </c>
      <c r="K15" s="14">
        <v>0.46</v>
      </c>
      <c r="L15" s="14">
        <v>0.43</v>
      </c>
      <c r="M15" s="14">
        <v>0.32</v>
      </c>
      <c r="N15" s="14">
        <v>0.34</v>
      </c>
      <c r="O15" s="14">
        <v>0.46</v>
      </c>
      <c r="P15" s="14">
        <v>0.49</v>
      </c>
      <c r="Q15" s="14">
        <v>0.45</v>
      </c>
      <c r="R15" s="14">
        <v>0.4</v>
      </c>
      <c r="S15" s="14">
        <v>0.45</v>
      </c>
      <c r="T15" s="14">
        <v>0.47</v>
      </c>
      <c r="U15" s="14">
        <v>0.49</v>
      </c>
      <c r="V15" s="14">
        <v>0.43</v>
      </c>
      <c r="W15" s="14">
        <v>0.54</v>
      </c>
      <c r="X15" s="14">
        <v>0.43</v>
      </c>
      <c r="Y15" s="14">
        <v>0.43</v>
      </c>
      <c r="Z15" s="14">
        <v>0.62</v>
      </c>
      <c r="AA15" s="14">
        <v>0.59</v>
      </c>
      <c r="AB15" s="14">
        <v>0.41</v>
      </c>
      <c r="AC15" s="14">
        <v>0.38</v>
      </c>
      <c r="AD15" s="14">
        <v>0.53</v>
      </c>
      <c r="AE15" s="14">
        <v>0.51</v>
      </c>
      <c r="AF15" s="14">
        <v>0.39</v>
      </c>
    </row>
    <row r="16" spans="1:32" x14ac:dyDescent="0.35">
      <c r="A16" s="31"/>
      <c r="B16" s="11" t="s">
        <v>506</v>
      </c>
      <c r="C16" s="12">
        <v>6004</v>
      </c>
      <c r="D16" s="12">
        <v>261</v>
      </c>
      <c r="E16" s="12">
        <v>298</v>
      </c>
      <c r="F16" s="12">
        <v>319</v>
      </c>
      <c r="G16" s="12">
        <v>103</v>
      </c>
      <c r="H16" s="12">
        <v>183</v>
      </c>
      <c r="I16" s="12">
        <v>278</v>
      </c>
      <c r="J16" s="12">
        <v>95</v>
      </c>
      <c r="K16" s="12">
        <v>218</v>
      </c>
      <c r="L16" s="12">
        <v>139</v>
      </c>
      <c r="M16" s="12">
        <v>355</v>
      </c>
      <c r="N16" s="12">
        <v>283</v>
      </c>
      <c r="O16" s="12">
        <v>242</v>
      </c>
      <c r="P16" s="12">
        <v>242</v>
      </c>
      <c r="Q16" s="12">
        <v>273</v>
      </c>
      <c r="R16" s="12">
        <v>113</v>
      </c>
      <c r="S16" s="12">
        <v>210</v>
      </c>
      <c r="T16" s="12">
        <v>165</v>
      </c>
      <c r="U16" s="12">
        <v>97</v>
      </c>
      <c r="V16" s="12">
        <v>269</v>
      </c>
      <c r="W16" s="12">
        <v>85</v>
      </c>
      <c r="X16" s="12">
        <v>206</v>
      </c>
      <c r="Y16" s="12">
        <v>180</v>
      </c>
      <c r="Z16" s="12">
        <v>160</v>
      </c>
      <c r="AA16" s="12">
        <v>147</v>
      </c>
      <c r="AB16" s="12">
        <v>339</v>
      </c>
      <c r="AC16" s="12">
        <v>307</v>
      </c>
      <c r="AD16" s="12">
        <v>193</v>
      </c>
      <c r="AE16" s="12">
        <v>161</v>
      </c>
      <c r="AF16" s="12">
        <v>138</v>
      </c>
    </row>
    <row r="17" spans="1:32" x14ac:dyDescent="0.35">
      <c r="A17" s="31"/>
      <c r="B17" s="13" t="s">
        <v>507</v>
      </c>
      <c r="C17" s="14">
        <v>0.23</v>
      </c>
      <c r="D17" s="14">
        <v>0.25</v>
      </c>
      <c r="E17" s="14">
        <v>0.28999999999999998</v>
      </c>
      <c r="F17" s="14">
        <v>0.31</v>
      </c>
      <c r="G17" s="14">
        <v>0.1</v>
      </c>
      <c r="H17" s="14">
        <v>0.15</v>
      </c>
      <c r="I17" s="14">
        <v>0.18</v>
      </c>
      <c r="J17" s="14">
        <v>0.32</v>
      </c>
      <c r="K17" s="14">
        <v>0.22</v>
      </c>
      <c r="L17" s="14">
        <v>0.14000000000000001</v>
      </c>
      <c r="M17" s="14">
        <v>0.35</v>
      </c>
      <c r="N17" s="14">
        <v>0.28000000000000003</v>
      </c>
      <c r="O17" s="14">
        <v>0.24</v>
      </c>
      <c r="P17" s="14">
        <v>0.24</v>
      </c>
      <c r="Q17" s="14">
        <v>0.26</v>
      </c>
      <c r="R17" s="14">
        <v>0.22</v>
      </c>
      <c r="S17" s="14">
        <v>0.2</v>
      </c>
      <c r="T17" s="14">
        <v>0.16</v>
      </c>
      <c r="U17" s="14">
        <v>0.19</v>
      </c>
      <c r="V17" s="14">
        <v>0.26</v>
      </c>
      <c r="W17" s="14">
        <v>0.17</v>
      </c>
      <c r="X17" s="14">
        <v>0.21</v>
      </c>
      <c r="Y17" s="14">
        <v>0.18</v>
      </c>
      <c r="Z17" s="14">
        <v>0.16</v>
      </c>
      <c r="AA17" s="14">
        <v>0.14000000000000001</v>
      </c>
      <c r="AB17" s="14">
        <v>0.32</v>
      </c>
      <c r="AC17" s="14">
        <v>0.3</v>
      </c>
      <c r="AD17" s="14">
        <v>0.19</v>
      </c>
      <c r="AE17" s="14">
        <v>0.16</v>
      </c>
      <c r="AF17" s="14">
        <v>0.14000000000000001</v>
      </c>
    </row>
    <row r="18" spans="1:32" x14ac:dyDescent="0.35">
      <c r="A18" s="31"/>
      <c r="B18" s="11" t="s">
        <v>508</v>
      </c>
      <c r="C18" s="12">
        <v>2289</v>
      </c>
      <c r="D18" s="12">
        <v>69</v>
      </c>
      <c r="E18" s="12">
        <v>150</v>
      </c>
      <c r="F18" s="12">
        <v>56</v>
      </c>
      <c r="G18" s="12">
        <v>21</v>
      </c>
      <c r="H18" s="12">
        <v>78</v>
      </c>
      <c r="I18" s="12">
        <v>112</v>
      </c>
      <c r="J18" s="12">
        <v>34</v>
      </c>
      <c r="K18" s="12">
        <v>88</v>
      </c>
      <c r="L18" s="12">
        <v>60</v>
      </c>
      <c r="M18" s="12">
        <v>178</v>
      </c>
      <c r="N18" s="12">
        <v>169</v>
      </c>
      <c r="O18" s="12">
        <v>95</v>
      </c>
      <c r="P18" s="12">
        <v>56</v>
      </c>
      <c r="Q18" s="12">
        <v>91</v>
      </c>
      <c r="R18" s="12">
        <v>74</v>
      </c>
      <c r="S18" s="12">
        <v>69</v>
      </c>
      <c r="T18" s="12">
        <v>33</v>
      </c>
      <c r="U18" s="12">
        <v>20</v>
      </c>
      <c r="V18" s="12">
        <v>120</v>
      </c>
      <c r="W18" s="12">
        <v>20</v>
      </c>
      <c r="X18" s="12">
        <v>48</v>
      </c>
      <c r="Y18" s="12">
        <v>61</v>
      </c>
      <c r="Z18" s="12">
        <v>31</v>
      </c>
      <c r="AA18" s="12">
        <v>54</v>
      </c>
      <c r="AB18" s="12">
        <v>118</v>
      </c>
      <c r="AC18" s="12">
        <v>140</v>
      </c>
      <c r="AD18" s="12">
        <v>48</v>
      </c>
      <c r="AE18" s="12">
        <v>40</v>
      </c>
      <c r="AF18" s="12">
        <v>33</v>
      </c>
    </row>
    <row r="19" spans="1:32" x14ac:dyDescent="0.35">
      <c r="A19" s="31"/>
      <c r="B19" s="13" t="s">
        <v>509</v>
      </c>
      <c r="C19" s="14">
        <v>0.08</v>
      </c>
      <c r="D19" s="14">
        <v>7.0000000000000007E-2</v>
      </c>
      <c r="E19" s="14">
        <v>0.15</v>
      </c>
      <c r="F19" s="14">
        <v>0.06</v>
      </c>
      <c r="G19" s="14">
        <v>0.02</v>
      </c>
      <c r="H19" s="14">
        <v>0.06</v>
      </c>
      <c r="I19" s="14">
        <v>7.0000000000000007E-2</v>
      </c>
      <c r="J19" s="14">
        <v>0.11</v>
      </c>
      <c r="K19" s="14">
        <v>0.09</v>
      </c>
      <c r="L19" s="14">
        <v>0.06</v>
      </c>
      <c r="M19" s="14">
        <v>0.18</v>
      </c>
      <c r="N19" s="14">
        <v>0.17</v>
      </c>
      <c r="O19" s="14">
        <v>0.1</v>
      </c>
      <c r="P19" s="14">
        <v>0.05</v>
      </c>
      <c r="Q19" s="14">
        <v>0.09</v>
      </c>
      <c r="R19" s="14">
        <v>0.15</v>
      </c>
      <c r="S19" s="14">
        <v>7.0000000000000007E-2</v>
      </c>
      <c r="T19" s="14">
        <v>0.03</v>
      </c>
      <c r="U19" s="14">
        <v>0.04</v>
      </c>
      <c r="V19" s="14">
        <v>0.12</v>
      </c>
      <c r="W19" s="14">
        <v>0.04</v>
      </c>
      <c r="X19" s="14">
        <v>0.05</v>
      </c>
      <c r="Y19" s="14">
        <v>0.06</v>
      </c>
      <c r="Z19" s="14">
        <v>0.03</v>
      </c>
      <c r="AA19" s="14">
        <v>0.05</v>
      </c>
      <c r="AB19" s="14">
        <v>0.11</v>
      </c>
      <c r="AC19" s="14">
        <v>0.14000000000000001</v>
      </c>
      <c r="AD19" s="14">
        <v>0.05</v>
      </c>
      <c r="AE19" s="14">
        <v>0.04</v>
      </c>
      <c r="AF19" s="14">
        <v>0.03</v>
      </c>
    </row>
    <row r="20" spans="1:32" x14ac:dyDescent="0.35">
      <c r="A20" s="31"/>
      <c r="B20" s="11" t="s">
        <v>344</v>
      </c>
      <c r="C20" s="12">
        <v>1235</v>
      </c>
      <c r="D20" s="12">
        <v>26</v>
      </c>
      <c r="E20" s="12">
        <v>86</v>
      </c>
      <c r="F20" s="12">
        <v>50</v>
      </c>
      <c r="G20" s="12">
        <v>42</v>
      </c>
      <c r="H20" s="12">
        <v>62</v>
      </c>
      <c r="I20" s="12">
        <v>71</v>
      </c>
      <c r="J20" s="12">
        <v>8</v>
      </c>
      <c r="K20" s="12">
        <v>79</v>
      </c>
      <c r="L20" s="12">
        <v>46</v>
      </c>
      <c r="M20" s="12">
        <v>29</v>
      </c>
      <c r="N20" s="12">
        <v>68</v>
      </c>
      <c r="O20" s="12">
        <v>64</v>
      </c>
      <c r="P20" s="12">
        <v>48</v>
      </c>
      <c r="Q20" s="12">
        <v>39</v>
      </c>
      <c r="R20" s="12">
        <v>38</v>
      </c>
      <c r="S20" s="12">
        <v>85</v>
      </c>
      <c r="T20" s="12">
        <v>103</v>
      </c>
      <c r="U20" s="12">
        <v>35</v>
      </c>
      <c r="V20" s="12">
        <v>10</v>
      </c>
      <c r="W20" s="12">
        <v>24</v>
      </c>
      <c r="X20" s="12">
        <v>33</v>
      </c>
      <c r="Y20" s="12">
        <v>39</v>
      </c>
      <c r="Z20" s="12">
        <v>29</v>
      </c>
      <c r="AA20" s="12">
        <v>71</v>
      </c>
      <c r="AB20" s="12">
        <v>53</v>
      </c>
      <c r="AC20" s="12">
        <v>29</v>
      </c>
      <c r="AD20" s="12">
        <v>27</v>
      </c>
      <c r="AE20" s="12">
        <v>21</v>
      </c>
      <c r="AF20" s="12">
        <v>9</v>
      </c>
    </row>
    <row r="21" spans="1:32" x14ac:dyDescent="0.35">
      <c r="A21" s="31"/>
      <c r="B21" s="13" t="s">
        <v>357</v>
      </c>
      <c r="C21" s="14">
        <v>0.05</v>
      </c>
      <c r="D21" s="14">
        <v>0.03</v>
      </c>
      <c r="E21" s="14">
        <v>0.08</v>
      </c>
      <c r="F21" s="14">
        <v>0.05</v>
      </c>
      <c r="G21" s="14">
        <v>0.04</v>
      </c>
      <c r="H21" s="14">
        <v>0.05</v>
      </c>
      <c r="I21" s="14">
        <v>0.05</v>
      </c>
      <c r="J21" s="14">
        <v>0.03</v>
      </c>
      <c r="K21" s="14">
        <v>0.08</v>
      </c>
      <c r="L21" s="14">
        <v>0.05</v>
      </c>
      <c r="M21" s="14">
        <v>0.03</v>
      </c>
      <c r="N21" s="14">
        <v>7.0000000000000007E-2</v>
      </c>
      <c r="O21" s="14">
        <v>0.06</v>
      </c>
      <c r="P21" s="14">
        <v>0.05</v>
      </c>
      <c r="Q21" s="14">
        <v>0.04</v>
      </c>
      <c r="R21" s="14">
        <v>0.08</v>
      </c>
      <c r="S21" s="14">
        <v>0.08</v>
      </c>
      <c r="T21" s="14">
        <v>0.1</v>
      </c>
      <c r="U21" s="14">
        <v>7.0000000000000007E-2</v>
      </c>
      <c r="V21" s="14">
        <v>0.01</v>
      </c>
      <c r="W21" s="14">
        <v>0.05</v>
      </c>
      <c r="X21" s="14">
        <v>0.03</v>
      </c>
      <c r="Y21" s="14">
        <v>0.04</v>
      </c>
      <c r="Z21" s="14">
        <v>0.03</v>
      </c>
      <c r="AA21" s="14">
        <v>7.0000000000000007E-2</v>
      </c>
      <c r="AB21" s="14">
        <v>0.05</v>
      </c>
      <c r="AC21" s="14">
        <v>0.03</v>
      </c>
      <c r="AD21" s="14">
        <v>0.03</v>
      </c>
      <c r="AE21" s="14">
        <v>0.02</v>
      </c>
      <c r="AF21" s="14">
        <v>0.01</v>
      </c>
    </row>
    <row r="22" spans="1:32" x14ac:dyDescent="0.35">
      <c r="A22" s="31"/>
      <c r="B22" s="11" t="s">
        <v>510</v>
      </c>
      <c r="C22" s="12">
        <v>16882</v>
      </c>
      <c r="D22" s="12">
        <v>668</v>
      </c>
      <c r="E22" s="12">
        <v>504</v>
      </c>
      <c r="F22" s="12">
        <v>593</v>
      </c>
      <c r="G22" s="12">
        <v>851</v>
      </c>
      <c r="H22" s="12">
        <v>909</v>
      </c>
      <c r="I22" s="12">
        <v>1070</v>
      </c>
      <c r="J22" s="12">
        <v>161</v>
      </c>
      <c r="K22" s="12">
        <v>624</v>
      </c>
      <c r="L22" s="12">
        <v>759</v>
      </c>
      <c r="M22" s="12">
        <v>442</v>
      </c>
      <c r="N22" s="12">
        <v>480</v>
      </c>
      <c r="O22" s="12">
        <v>599</v>
      </c>
      <c r="P22" s="12">
        <v>658</v>
      </c>
      <c r="Q22" s="12">
        <v>633</v>
      </c>
      <c r="R22" s="12">
        <v>276</v>
      </c>
      <c r="S22" s="12">
        <v>656</v>
      </c>
      <c r="T22" s="12">
        <v>716</v>
      </c>
      <c r="U22" s="12">
        <v>357</v>
      </c>
      <c r="V22" s="12">
        <v>616</v>
      </c>
      <c r="W22" s="12">
        <v>373</v>
      </c>
      <c r="X22" s="12">
        <v>722</v>
      </c>
      <c r="Y22" s="12">
        <v>723</v>
      </c>
      <c r="Z22" s="12">
        <v>799</v>
      </c>
      <c r="AA22" s="12">
        <v>758</v>
      </c>
      <c r="AB22" s="12">
        <v>545</v>
      </c>
      <c r="AC22" s="12">
        <v>537</v>
      </c>
      <c r="AD22" s="12">
        <v>737</v>
      </c>
      <c r="AE22" s="12">
        <v>785</v>
      </c>
      <c r="AF22" s="12">
        <v>839</v>
      </c>
    </row>
    <row r="23" spans="1:32" x14ac:dyDescent="0.35">
      <c r="A23" s="31"/>
      <c r="B23" s="13" t="s">
        <v>511</v>
      </c>
      <c r="C23" s="14">
        <v>0.64</v>
      </c>
      <c r="D23" s="14">
        <v>0.65</v>
      </c>
      <c r="E23" s="14">
        <v>0.48</v>
      </c>
      <c r="F23" s="14">
        <v>0.57999999999999996</v>
      </c>
      <c r="G23" s="14">
        <v>0.84</v>
      </c>
      <c r="H23" s="14">
        <v>0.74</v>
      </c>
      <c r="I23" s="14">
        <v>0.70000000000000007</v>
      </c>
      <c r="J23" s="14">
        <v>0.54</v>
      </c>
      <c r="K23" s="14">
        <v>0.61</v>
      </c>
      <c r="L23" s="14">
        <v>0.75</v>
      </c>
      <c r="M23" s="14">
        <v>0.44</v>
      </c>
      <c r="N23" s="14">
        <v>0.48</v>
      </c>
      <c r="O23" s="14">
        <v>0.6</v>
      </c>
      <c r="P23" s="14">
        <v>0.66</v>
      </c>
      <c r="Q23" s="14">
        <v>0.61</v>
      </c>
      <c r="R23" s="14">
        <v>0.55000000000000004</v>
      </c>
      <c r="S23" s="14">
        <v>0.65</v>
      </c>
      <c r="T23" s="14">
        <v>0.71</v>
      </c>
      <c r="U23" s="14">
        <v>0.70000000000000007</v>
      </c>
      <c r="V23" s="14">
        <v>0.61</v>
      </c>
      <c r="W23" s="14">
        <v>0.74</v>
      </c>
      <c r="X23" s="14">
        <v>0.71</v>
      </c>
      <c r="Y23" s="14">
        <v>0.72</v>
      </c>
      <c r="Z23" s="14">
        <v>0.78</v>
      </c>
      <c r="AA23" s="14">
        <v>0.74</v>
      </c>
      <c r="AB23" s="14">
        <v>0.52</v>
      </c>
      <c r="AC23" s="14">
        <v>0.53</v>
      </c>
      <c r="AD23" s="14">
        <v>0.73</v>
      </c>
      <c r="AE23" s="14">
        <v>0.78</v>
      </c>
      <c r="AF23" s="14">
        <v>0.82000000000000006</v>
      </c>
    </row>
    <row r="24" spans="1:32" x14ac:dyDescent="0.35">
      <c r="A24" s="31"/>
      <c r="B24" s="11" t="s">
        <v>512</v>
      </c>
      <c r="C24" s="12">
        <v>8293</v>
      </c>
      <c r="D24" s="12">
        <v>330</v>
      </c>
      <c r="E24" s="12">
        <v>448</v>
      </c>
      <c r="F24" s="12">
        <v>375</v>
      </c>
      <c r="G24" s="12">
        <v>124</v>
      </c>
      <c r="H24" s="12">
        <v>261</v>
      </c>
      <c r="I24" s="12">
        <v>390</v>
      </c>
      <c r="J24" s="12">
        <v>129</v>
      </c>
      <c r="K24" s="12">
        <v>306</v>
      </c>
      <c r="L24" s="12">
        <v>199</v>
      </c>
      <c r="M24" s="12">
        <v>533</v>
      </c>
      <c r="N24" s="12">
        <v>452</v>
      </c>
      <c r="O24" s="12">
        <v>337</v>
      </c>
      <c r="P24" s="12">
        <v>298</v>
      </c>
      <c r="Q24" s="12">
        <v>364</v>
      </c>
      <c r="R24" s="12">
        <v>187</v>
      </c>
      <c r="S24" s="12">
        <v>279</v>
      </c>
      <c r="T24" s="12">
        <v>198</v>
      </c>
      <c r="U24" s="12">
        <v>117</v>
      </c>
      <c r="V24" s="12">
        <v>389</v>
      </c>
      <c r="W24" s="12">
        <v>105</v>
      </c>
      <c r="X24" s="12">
        <v>254</v>
      </c>
      <c r="Y24" s="12">
        <v>241</v>
      </c>
      <c r="Z24" s="12">
        <v>191</v>
      </c>
      <c r="AA24" s="12">
        <v>201</v>
      </c>
      <c r="AB24" s="12">
        <v>457</v>
      </c>
      <c r="AC24" s="12">
        <v>447</v>
      </c>
      <c r="AD24" s="12">
        <v>241</v>
      </c>
      <c r="AE24" s="12">
        <v>201</v>
      </c>
      <c r="AF24" s="12">
        <v>171</v>
      </c>
    </row>
    <row r="25" spans="1:32" x14ac:dyDescent="0.35">
      <c r="A25" s="31"/>
      <c r="B25" s="13" t="s">
        <v>513</v>
      </c>
      <c r="C25" s="14">
        <v>0.31</v>
      </c>
      <c r="D25" s="14">
        <v>0.32</v>
      </c>
      <c r="E25" s="14">
        <v>0.44</v>
      </c>
      <c r="F25" s="14">
        <v>0.37</v>
      </c>
      <c r="G25" s="14">
        <v>0.12</v>
      </c>
      <c r="H25" s="14">
        <v>0.21</v>
      </c>
      <c r="I25" s="14">
        <v>0.25</v>
      </c>
      <c r="J25" s="14">
        <v>0.43</v>
      </c>
      <c r="K25" s="14">
        <v>0.31</v>
      </c>
      <c r="L25" s="14">
        <v>0.2</v>
      </c>
      <c r="M25" s="14">
        <v>0.53</v>
      </c>
      <c r="N25" s="14">
        <v>0.45</v>
      </c>
      <c r="O25" s="14">
        <v>0.34</v>
      </c>
      <c r="P25" s="14">
        <v>0.28999999999999998</v>
      </c>
      <c r="Q25" s="14">
        <v>0.35</v>
      </c>
      <c r="R25" s="14">
        <v>0.37</v>
      </c>
      <c r="S25" s="14">
        <v>0.27</v>
      </c>
      <c r="T25" s="14">
        <v>0.19</v>
      </c>
      <c r="U25" s="14">
        <v>0.23</v>
      </c>
      <c r="V25" s="14">
        <v>0.38</v>
      </c>
      <c r="W25" s="14">
        <v>0.21</v>
      </c>
      <c r="X25" s="14">
        <v>0.26</v>
      </c>
      <c r="Y25" s="14">
        <v>0.24</v>
      </c>
      <c r="Z25" s="14">
        <v>0.19</v>
      </c>
      <c r="AA25" s="14">
        <v>0.19</v>
      </c>
      <c r="AB25" s="14">
        <v>0.43</v>
      </c>
      <c r="AC25" s="14">
        <v>0.44</v>
      </c>
      <c r="AD25" s="14">
        <v>0.24</v>
      </c>
      <c r="AE25" s="14">
        <v>0.2</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922</v>
      </c>
      <c r="C3" s="30"/>
      <c r="D3" s="30"/>
      <c r="E3" s="30"/>
      <c r="F3" s="30"/>
      <c r="H3" s="30" t="s">
        <v>923</v>
      </c>
      <c r="I3" s="30"/>
      <c r="J3" s="30"/>
      <c r="K3" s="30"/>
      <c r="L3" s="30"/>
    </row>
    <row r="4" spans="1:32" ht="27" customHeight="1" x14ac:dyDescent="0.35">
      <c r="B4" s="30" t="s">
        <v>924</v>
      </c>
      <c r="C4" s="30"/>
      <c r="D4" s="30"/>
      <c r="E4" s="30"/>
      <c r="F4" s="30"/>
      <c r="H4" s="30" t="s">
        <v>925</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HYPERLINK("#Content!A79","&lt;&lt;Back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5313</v>
      </c>
      <c r="D12" s="12">
        <v>164</v>
      </c>
      <c r="E12" s="12">
        <v>120</v>
      </c>
      <c r="F12" s="12">
        <v>211</v>
      </c>
      <c r="G12" s="12">
        <v>523</v>
      </c>
      <c r="H12" s="12">
        <v>321</v>
      </c>
      <c r="I12" s="12">
        <v>367</v>
      </c>
      <c r="J12" s="12">
        <v>46</v>
      </c>
      <c r="K12" s="12">
        <v>147</v>
      </c>
      <c r="L12" s="12">
        <v>341</v>
      </c>
      <c r="M12" s="12">
        <v>145</v>
      </c>
      <c r="N12" s="12">
        <v>178</v>
      </c>
      <c r="O12" s="12">
        <v>144</v>
      </c>
      <c r="P12" s="12">
        <v>168</v>
      </c>
      <c r="Q12" s="12">
        <v>190</v>
      </c>
      <c r="R12" s="12">
        <v>91</v>
      </c>
      <c r="S12" s="12">
        <v>279</v>
      </c>
      <c r="T12" s="12">
        <v>271</v>
      </c>
      <c r="U12" s="12">
        <v>104</v>
      </c>
      <c r="V12" s="12">
        <v>210</v>
      </c>
      <c r="W12" s="12">
        <v>110</v>
      </c>
      <c r="X12" s="12">
        <v>249</v>
      </c>
      <c r="Y12" s="12">
        <v>284</v>
      </c>
      <c r="Z12" s="12">
        <v>196</v>
      </c>
      <c r="AA12" s="12">
        <v>162</v>
      </c>
      <c r="AB12" s="12">
        <v>103</v>
      </c>
      <c r="AC12" s="12">
        <v>177</v>
      </c>
      <c r="AD12" s="12">
        <v>280</v>
      </c>
      <c r="AE12" s="12">
        <v>237</v>
      </c>
      <c r="AF12" s="12">
        <v>430</v>
      </c>
    </row>
    <row r="13" spans="1:32" x14ac:dyDescent="0.35">
      <c r="A13" s="31"/>
      <c r="B13" s="13" t="s">
        <v>503</v>
      </c>
      <c r="C13" s="14">
        <v>0.2</v>
      </c>
      <c r="D13" s="14">
        <v>0.16</v>
      </c>
      <c r="E13" s="14">
        <v>0.12</v>
      </c>
      <c r="F13" s="14">
        <v>0.21</v>
      </c>
      <c r="G13" s="14">
        <v>0.51</v>
      </c>
      <c r="H13" s="14">
        <v>0.26</v>
      </c>
      <c r="I13" s="14">
        <v>0.24</v>
      </c>
      <c r="J13" s="14">
        <v>0.15</v>
      </c>
      <c r="K13" s="14">
        <v>0.15</v>
      </c>
      <c r="L13" s="14">
        <v>0.34</v>
      </c>
      <c r="M13" s="14">
        <v>0.15</v>
      </c>
      <c r="N13" s="14">
        <v>0.18</v>
      </c>
      <c r="O13" s="14">
        <v>0.14000000000000001</v>
      </c>
      <c r="P13" s="14">
        <v>0.17</v>
      </c>
      <c r="Q13" s="14">
        <v>0.18</v>
      </c>
      <c r="R13" s="14">
        <v>0.18</v>
      </c>
      <c r="S13" s="14">
        <v>0.27</v>
      </c>
      <c r="T13" s="14">
        <v>0.27</v>
      </c>
      <c r="U13" s="14">
        <v>0.2</v>
      </c>
      <c r="V13" s="14">
        <v>0.21</v>
      </c>
      <c r="W13" s="14">
        <v>0.22</v>
      </c>
      <c r="X13" s="14">
        <v>0.25</v>
      </c>
      <c r="Y13" s="14">
        <v>0.28000000000000003</v>
      </c>
      <c r="Z13" s="14">
        <v>0.19</v>
      </c>
      <c r="AA13" s="14">
        <v>0.16</v>
      </c>
      <c r="AB13" s="14">
        <v>0.1</v>
      </c>
      <c r="AC13" s="14">
        <v>0.18</v>
      </c>
      <c r="AD13" s="14">
        <v>0.28000000000000003</v>
      </c>
      <c r="AE13" s="14">
        <v>0.23</v>
      </c>
      <c r="AF13" s="14">
        <v>0.42</v>
      </c>
    </row>
    <row r="14" spans="1:32" x14ac:dyDescent="0.35">
      <c r="A14" s="31"/>
      <c r="B14" s="11" t="s">
        <v>504</v>
      </c>
      <c r="C14" s="12">
        <v>11674</v>
      </c>
      <c r="D14" s="12">
        <v>496</v>
      </c>
      <c r="E14" s="12">
        <v>354</v>
      </c>
      <c r="F14" s="12">
        <v>513</v>
      </c>
      <c r="G14" s="12">
        <v>357</v>
      </c>
      <c r="H14" s="12">
        <v>636</v>
      </c>
      <c r="I14" s="12">
        <v>753</v>
      </c>
      <c r="J14" s="12">
        <v>117</v>
      </c>
      <c r="K14" s="12">
        <v>495</v>
      </c>
      <c r="L14" s="12">
        <v>421</v>
      </c>
      <c r="M14" s="12">
        <v>335</v>
      </c>
      <c r="N14" s="12">
        <v>290</v>
      </c>
      <c r="O14" s="12">
        <v>409</v>
      </c>
      <c r="P14" s="12">
        <v>462</v>
      </c>
      <c r="Q14" s="12">
        <v>470</v>
      </c>
      <c r="R14" s="12">
        <v>173</v>
      </c>
      <c r="S14" s="12">
        <v>466</v>
      </c>
      <c r="T14" s="12">
        <v>482</v>
      </c>
      <c r="U14" s="12">
        <v>250</v>
      </c>
      <c r="V14" s="12">
        <v>412</v>
      </c>
      <c r="W14" s="12">
        <v>282</v>
      </c>
      <c r="X14" s="12">
        <v>479</v>
      </c>
      <c r="Y14" s="12">
        <v>434</v>
      </c>
      <c r="Z14" s="12">
        <v>607</v>
      </c>
      <c r="AA14" s="12">
        <v>542</v>
      </c>
      <c r="AB14" s="12">
        <v>384</v>
      </c>
      <c r="AC14" s="12">
        <v>408</v>
      </c>
      <c r="AD14" s="12">
        <v>510</v>
      </c>
      <c r="AE14" s="12">
        <v>505</v>
      </c>
      <c r="AF14" s="12">
        <v>455</v>
      </c>
    </row>
    <row r="15" spans="1:32" x14ac:dyDescent="0.35">
      <c r="A15" s="31"/>
      <c r="B15" s="13" t="s">
        <v>505</v>
      </c>
      <c r="C15" s="14">
        <v>0.44</v>
      </c>
      <c r="D15" s="14">
        <v>0.49</v>
      </c>
      <c r="E15" s="14">
        <v>0.34</v>
      </c>
      <c r="F15" s="14">
        <v>0.5</v>
      </c>
      <c r="G15" s="14">
        <v>0.35</v>
      </c>
      <c r="H15" s="14">
        <v>0.52</v>
      </c>
      <c r="I15" s="14">
        <v>0.49</v>
      </c>
      <c r="J15" s="14">
        <v>0.39</v>
      </c>
      <c r="K15" s="14">
        <v>0.49</v>
      </c>
      <c r="L15" s="14">
        <v>0.42</v>
      </c>
      <c r="M15" s="14">
        <v>0.33</v>
      </c>
      <c r="N15" s="14">
        <v>0.28999999999999998</v>
      </c>
      <c r="O15" s="14">
        <v>0.41</v>
      </c>
      <c r="P15" s="14">
        <v>0.46</v>
      </c>
      <c r="Q15" s="14">
        <v>0.45</v>
      </c>
      <c r="R15" s="14">
        <v>0.34</v>
      </c>
      <c r="S15" s="14">
        <v>0.46</v>
      </c>
      <c r="T15" s="14">
        <v>0.47</v>
      </c>
      <c r="U15" s="14">
        <v>0.49</v>
      </c>
      <c r="V15" s="14">
        <v>0.41</v>
      </c>
      <c r="W15" s="14">
        <v>0.56000000000000005</v>
      </c>
      <c r="X15" s="14">
        <v>0.47</v>
      </c>
      <c r="Y15" s="14">
        <v>0.43</v>
      </c>
      <c r="Z15" s="14">
        <v>0.6</v>
      </c>
      <c r="AA15" s="14">
        <v>0.52</v>
      </c>
      <c r="AB15" s="14">
        <v>0.36</v>
      </c>
      <c r="AC15" s="14">
        <v>0.4</v>
      </c>
      <c r="AD15" s="14">
        <v>0.51</v>
      </c>
      <c r="AE15" s="14">
        <v>0.5</v>
      </c>
      <c r="AF15" s="14">
        <v>0.45</v>
      </c>
    </row>
    <row r="16" spans="1:32" x14ac:dyDescent="0.35">
      <c r="A16" s="31"/>
      <c r="B16" s="11" t="s">
        <v>506</v>
      </c>
      <c r="C16" s="12">
        <v>6180</v>
      </c>
      <c r="D16" s="12">
        <v>259</v>
      </c>
      <c r="E16" s="12">
        <v>326</v>
      </c>
      <c r="F16" s="12">
        <v>229</v>
      </c>
      <c r="G16" s="12">
        <v>90</v>
      </c>
      <c r="H16" s="12">
        <v>172</v>
      </c>
      <c r="I16" s="12">
        <v>269</v>
      </c>
      <c r="J16" s="12">
        <v>98</v>
      </c>
      <c r="K16" s="12">
        <v>227</v>
      </c>
      <c r="L16" s="12">
        <v>148</v>
      </c>
      <c r="M16" s="12">
        <v>309</v>
      </c>
      <c r="N16" s="12">
        <v>311</v>
      </c>
      <c r="O16" s="12">
        <v>277</v>
      </c>
      <c r="P16" s="12">
        <v>261</v>
      </c>
      <c r="Q16" s="12">
        <v>268</v>
      </c>
      <c r="R16" s="12">
        <v>158</v>
      </c>
      <c r="S16" s="12">
        <v>175</v>
      </c>
      <c r="T16" s="12">
        <v>158</v>
      </c>
      <c r="U16" s="12">
        <v>82</v>
      </c>
      <c r="V16" s="12">
        <v>244</v>
      </c>
      <c r="W16" s="12">
        <v>71</v>
      </c>
      <c r="X16" s="12">
        <v>228</v>
      </c>
      <c r="Y16" s="12">
        <v>206</v>
      </c>
      <c r="Z16" s="12">
        <v>156</v>
      </c>
      <c r="AA16" s="12">
        <v>205</v>
      </c>
      <c r="AB16" s="12">
        <v>377</v>
      </c>
      <c r="AC16" s="12">
        <v>298</v>
      </c>
      <c r="AD16" s="12">
        <v>164</v>
      </c>
      <c r="AE16" s="12">
        <v>200</v>
      </c>
      <c r="AF16" s="12">
        <v>108</v>
      </c>
    </row>
    <row r="17" spans="1:32" x14ac:dyDescent="0.35">
      <c r="A17" s="31"/>
      <c r="B17" s="13" t="s">
        <v>507</v>
      </c>
      <c r="C17" s="14">
        <v>0.24</v>
      </c>
      <c r="D17" s="14">
        <v>0.25</v>
      </c>
      <c r="E17" s="14">
        <v>0.31</v>
      </c>
      <c r="F17" s="14">
        <v>0.23</v>
      </c>
      <c r="G17" s="14">
        <v>0.09</v>
      </c>
      <c r="H17" s="14">
        <v>0.14000000000000001</v>
      </c>
      <c r="I17" s="14">
        <v>0.18</v>
      </c>
      <c r="J17" s="14">
        <v>0.33</v>
      </c>
      <c r="K17" s="14">
        <v>0.22</v>
      </c>
      <c r="L17" s="14">
        <v>0.15</v>
      </c>
      <c r="M17" s="14">
        <v>0.31</v>
      </c>
      <c r="N17" s="14">
        <v>0.31</v>
      </c>
      <c r="O17" s="14">
        <v>0.28000000000000003</v>
      </c>
      <c r="P17" s="14">
        <v>0.26</v>
      </c>
      <c r="Q17" s="14">
        <v>0.26</v>
      </c>
      <c r="R17" s="14">
        <v>0.32</v>
      </c>
      <c r="S17" s="14">
        <v>0.17</v>
      </c>
      <c r="T17" s="14">
        <v>0.16</v>
      </c>
      <c r="U17" s="14">
        <v>0.16</v>
      </c>
      <c r="V17" s="14">
        <v>0.24</v>
      </c>
      <c r="W17" s="14">
        <v>0.14000000000000001</v>
      </c>
      <c r="X17" s="14">
        <v>0.22</v>
      </c>
      <c r="Y17" s="14">
        <v>0.21</v>
      </c>
      <c r="Z17" s="14">
        <v>0.15</v>
      </c>
      <c r="AA17" s="14">
        <v>0.2</v>
      </c>
      <c r="AB17" s="14">
        <v>0.36</v>
      </c>
      <c r="AC17" s="14">
        <v>0.3</v>
      </c>
      <c r="AD17" s="14">
        <v>0.16</v>
      </c>
      <c r="AE17" s="14">
        <v>0.2</v>
      </c>
      <c r="AF17" s="14">
        <v>0.11</v>
      </c>
    </row>
    <row r="18" spans="1:32" x14ac:dyDescent="0.35">
      <c r="A18" s="31"/>
      <c r="B18" s="11" t="s">
        <v>508</v>
      </c>
      <c r="C18" s="12">
        <v>2131</v>
      </c>
      <c r="D18" s="12">
        <v>85</v>
      </c>
      <c r="E18" s="12">
        <v>168</v>
      </c>
      <c r="F18" s="12">
        <v>43</v>
      </c>
      <c r="G18" s="12">
        <v>12</v>
      </c>
      <c r="H18" s="12">
        <v>53</v>
      </c>
      <c r="I18" s="12">
        <v>84</v>
      </c>
      <c r="J18" s="12">
        <v>31</v>
      </c>
      <c r="K18" s="12">
        <v>94</v>
      </c>
      <c r="L18" s="12">
        <v>36</v>
      </c>
      <c r="M18" s="12">
        <v>194</v>
      </c>
      <c r="N18" s="12">
        <v>153</v>
      </c>
      <c r="O18" s="12">
        <v>107</v>
      </c>
      <c r="P18" s="12">
        <v>62</v>
      </c>
      <c r="Q18" s="12">
        <v>80</v>
      </c>
      <c r="R18" s="12">
        <v>68</v>
      </c>
      <c r="S18" s="12">
        <v>48</v>
      </c>
      <c r="T18" s="12">
        <v>32</v>
      </c>
      <c r="U18" s="12">
        <v>40</v>
      </c>
      <c r="V18" s="12">
        <v>133</v>
      </c>
      <c r="W18" s="12">
        <v>18</v>
      </c>
      <c r="X18" s="12">
        <v>37</v>
      </c>
      <c r="Y18" s="12">
        <v>40</v>
      </c>
      <c r="Z18" s="12">
        <v>23</v>
      </c>
      <c r="AA18" s="12">
        <v>39</v>
      </c>
      <c r="AB18" s="12">
        <v>131</v>
      </c>
      <c r="AC18" s="12">
        <v>106</v>
      </c>
      <c r="AD18" s="12">
        <v>40</v>
      </c>
      <c r="AE18" s="12">
        <v>39</v>
      </c>
      <c r="AF18" s="12">
        <v>24</v>
      </c>
    </row>
    <row r="19" spans="1:32" x14ac:dyDescent="0.35">
      <c r="A19" s="31"/>
      <c r="B19" s="13" t="s">
        <v>509</v>
      </c>
      <c r="C19" s="14">
        <v>0.08</v>
      </c>
      <c r="D19" s="14">
        <v>0.08</v>
      </c>
      <c r="E19" s="14">
        <v>0.16</v>
      </c>
      <c r="F19" s="14">
        <v>0.04</v>
      </c>
      <c r="G19" s="14">
        <v>0.01</v>
      </c>
      <c r="H19" s="14">
        <v>0.04</v>
      </c>
      <c r="I19" s="14">
        <v>0.05</v>
      </c>
      <c r="J19" s="14">
        <v>0.11</v>
      </c>
      <c r="K19" s="14">
        <v>0.09</v>
      </c>
      <c r="L19" s="14">
        <v>0.03</v>
      </c>
      <c r="M19" s="14">
        <v>0.19</v>
      </c>
      <c r="N19" s="14">
        <v>0.15</v>
      </c>
      <c r="O19" s="14">
        <v>0.11</v>
      </c>
      <c r="P19" s="14">
        <v>0.06</v>
      </c>
      <c r="Q19" s="14">
        <v>0.08</v>
      </c>
      <c r="R19" s="14">
        <v>0.14000000000000001</v>
      </c>
      <c r="S19" s="14">
        <v>0.05</v>
      </c>
      <c r="T19" s="14">
        <v>0.03</v>
      </c>
      <c r="U19" s="14">
        <v>0.08</v>
      </c>
      <c r="V19" s="14">
        <v>0.13</v>
      </c>
      <c r="W19" s="14">
        <v>0.04</v>
      </c>
      <c r="X19" s="14">
        <v>0.04</v>
      </c>
      <c r="Y19" s="14">
        <v>0.04</v>
      </c>
      <c r="Z19" s="14">
        <v>0.02</v>
      </c>
      <c r="AA19" s="14">
        <v>0.04</v>
      </c>
      <c r="AB19" s="14">
        <v>0.12</v>
      </c>
      <c r="AC19" s="14">
        <v>0.1</v>
      </c>
      <c r="AD19" s="14">
        <v>0.04</v>
      </c>
      <c r="AE19" s="14">
        <v>0.04</v>
      </c>
      <c r="AF19" s="14">
        <v>0.02</v>
      </c>
    </row>
    <row r="20" spans="1:32" x14ac:dyDescent="0.35">
      <c r="A20" s="31"/>
      <c r="B20" s="11" t="s">
        <v>344</v>
      </c>
      <c r="C20" s="12">
        <v>1112</v>
      </c>
      <c r="D20" s="12">
        <v>21</v>
      </c>
      <c r="E20" s="12">
        <v>72</v>
      </c>
      <c r="F20" s="12">
        <v>22</v>
      </c>
      <c r="G20" s="12">
        <v>35</v>
      </c>
      <c r="H20" s="12">
        <v>50</v>
      </c>
      <c r="I20" s="12">
        <v>57</v>
      </c>
      <c r="J20" s="12">
        <v>7</v>
      </c>
      <c r="K20" s="12">
        <v>46</v>
      </c>
      <c r="L20" s="12">
        <v>58</v>
      </c>
      <c r="M20" s="12">
        <v>21</v>
      </c>
      <c r="N20" s="12">
        <v>69</v>
      </c>
      <c r="O20" s="12">
        <v>62</v>
      </c>
      <c r="P20" s="12">
        <v>52</v>
      </c>
      <c r="Q20" s="12">
        <v>28</v>
      </c>
      <c r="R20" s="12">
        <v>12</v>
      </c>
      <c r="S20" s="12">
        <v>53</v>
      </c>
      <c r="T20" s="12">
        <v>74</v>
      </c>
      <c r="U20" s="12">
        <v>34</v>
      </c>
      <c r="V20" s="12">
        <v>15</v>
      </c>
      <c r="W20" s="12">
        <v>20</v>
      </c>
      <c r="X20" s="12">
        <v>17</v>
      </c>
      <c r="Y20" s="12">
        <v>38</v>
      </c>
      <c r="Z20" s="12">
        <v>37</v>
      </c>
      <c r="AA20" s="12">
        <v>82</v>
      </c>
      <c r="AB20" s="12">
        <v>62</v>
      </c>
      <c r="AC20" s="12">
        <v>23</v>
      </c>
      <c r="AD20" s="12">
        <v>9</v>
      </c>
      <c r="AE20" s="12">
        <v>26</v>
      </c>
      <c r="AF20" s="12">
        <v>2</v>
      </c>
    </row>
    <row r="21" spans="1:32" x14ac:dyDescent="0.35">
      <c r="A21" s="31"/>
      <c r="B21" s="13" t="s">
        <v>357</v>
      </c>
      <c r="C21" s="14">
        <v>0.04</v>
      </c>
      <c r="D21" s="14">
        <v>0.02</v>
      </c>
      <c r="E21" s="14">
        <v>7.0000000000000007E-2</v>
      </c>
      <c r="F21" s="14">
        <v>0.02</v>
      </c>
      <c r="G21" s="14">
        <v>0.04</v>
      </c>
      <c r="H21" s="14">
        <v>0.04</v>
      </c>
      <c r="I21" s="14">
        <v>0.04</v>
      </c>
      <c r="J21" s="14">
        <v>0.02</v>
      </c>
      <c r="K21" s="14">
        <v>0.05</v>
      </c>
      <c r="L21" s="14">
        <v>0.06</v>
      </c>
      <c r="M21" s="14">
        <v>0.02</v>
      </c>
      <c r="N21" s="14">
        <v>7.0000000000000007E-2</v>
      </c>
      <c r="O21" s="14">
        <v>0.06</v>
      </c>
      <c r="P21" s="14">
        <v>0.05</v>
      </c>
      <c r="Q21" s="14">
        <v>0.03</v>
      </c>
      <c r="R21" s="14">
        <v>0.02</v>
      </c>
      <c r="S21" s="14">
        <v>0.05</v>
      </c>
      <c r="T21" s="14">
        <v>7.0000000000000007E-2</v>
      </c>
      <c r="U21" s="14">
        <v>7.0000000000000007E-2</v>
      </c>
      <c r="V21" s="14">
        <v>0.01</v>
      </c>
      <c r="W21" s="14">
        <v>0.04</v>
      </c>
      <c r="X21" s="14">
        <v>0.02</v>
      </c>
      <c r="Y21" s="14">
        <v>0.04</v>
      </c>
      <c r="Z21" s="14">
        <v>0.04</v>
      </c>
      <c r="AA21" s="14">
        <v>0.08</v>
      </c>
      <c r="AB21" s="14">
        <v>0.06</v>
      </c>
      <c r="AC21" s="14">
        <v>0.02</v>
      </c>
      <c r="AD21" s="14">
        <v>0.01</v>
      </c>
      <c r="AE21" s="14">
        <v>0.03</v>
      </c>
      <c r="AF21" s="15" t="s">
        <v>333</v>
      </c>
    </row>
    <row r="22" spans="1:32" x14ac:dyDescent="0.35">
      <c r="A22" s="31"/>
      <c r="B22" s="11" t="s">
        <v>510</v>
      </c>
      <c r="C22" s="12">
        <v>16987</v>
      </c>
      <c r="D22" s="12">
        <v>660</v>
      </c>
      <c r="E22" s="12">
        <v>474</v>
      </c>
      <c r="F22" s="12">
        <v>724</v>
      </c>
      <c r="G22" s="12">
        <v>880</v>
      </c>
      <c r="H22" s="12">
        <v>957</v>
      </c>
      <c r="I22" s="12">
        <v>1120</v>
      </c>
      <c r="J22" s="12">
        <v>163</v>
      </c>
      <c r="K22" s="12">
        <v>642</v>
      </c>
      <c r="L22" s="12">
        <v>762</v>
      </c>
      <c r="M22" s="12">
        <v>480</v>
      </c>
      <c r="N22" s="12">
        <v>468</v>
      </c>
      <c r="O22" s="12">
        <v>553</v>
      </c>
      <c r="P22" s="12">
        <v>630</v>
      </c>
      <c r="Q22" s="12">
        <v>660</v>
      </c>
      <c r="R22" s="12">
        <v>264</v>
      </c>
      <c r="S22" s="12">
        <v>745</v>
      </c>
      <c r="T22" s="12">
        <v>753</v>
      </c>
      <c r="U22" s="12">
        <v>354</v>
      </c>
      <c r="V22" s="12">
        <v>622</v>
      </c>
      <c r="W22" s="12">
        <v>392</v>
      </c>
      <c r="X22" s="12">
        <v>728</v>
      </c>
      <c r="Y22" s="12">
        <v>718</v>
      </c>
      <c r="Z22" s="12">
        <v>803</v>
      </c>
      <c r="AA22" s="12">
        <v>704</v>
      </c>
      <c r="AB22" s="12">
        <v>487</v>
      </c>
      <c r="AC22" s="12">
        <v>585</v>
      </c>
      <c r="AD22" s="12">
        <v>790</v>
      </c>
      <c r="AE22" s="12">
        <v>742</v>
      </c>
      <c r="AF22" s="12">
        <v>885</v>
      </c>
    </row>
    <row r="23" spans="1:32" x14ac:dyDescent="0.35">
      <c r="A23" s="31"/>
      <c r="B23" s="13" t="s">
        <v>511</v>
      </c>
      <c r="C23" s="14">
        <v>0.64</v>
      </c>
      <c r="D23" s="14">
        <v>0.65</v>
      </c>
      <c r="E23" s="14">
        <v>0.46</v>
      </c>
      <c r="F23" s="14">
        <v>0.71</v>
      </c>
      <c r="G23" s="14">
        <v>0.86</v>
      </c>
      <c r="H23" s="14">
        <v>0.78</v>
      </c>
      <c r="I23" s="14">
        <v>0.73</v>
      </c>
      <c r="J23" s="14">
        <v>0.54</v>
      </c>
      <c r="K23" s="14">
        <v>0.64</v>
      </c>
      <c r="L23" s="14">
        <v>0.76</v>
      </c>
      <c r="M23" s="14">
        <v>0.48</v>
      </c>
      <c r="N23" s="14">
        <v>0.47</v>
      </c>
      <c r="O23" s="14">
        <v>0.55000000000000004</v>
      </c>
      <c r="P23" s="14">
        <v>0.63</v>
      </c>
      <c r="Q23" s="14">
        <v>0.63</v>
      </c>
      <c r="R23" s="14">
        <v>0.52</v>
      </c>
      <c r="S23" s="14">
        <v>0.73</v>
      </c>
      <c r="T23" s="14">
        <v>0.74</v>
      </c>
      <c r="U23" s="14">
        <v>0.69000000000000006</v>
      </c>
      <c r="V23" s="14">
        <v>0.62</v>
      </c>
      <c r="W23" s="14">
        <v>0.78</v>
      </c>
      <c r="X23" s="14">
        <v>0.72</v>
      </c>
      <c r="Y23" s="14">
        <v>0.71</v>
      </c>
      <c r="Z23" s="14">
        <v>0.79</v>
      </c>
      <c r="AA23" s="14">
        <v>0.68</v>
      </c>
      <c r="AB23" s="14">
        <v>0.46</v>
      </c>
      <c r="AC23" s="14">
        <v>0.57999999999999996</v>
      </c>
      <c r="AD23" s="14">
        <v>0.79</v>
      </c>
      <c r="AE23" s="14">
        <v>0.73</v>
      </c>
      <c r="AF23" s="14">
        <v>0.87</v>
      </c>
    </row>
    <row r="24" spans="1:32" x14ac:dyDescent="0.35">
      <c r="A24" s="31"/>
      <c r="B24" s="11" t="s">
        <v>512</v>
      </c>
      <c r="C24" s="12">
        <v>8311</v>
      </c>
      <c r="D24" s="12">
        <v>344</v>
      </c>
      <c r="E24" s="12">
        <v>494</v>
      </c>
      <c r="F24" s="12">
        <v>272</v>
      </c>
      <c r="G24" s="12">
        <v>102</v>
      </c>
      <c r="H24" s="12">
        <v>225</v>
      </c>
      <c r="I24" s="12">
        <v>353</v>
      </c>
      <c r="J24" s="12">
        <v>129</v>
      </c>
      <c r="K24" s="12">
        <v>321</v>
      </c>
      <c r="L24" s="12">
        <v>184</v>
      </c>
      <c r="M24" s="12">
        <v>503</v>
      </c>
      <c r="N24" s="12">
        <v>464</v>
      </c>
      <c r="O24" s="12">
        <v>384</v>
      </c>
      <c r="P24" s="12">
        <v>323</v>
      </c>
      <c r="Q24" s="12">
        <v>348</v>
      </c>
      <c r="R24" s="12">
        <v>226</v>
      </c>
      <c r="S24" s="12">
        <v>223</v>
      </c>
      <c r="T24" s="12">
        <v>190</v>
      </c>
      <c r="U24" s="12">
        <v>122</v>
      </c>
      <c r="V24" s="12">
        <v>377</v>
      </c>
      <c r="W24" s="12">
        <v>89</v>
      </c>
      <c r="X24" s="12">
        <v>265</v>
      </c>
      <c r="Y24" s="12">
        <v>246</v>
      </c>
      <c r="Z24" s="12">
        <v>179</v>
      </c>
      <c r="AA24" s="12">
        <v>244</v>
      </c>
      <c r="AB24" s="12">
        <v>508</v>
      </c>
      <c r="AC24" s="12">
        <v>404</v>
      </c>
      <c r="AD24" s="12">
        <v>204</v>
      </c>
      <c r="AE24" s="12">
        <v>239</v>
      </c>
      <c r="AF24" s="12">
        <v>132</v>
      </c>
    </row>
    <row r="25" spans="1:32" x14ac:dyDescent="0.35">
      <c r="A25" s="31"/>
      <c r="B25" s="13" t="s">
        <v>513</v>
      </c>
      <c r="C25" s="14">
        <v>0.32</v>
      </c>
      <c r="D25" s="14">
        <v>0.33</v>
      </c>
      <c r="E25" s="14">
        <v>0.47</v>
      </c>
      <c r="F25" s="14">
        <v>0.27</v>
      </c>
      <c r="G25" s="14">
        <v>0.1</v>
      </c>
      <c r="H25" s="14">
        <v>0.18</v>
      </c>
      <c r="I25" s="14">
        <v>0.23</v>
      </c>
      <c r="J25" s="14">
        <v>0.44</v>
      </c>
      <c r="K25" s="14">
        <v>0.31</v>
      </c>
      <c r="L25" s="14">
        <v>0.18</v>
      </c>
      <c r="M25" s="14">
        <v>0.5</v>
      </c>
      <c r="N25" s="14">
        <v>0.46</v>
      </c>
      <c r="O25" s="14">
        <v>0.39</v>
      </c>
      <c r="P25" s="14">
        <v>0.32</v>
      </c>
      <c r="Q25" s="14">
        <v>0.34</v>
      </c>
      <c r="R25" s="14">
        <v>0.46</v>
      </c>
      <c r="S25" s="14">
        <v>0.22</v>
      </c>
      <c r="T25" s="14">
        <v>0.19</v>
      </c>
      <c r="U25" s="14">
        <v>0.24</v>
      </c>
      <c r="V25" s="14">
        <v>0.37</v>
      </c>
      <c r="W25" s="14">
        <v>0.18</v>
      </c>
      <c r="X25" s="14">
        <v>0.26</v>
      </c>
      <c r="Y25" s="14">
        <v>0.25</v>
      </c>
      <c r="Z25" s="14">
        <v>0.17</v>
      </c>
      <c r="AA25" s="14">
        <v>0.24</v>
      </c>
      <c r="AB25" s="14">
        <v>0.48</v>
      </c>
      <c r="AC25" s="14">
        <v>0.4</v>
      </c>
      <c r="AD25" s="14">
        <v>0.2</v>
      </c>
      <c r="AE25" s="14">
        <v>0.24</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926</v>
      </c>
      <c r="C3" s="30"/>
      <c r="D3" s="30"/>
      <c r="E3" s="30"/>
      <c r="F3" s="30"/>
      <c r="H3" s="30" t="s">
        <v>927</v>
      </c>
      <c r="I3" s="30"/>
      <c r="J3" s="30"/>
      <c r="K3" s="30"/>
      <c r="L3" s="30"/>
    </row>
    <row r="4" spans="1:32" ht="27" customHeight="1" x14ac:dyDescent="0.35">
      <c r="B4" s="30" t="s">
        <v>928</v>
      </c>
      <c r="C4" s="30"/>
      <c r="D4" s="30"/>
      <c r="E4" s="30"/>
      <c r="F4" s="30"/>
      <c r="H4" s="30" t="s">
        <v>929</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7552</v>
      </c>
      <c r="D12" s="12">
        <v>160</v>
      </c>
      <c r="E12" s="12">
        <v>321</v>
      </c>
      <c r="F12" s="12">
        <v>204</v>
      </c>
      <c r="G12" s="12">
        <v>210</v>
      </c>
      <c r="H12" s="12">
        <v>443</v>
      </c>
      <c r="I12" s="12">
        <v>542</v>
      </c>
      <c r="J12" s="12">
        <v>99</v>
      </c>
      <c r="K12" s="12">
        <v>156</v>
      </c>
      <c r="L12" s="12">
        <v>262</v>
      </c>
      <c r="M12" s="12">
        <v>331</v>
      </c>
      <c r="N12" s="12">
        <v>376</v>
      </c>
      <c r="O12" s="12">
        <v>246</v>
      </c>
      <c r="P12" s="12">
        <v>232</v>
      </c>
      <c r="Q12" s="12">
        <v>325</v>
      </c>
      <c r="R12" s="12">
        <v>150</v>
      </c>
      <c r="S12" s="12">
        <v>244</v>
      </c>
      <c r="T12" s="12">
        <v>285</v>
      </c>
      <c r="U12" s="12">
        <v>93</v>
      </c>
      <c r="V12" s="12">
        <v>315</v>
      </c>
      <c r="W12" s="12">
        <v>120</v>
      </c>
      <c r="X12" s="12">
        <v>254</v>
      </c>
      <c r="Y12" s="12">
        <v>289</v>
      </c>
      <c r="Z12" s="12">
        <v>189</v>
      </c>
      <c r="AA12" s="12">
        <v>142</v>
      </c>
      <c r="AB12" s="12">
        <v>241</v>
      </c>
      <c r="AC12" s="12">
        <v>305</v>
      </c>
      <c r="AD12" s="12">
        <v>350</v>
      </c>
      <c r="AE12" s="12">
        <v>109</v>
      </c>
      <c r="AF12" s="12">
        <v>392</v>
      </c>
    </row>
    <row r="13" spans="1:32" x14ac:dyDescent="0.35">
      <c r="A13" s="31"/>
      <c r="B13" s="13" t="s">
        <v>503</v>
      </c>
      <c r="C13" s="14">
        <v>0.28999999999999998</v>
      </c>
      <c r="D13" s="14">
        <v>0.16</v>
      </c>
      <c r="E13" s="14">
        <v>0.31</v>
      </c>
      <c r="F13" s="14">
        <v>0.2</v>
      </c>
      <c r="G13" s="14">
        <v>0.21</v>
      </c>
      <c r="H13" s="14">
        <v>0.36</v>
      </c>
      <c r="I13" s="14">
        <v>0.35</v>
      </c>
      <c r="J13" s="14">
        <v>0.33</v>
      </c>
      <c r="K13" s="14">
        <v>0.15</v>
      </c>
      <c r="L13" s="14">
        <v>0.26</v>
      </c>
      <c r="M13" s="14">
        <v>0.33</v>
      </c>
      <c r="N13" s="14">
        <v>0.37</v>
      </c>
      <c r="O13" s="14">
        <v>0.25</v>
      </c>
      <c r="P13" s="14">
        <v>0.23</v>
      </c>
      <c r="Q13" s="14">
        <v>0.31</v>
      </c>
      <c r="R13" s="14">
        <v>0.3</v>
      </c>
      <c r="S13" s="14">
        <v>0.24</v>
      </c>
      <c r="T13" s="14">
        <v>0.28000000000000003</v>
      </c>
      <c r="U13" s="14">
        <v>0.18</v>
      </c>
      <c r="V13" s="14">
        <v>0.31</v>
      </c>
      <c r="W13" s="14">
        <v>0.24</v>
      </c>
      <c r="X13" s="14">
        <v>0.25</v>
      </c>
      <c r="Y13" s="14">
        <v>0.28999999999999998</v>
      </c>
      <c r="Z13" s="14">
        <v>0.18</v>
      </c>
      <c r="AA13" s="14">
        <v>0.14000000000000001</v>
      </c>
      <c r="AB13" s="14">
        <v>0.23</v>
      </c>
      <c r="AC13" s="14">
        <v>0.3</v>
      </c>
      <c r="AD13" s="14">
        <v>0.35</v>
      </c>
      <c r="AE13" s="14">
        <v>0.11</v>
      </c>
      <c r="AF13" s="14">
        <v>0.38</v>
      </c>
    </row>
    <row r="14" spans="1:32" x14ac:dyDescent="0.35">
      <c r="A14" s="31"/>
      <c r="B14" s="11" t="s">
        <v>504</v>
      </c>
      <c r="C14" s="12">
        <v>11451</v>
      </c>
      <c r="D14" s="12">
        <v>508</v>
      </c>
      <c r="E14" s="12">
        <v>435</v>
      </c>
      <c r="F14" s="12">
        <v>462</v>
      </c>
      <c r="G14" s="12">
        <v>378</v>
      </c>
      <c r="H14" s="12">
        <v>544</v>
      </c>
      <c r="I14" s="12">
        <v>669</v>
      </c>
      <c r="J14" s="12">
        <v>125</v>
      </c>
      <c r="K14" s="12">
        <v>330</v>
      </c>
      <c r="L14" s="12">
        <v>390</v>
      </c>
      <c r="M14" s="12">
        <v>445</v>
      </c>
      <c r="N14" s="12">
        <v>328</v>
      </c>
      <c r="O14" s="12">
        <v>442</v>
      </c>
      <c r="P14" s="12">
        <v>500</v>
      </c>
      <c r="Q14" s="12">
        <v>461</v>
      </c>
      <c r="R14" s="12">
        <v>215</v>
      </c>
      <c r="S14" s="12">
        <v>433</v>
      </c>
      <c r="T14" s="12">
        <v>482</v>
      </c>
      <c r="U14" s="12">
        <v>189</v>
      </c>
      <c r="V14" s="12">
        <v>418</v>
      </c>
      <c r="W14" s="12">
        <v>288</v>
      </c>
      <c r="X14" s="12">
        <v>422</v>
      </c>
      <c r="Y14" s="12">
        <v>361</v>
      </c>
      <c r="Z14" s="12">
        <v>601</v>
      </c>
      <c r="AA14" s="12">
        <v>539</v>
      </c>
      <c r="AB14" s="12">
        <v>426</v>
      </c>
      <c r="AC14" s="12">
        <v>411</v>
      </c>
      <c r="AD14" s="12">
        <v>483</v>
      </c>
      <c r="AE14" s="12">
        <v>233</v>
      </c>
      <c r="AF14" s="12">
        <v>352</v>
      </c>
    </row>
    <row r="15" spans="1:32" x14ac:dyDescent="0.35">
      <c r="A15" s="31"/>
      <c r="B15" s="13" t="s">
        <v>505</v>
      </c>
      <c r="C15" s="14">
        <v>0.43</v>
      </c>
      <c r="D15" s="14">
        <v>0.5</v>
      </c>
      <c r="E15" s="14">
        <v>0.42</v>
      </c>
      <c r="F15" s="14">
        <v>0.46</v>
      </c>
      <c r="G15" s="14">
        <v>0.37</v>
      </c>
      <c r="H15" s="14">
        <v>0.44</v>
      </c>
      <c r="I15" s="14">
        <v>0.44</v>
      </c>
      <c r="J15" s="14">
        <v>0.42</v>
      </c>
      <c r="K15" s="14">
        <v>0.33</v>
      </c>
      <c r="L15" s="14">
        <v>0.39</v>
      </c>
      <c r="M15" s="14">
        <v>0.44</v>
      </c>
      <c r="N15" s="14">
        <v>0.33</v>
      </c>
      <c r="O15" s="14">
        <v>0.44</v>
      </c>
      <c r="P15" s="14">
        <v>0.5</v>
      </c>
      <c r="Q15" s="14">
        <v>0.45</v>
      </c>
      <c r="R15" s="14">
        <v>0.43</v>
      </c>
      <c r="S15" s="14">
        <v>0.42</v>
      </c>
      <c r="T15" s="14">
        <v>0.47</v>
      </c>
      <c r="U15" s="14">
        <v>0.37</v>
      </c>
      <c r="V15" s="14">
        <v>0.41</v>
      </c>
      <c r="W15" s="14">
        <v>0.57000000000000006</v>
      </c>
      <c r="X15" s="14">
        <v>0.42</v>
      </c>
      <c r="Y15" s="14">
        <v>0.36</v>
      </c>
      <c r="Z15" s="14">
        <v>0.59</v>
      </c>
      <c r="AA15" s="14">
        <v>0.52</v>
      </c>
      <c r="AB15" s="14">
        <v>0.4</v>
      </c>
      <c r="AC15" s="14">
        <v>0.41</v>
      </c>
      <c r="AD15" s="14">
        <v>0.48</v>
      </c>
      <c r="AE15" s="14">
        <v>0.23</v>
      </c>
      <c r="AF15" s="14">
        <v>0.35</v>
      </c>
    </row>
    <row r="16" spans="1:32" x14ac:dyDescent="0.35">
      <c r="A16" s="31"/>
      <c r="B16" s="11" t="s">
        <v>506</v>
      </c>
      <c r="C16" s="12">
        <v>4133</v>
      </c>
      <c r="D16" s="12">
        <v>251</v>
      </c>
      <c r="E16" s="12">
        <v>132</v>
      </c>
      <c r="F16" s="12">
        <v>246</v>
      </c>
      <c r="G16" s="12">
        <v>276</v>
      </c>
      <c r="H16" s="12">
        <v>118</v>
      </c>
      <c r="I16" s="12">
        <v>170</v>
      </c>
      <c r="J16" s="12">
        <v>52</v>
      </c>
      <c r="K16" s="12">
        <v>294</v>
      </c>
      <c r="L16" s="12">
        <v>158</v>
      </c>
      <c r="M16" s="12">
        <v>121</v>
      </c>
      <c r="N16" s="12">
        <v>127</v>
      </c>
      <c r="O16" s="12">
        <v>134</v>
      </c>
      <c r="P16" s="12">
        <v>168</v>
      </c>
      <c r="Q16" s="12">
        <v>173</v>
      </c>
      <c r="R16" s="12">
        <v>92</v>
      </c>
      <c r="S16" s="12">
        <v>140</v>
      </c>
      <c r="T16" s="12">
        <v>103</v>
      </c>
      <c r="U16" s="12">
        <v>119</v>
      </c>
      <c r="V16" s="12">
        <v>195</v>
      </c>
      <c r="W16" s="12">
        <v>53</v>
      </c>
      <c r="X16" s="12">
        <v>247</v>
      </c>
      <c r="Y16" s="12">
        <v>200</v>
      </c>
      <c r="Z16" s="12">
        <v>139</v>
      </c>
      <c r="AA16" s="12">
        <v>132</v>
      </c>
      <c r="AB16" s="12">
        <v>248</v>
      </c>
      <c r="AC16" s="12">
        <v>176</v>
      </c>
      <c r="AD16" s="12">
        <v>130</v>
      </c>
      <c r="AE16" s="12">
        <v>389</v>
      </c>
      <c r="AF16" s="12">
        <v>165</v>
      </c>
    </row>
    <row r="17" spans="1:32" x14ac:dyDescent="0.35">
      <c r="A17" s="31"/>
      <c r="B17" s="13" t="s">
        <v>507</v>
      </c>
      <c r="C17" s="14">
        <v>0.16</v>
      </c>
      <c r="D17" s="14">
        <v>0.24</v>
      </c>
      <c r="E17" s="14">
        <v>0.12</v>
      </c>
      <c r="F17" s="14">
        <v>0.24</v>
      </c>
      <c r="G17" s="14">
        <v>0.27</v>
      </c>
      <c r="H17" s="14">
        <v>0.1</v>
      </c>
      <c r="I17" s="14">
        <v>0.11</v>
      </c>
      <c r="J17" s="14">
        <v>0.18</v>
      </c>
      <c r="K17" s="14">
        <v>0.28999999999999998</v>
      </c>
      <c r="L17" s="14">
        <v>0.16</v>
      </c>
      <c r="M17" s="14">
        <v>0.12</v>
      </c>
      <c r="N17" s="14">
        <v>0.13</v>
      </c>
      <c r="O17" s="14">
        <v>0.13</v>
      </c>
      <c r="P17" s="14">
        <v>0.17</v>
      </c>
      <c r="Q17" s="14">
        <v>0.17</v>
      </c>
      <c r="R17" s="14">
        <v>0.18</v>
      </c>
      <c r="S17" s="14">
        <v>0.14000000000000001</v>
      </c>
      <c r="T17" s="14">
        <v>0.1</v>
      </c>
      <c r="U17" s="14">
        <v>0.23</v>
      </c>
      <c r="V17" s="14">
        <v>0.19</v>
      </c>
      <c r="W17" s="14">
        <v>0.11</v>
      </c>
      <c r="X17" s="14">
        <v>0.25</v>
      </c>
      <c r="Y17" s="14">
        <v>0.2</v>
      </c>
      <c r="Z17" s="14">
        <v>0.14000000000000001</v>
      </c>
      <c r="AA17" s="14">
        <v>0.13</v>
      </c>
      <c r="AB17" s="14">
        <v>0.23</v>
      </c>
      <c r="AC17" s="14">
        <v>0.17</v>
      </c>
      <c r="AD17" s="14">
        <v>0.13</v>
      </c>
      <c r="AE17" s="14">
        <v>0.39</v>
      </c>
      <c r="AF17" s="14">
        <v>0.16</v>
      </c>
    </row>
    <row r="18" spans="1:32" x14ac:dyDescent="0.35">
      <c r="A18" s="31"/>
      <c r="B18" s="11" t="s">
        <v>508</v>
      </c>
      <c r="C18" s="12">
        <v>1050</v>
      </c>
      <c r="D18" s="12">
        <v>52</v>
      </c>
      <c r="E18" s="12">
        <v>38</v>
      </c>
      <c r="F18" s="12">
        <v>52</v>
      </c>
      <c r="G18" s="12">
        <v>63</v>
      </c>
      <c r="H18" s="12">
        <v>33</v>
      </c>
      <c r="I18" s="12">
        <v>44</v>
      </c>
      <c r="J18" s="12">
        <v>11</v>
      </c>
      <c r="K18" s="12">
        <v>51</v>
      </c>
      <c r="L18" s="12">
        <v>44</v>
      </c>
      <c r="M18" s="12">
        <v>48</v>
      </c>
      <c r="N18" s="12">
        <v>38</v>
      </c>
      <c r="O18" s="12">
        <v>41</v>
      </c>
      <c r="P18" s="12">
        <v>34</v>
      </c>
      <c r="Q18" s="12">
        <v>36</v>
      </c>
      <c r="R18" s="12">
        <v>15</v>
      </c>
      <c r="S18" s="12">
        <v>18</v>
      </c>
      <c r="T18" s="12">
        <v>18</v>
      </c>
      <c r="U18" s="12">
        <v>28</v>
      </c>
      <c r="V18" s="12">
        <v>56</v>
      </c>
      <c r="W18" s="12">
        <v>8</v>
      </c>
      <c r="X18" s="12">
        <v>32</v>
      </c>
      <c r="Y18" s="12">
        <v>62</v>
      </c>
      <c r="Z18" s="12">
        <v>19</v>
      </c>
      <c r="AA18" s="12">
        <v>52</v>
      </c>
      <c r="AB18" s="12">
        <v>71</v>
      </c>
      <c r="AC18" s="12">
        <v>65</v>
      </c>
      <c r="AD18" s="12">
        <v>13</v>
      </c>
      <c r="AE18" s="12">
        <v>147</v>
      </c>
      <c r="AF18" s="12">
        <v>67</v>
      </c>
    </row>
    <row r="19" spans="1:32" x14ac:dyDescent="0.35">
      <c r="A19" s="31"/>
      <c r="B19" s="13" t="s">
        <v>509</v>
      </c>
      <c r="C19" s="14">
        <v>0.04</v>
      </c>
      <c r="D19" s="14">
        <v>0.05</v>
      </c>
      <c r="E19" s="14">
        <v>0.04</v>
      </c>
      <c r="F19" s="14">
        <v>0.05</v>
      </c>
      <c r="G19" s="14">
        <v>0.06</v>
      </c>
      <c r="H19" s="14">
        <v>0.03</v>
      </c>
      <c r="I19" s="14">
        <v>0.03</v>
      </c>
      <c r="J19" s="14">
        <v>0.04</v>
      </c>
      <c r="K19" s="14">
        <v>0.05</v>
      </c>
      <c r="L19" s="14">
        <v>0.04</v>
      </c>
      <c r="M19" s="14">
        <v>0.05</v>
      </c>
      <c r="N19" s="14">
        <v>0.04</v>
      </c>
      <c r="O19" s="14">
        <v>0.04</v>
      </c>
      <c r="P19" s="14">
        <v>0.03</v>
      </c>
      <c r="Q19" s="14">
        <v>0.03</v>
      </c>
      <c r="R19" s="14">
        <v>0.03</v>
      </c>
      <c r="S19" s="14">
        <v>0.02</v>
      </c>
      <c r="T19" s="14">
        <v>0.02</v>
      </c>
      <c r="U19" s="14">
        <v>0.06</v>
      </c>
      <c r="V19" s="14">
        <v>0.06</v>
      </c>
      <c r="W19" s="14">
        <v>0.02</v>
      </c>
      <c r="X19" s="14">
        <v>0.03</v>
      </c>
      <c r="Y19" s="14">
        <v>0.06</v>
      </c>
      <c r="Z19" s="14">
        <v>0.02</v>
      </c>
      <c r="AA19" s="14">
        <v>0.05</v>
      </c>
      <c r="AB19" s="14">
        <v>7.0000000000000007E-2</v>
      </c>
      <c r="AC19" s="14">
        <v>7.0000000000000007E-2</v>
      </c>
      <c r="AD19" s="14">
        <v>0.01</v>
      </c>
      <c r="AE19" s="14">
        <v>0.14000000000000001</v>
      </c>
      <c r="AF19" s="14">
        <v>7.0000000000000007E-2</v>
      </c>
    </row>
    <row r="20" spans="1:32" x14ac:dyDescent="0.35">
      <c r="A20" s="31"/>
      <c r="B20" s="11" t="s">
        <v>344</v>
      </c>
      <c r="C20" s="12">
        <v>2225</v>
      </c>
      <c r="D20" s="12">
        <v>53</v>
      </c>
      <c r="E20" s="12">
        <v>113</v>
      </c>
      <c r="F20" s="12">
        <v>54</v>
      </c>
      <c r="G20" s="12">
        <v>89</v>
      </c>
      <c r="H20" s="12">
        <v>93</v>
      </c>
      <c r="I20" s="12">
        <v>104</v>
      </c>
      <c r="J20" s="12">
        <v>10</v>
      </c>
      <c r="K20" s="12">
        <v>178</v>
      </c>
      <c r="L20" s="12">
        <v>150</v>
      </c>
      <c r="M20" s="12">
        <v>59</v>
      </c>
      <c r="N20" s="12">
        <v>132</v>
      </c>
      <c r="O20" s="12">
        <v>136</v>
      </c>
      <c r="P20" s="12">
        <v>70</v>
      </c>
      <c r="Q20" s="12">
        <v>40</v>
      </c>
      <c r="R20" s="12">
        <v>28</v>
      </c>
      <c r="S20" s="12">
        <v>186</v>
      </c>
      <c r="T20" s="12">
        <v>129</v>
      </c>
      <c r="U20" s="12">
        <v>80</v>
      </c>
      <c r="V20" s="12">
        <v>30</v>
      </c>
      <c r="W20" s="12">
        <v>32</v>
      </c>
      <c r="X20" s="12">
        <v>55</v>
      </c>
      <c r="Y20" s="12">
        <v>91</v>
      </c>
      <c r="Z20" s="12">
        <v>71</v>
      </c>
      <c r="AA20" s="12">
        <v>165</v>
      </c>
      <c r="AB20" s="12">
        <v>70</v>
      </c>
      <c r="AC20" s="12">
        <v>55</v>
      </c>
      <c r="AD20" s="12">
        <v>28</v>
      </c>
      <c r="AE20" s="12">
        <v>128</v>
      </c>
      <c r="AF20" s="12">
        <v>45</v>
      </c>
    </row>
    <row r="21" spans="1:32" x14ac:dyDescent="0.35">
      <c r="A21" s="31"/>
      <c r="B21" s="13" t="s">
        <v>357</v>
      </c>
      <c r="C21" s="14">
        <v>0.08</v>
      </c>
      <c r="D21" s="14">
        <v>0.05</v>
      </c>
      <c r="E21" s="14">
        <v>0.11</v>
      </c>
      <c r="F21" s="14">
        <v>0.05</v>
      </c>
      <c r="G21" s="14">
        <v>0.09</v>
      </c>
      <c r="H21" s="14">
        <v>7.0000000000000007E-2</v>
      </c>
      <c r="I21" s="14">
        <v>7.0000000000000007E-2</v>
      </c>
      <c r="J21" s="14">
        <v>0.03</v>
      </c>
      <c r="K21" s="14">
        <v>0.18</v>
      </c>
      <c r="L21" s="14">
        <v>0.15</v>
      </c>
      <c r="M21" s="14">
        <v>0.06</v>
      </c>
      <c r="N21" s="14">
        <v>0.13</v>
      </c>
      <c r="O21" s="14">
        <v>0.14000000000000001</v>
      </c>
      <c r="P21" s="14">
        <v>7.0000000000000007E-2</v>
      </c>
      <c r="Q21" s="14">
        <v>0.04</v>
      </c>
      <c r="R21" s="14">
        <v>0.06</v>
      </c>
      <c r="S21" s="14">
        <v>0.18</v>
      </c>
      <c r="T21" s="14">
        <v>0.13</v>
      </c>
      <c r="U21" s="14">
        <v>0.16</v>
      </c>
      <c r="V21" s="14">
        <v>0.03</v>
      </c>
      <c r="W21" s="14">
        <v>0.06</v>
      </c>
      <c r="X21" s="14">
        <v>0.05</v>
      </c>
      <c r="Y21" s="14">
        <v>0.09</v>
      </c>
      <c r="Z21" s="14">
        <v>7.0000000000000007E-2</v>
      </c>
      <c r="AA21" s="14">
        <v>0.16</v>
      </c>
      <c r="AB21" s="14">
        <v>7.0000000000000007E-2</v>
      </c>
      <c r="AC21" s="14">
        <v>0.05</v>
      </c>
      <c r="AD21" s="14">
        <v>0.03</v>
      </c>
      <c r="AE21" s="14">
        <v>0.13</v>
      </c>
      <c r="AF21" s="14">
        <v>0.04</v>
      </c>
    </row>
    <row r="22" spans="1:32" x14ac:dyDescent="0.35">
      <c r="A22" s="31"/>
      <c r="B22" s="11" t="s">
        <v>510</v>
      </c>
      <c r="C22" s="12">
        <v>19003</v>
      </c>
      <c r="D22" s="12">
        <v>668</v>
      </c>
      <c r="E22" s="12">
        <v>756</v>
      </c>
      <c r="F22" s="12">
        <v>666</v>
      </c>
      <c r="G22" s="12">
        <v>588</v>
      </c>
      <c r="H22" s="12">
        <v>987</v>
      </c>
      <c r="I22" s="12">
        <v>1211</v>
      </c>
      <c r="J22" s="12">
        <v>224</v>
      </c>
      <c r="K22" s="12">
        <v>486</v>
      </c>
      <c r="L22" s="12">
        <v>652</v>
      </c>
      <c r="M22" s="12">
        <v>776</v>
      </c>
      <c r="N22" s="12">
        <v>704</v>
      </c>
      <c r="O22" s="12">
        <v>688</v>
      </c>
      <c r="P22" s="12">
        <v>732</v>
      </c>
      <c r="Q22" s="12">
        <v>786</v>
      </c>
      <c r="R22" s="12">
        <v>365</v>
      </c>
      <c r="S22" s="12">
        <v>677</v>
      </c>
      <c r="T22" s="12">
        <v>767</v>
      </c>
      <c r="U22" s="12">
        <v>282</v>
      </c>
      <c r="V22" s="12">
        <v>733</v>
      </c>
      <c r="W22" s="12">
        <v>408</v>
      </c>
      <c r="X22" s="12">
        <v>676</v>
      </c>
      <c r="Y22" s="12">
        <v>650</v>
      </c>
      <c r="Z22" s="12">
        <v>790</v>
      </c>
      <c r="AA22" s="12">
        <v>681</v>
      </c>
      <c r="AB22" s="12">
        <v>667</v>
      </c>
      <c r="AC22" s="12">
        <v>716</v>
      </c>
      <c r="AD22" s="12">
        <v>833</v>
      </c>
      <c r="AE22" s="12">
        <v>342</v>
      </c>
      <c r="AF22" s="12">
        <v>744</v>
      </c>
    </row>
    <row r="23" spans="1:32" x14ac:dyDescent="0.35">
      <c r="A23" s="31"/>
      <c r="B23" s="13" t="s">
        <v>511</v>
      </c>
      <c r="C23" s="14">
        <v>0.72</v>
      </c>
      <c r="D23" s="14">
        <v>0.66</v>
      </c>
      <c r="E23" s="14">
        <v>0.73</v>
      </c>
      <c r="F23" s="14">
        <v>0.66</v>
      </c>
      <c r="G23" s="14">
        <v>0.57999999999999996</v>
      </c>
      <c r="H23" s="14">
        <v>0.8</v>
      </c>
      <c r="I23" s="14">
        <v>0.79</v>
      </c>
      <c r="J23" s="14">
        <v>0.75</v>
      </c>
      <c r="K23" s="14">
        <v>0.48</v>
      </c>
      <c r="L23" s="14">
        <v>0.65</v>
      </c>
      <c r="M23" s="14">
        <v>0.77</v>
      </c>
      <c r="N23" s="14">
        <v>0.70000000000000007</v>
      </c>
      <c r="O23" s="14">
        <v>0.69000000000000006</v>
      </c>
      <c r="P23" s="14">
        <v>0.73</v>
      </c>
      <c r="Q23" s="14">
        <v>0.76</v>
      </c>
      <c r="R23" s="14">
        <v>0.73</v>
      </c>
      <c r="S23" s="14">
        <v>0.66</v>
      </c>
      <c r="T23" s="14">
        <v>0.75</v>
      </c>
      <c r="U23" s="14">
        <v>0.55000000000000004</v>
      </c>
      <c r="V23" s="14">
        <v>0.72</v>
      </c>
      <c r="W23" s="14">
        <v>0.81</v>
      </c>
      <c r="X23" s="14">
        <v>0.67</v>
      </c>
      <c r="Y23" s="14">
        <v>0.65</v>
      </c>
      <c r="Z23" s="14">
        <v>0.77</v>
      </c>
      <c r="AA23" s="14">
        <v>0.66</v>
      </c>
      <c r="AB23" s="14">
        <v>0.63</v>
      </c>
      <c r="AC23" s="14">
        <v>0.71</v>
      </c>
      <c r="AD23" s="14">
        <v>0.83000000000000007</v>
      </c>
      <c r="AE23" s="14">
        <v>0.34</v>
      </c>
      <c r="AF23" s="14">
        <v>0.73</v>
      </c>
    </row>
    <row r="24" spans="1:32" x14ac:dyDescent="0.35">
      <c r="A24" s="31"/>
      <c r="B24" s="11" t="s">
        <v>512</v>
      </c>
      <c r="C24" s="12">
        <v>5183</v>
      </c>
      <c r="D24" s="12">
        <v>303</v>
      </c>
      <c r="E24" s="12">
        <v>170</v>
      </c>
      <c r="F24" s="12">
        <v>298</v>
      </c>
      <c r="G24" s="12">
        <v>339</v>
      </c>
      <c r="H24" s="12">
        <v>151</v>
      </c>
      <c r="I24" s="12">
        <v>214</v>
      </c>
      <c r="J24" s="12">
        <v>63</v>
      </c>
      <c r="K24" s="12">
        <v>345</v>
      </c>
      <c r="L24" s="12">
        <v>202</v>
      </c>
      <c r="M24" s="12">
        <v>169</v>
      </c>
      <c r="N24" s="12">
        <v>165</v>
      </c>
      <c r="O24" s="12">
        <v>175</v>
      </c>
      <c r="P24" s="12">
        <v>202</v>
      </c>
      <c r="Q24" s="12">
        <v>209</v>
      </c>
      <c r="R24" s="12">
        <v>107</v>
      </c>
      <c r="S24" s="12">
        <v>158</v>
      </c>
      <c r="T24" s="12">
        <v>121</v>
      </c>
      <c r="U24" s="12">
        <v>147</v>
      </c>
      <c r="V24" s="12">
        <v>251</v>
      </c>
      <c r="W24" s="12">
        <v>61</v>
      </c>
      <c r="X24" s="12">
        <v>279</v>
      </c>
      <c r="Y24" s="12">
        <v>262</v>
      </c>
      <c r="Z24" s="12">
        <v>158</v>
      </c>
      <c r="AA24" s="12">
        <v>184</v>
      </c>
      <c r="AB24" s="12">
        <v>319</v>
      </c>
      <c r="AC24" s="12">
        <v>241</v>
      </c>
      <c r="AD24" s="12">
        <v>143</v>
      </c>
      <c r="AE24" s="12">
        <v>536</v>
      </c>
      <c r="AF24" s="12">
        <v>232</v>
      </c>
    </row>
    <row r="25" spans="1:32" x14ac:dyDescent="0.35">
      <c r="A25" s="31"/>
      <c r="B25" s="13" t="s">
        <v>513</v>
      </c>
      <c r="C25" s="14">
        <v>0.2</v>
      </c>
      <c r="D25" s="14">
        <v>0.28999999999999998</v>
      </c>
      <c r="E25" s="14">
        <v>0.16</v>
      </c>
      <c r="F25" s="14">
        <v>0.28999999999999998</v>
      </c>
      <c r="G25" s="14">
        <v>0.33</v>
      </c>
      <c r="H25" s="14">
        <v>0.13</v>
      </c>
      <c r="I25" s="14">
        <v>0.14000000000000001</v>
      </c>
      <c r="J25" s="14">
        <v>0.22</v>
      </c>
      <c r="K25" s="14">
        <v>0.34</v>
      </c>
      <c r="L25" s="14">
        <v>0.2</v>
      </c>
      <c r="M25" s="14">
        <v>0.17</v>
      </c>
      <c r="N25" s="14">
        <v>0.17</v>
      </c>
      <c r="O25" s="14">
        <v>0.17</v>
      </c>
      <c r="P25" s="14">
        <v>0.2</v>
      </c>
      <c r="Q25" s="14">
        <v>0.2</v>
      </c>
      <c r="R25" s="14">
        <v>0.21</v>
      </c>
      <c r="S25" s="14">
        <v>0.16</v>
      </c>
      <c r="T25" s="14">
        <v>0.12</v>
      </c>
      <c r="U25" s="14">
        <v>0.28999999999999998</v>
      </c>
      <c r="V25" s="14">
        <v>0.25</v>
      </c>
      <c r="W25" s="14">
        <v>0.13</v>
      </c>
      <c r="X25" s="14">
        <v>0.28000000000000003</v>
      </c>
      <c r="Y25" s="14">
        <v>0.26</v>
      </c>
      <c r="Z25" s="14">
        <v>0.16</v>
      </c>
      <c r="AA25" s="14">
        <v>0.18</v>
      </c>
      <c r="AB25" s="14">
        <v>0.3</v>
      </c>
      <c r="AC25" s="14">
        <v>0.24</v>
      </c>
      <c r="AD25" s="14">
        <v>0.14000000000000001</v>
      </c>
      <c r="AE25" s="14">
        <v>0.53</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3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159</v>
      </c>
      <c r="C3" s="30"/>
      <c r="D3" s="30"/>
      <c r="E3" s="30"/>
      <c r="F3" s="30"/>
      <c r="H3" s="30" t="s">
        <v>160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61.5" x14ac:dyDescent="0.35">
      <c r="A12" s="31"/>
      <c r="B12" s="11" t="s">
        <v>930</v>
      </c>
      <c r="C12" s="12">
        <v>11072</v>
      </c>
      <c r="D12" s="12">
        <v>413</v>
      </c>
      <c r="E12" s="12">
        <v>353</v>
      </c>
      <c r="F12" s="12">
        <v>289</v>
      </c>
      <c r="G12" s="12">
        <v>519</v>
      </c>
      <c r="H12" s="12">
        <v>622</v>
      </c>
      <c r="I12" s="12">
        <v>749</v>
      </c>
      <c r="J12" s="12">
        <v>127</v>
      </c>
      <c r="K12" s="12">
        <v>279</v>
      </c>
      <c r="L12" s="12">
        <v>320</v>
      </c>
      <c r="M12" s="12">
        <v>384</v>
      </c>
      <c r="N12" s="12">
        <v>429</v>
      </c>
      <c r="O12" s="12">
        <v>432</v>
      </c>
      <c r="P12" s="12">
        <v>367</v>
      </c>
      <c r="Q12" s="12">
        <v>430</v>
      </c>
      <c r="R12" s="12">
        <v>180</v>
      </c>
      <c r="S12" s="12">
        <v>321</v>
      </c>
      <c r="T12" s="12">
        <v>366</v>
      </c>
      <c r="U12" s="12">
        <v>213</v>
      </c>
      <c r="V12" s="12">
        <v>306</v>
      </c>
      <c r="W12" s="12">
        <v>220</v>
      </c>
      <c r="X12" s="12">
        <v>560</v>
      </c>
      <c r="Y12" s="12">
        <v>361</v>
      </c>
      <c r="Z12" s="12">
        <v>292</v>
      </c>
      <c r="AA12" s="12">
        <v>286</v>
      </c>
      <c r="AB12" s="12">
        <v>329</v>
      </c>
      <c r="AC12" s="12">
        <v>395</v>
      </c>
      <c r="AD12" s="12">
        <v>443</v>
      </c>
      <c r="AE12" s="12">
        <v>552</v>
      </c>
      <c r="AF12" s="12">
        <v>742</v>
      </c>
    </row>
    <row r="13" spans="1:32" ht="41.5" x14ac:dyDescent="0.35">
      <c r="A13" s="31"/>
      <c r="B13" s="13" t="s">
        <v>931</v>
      </c>
      <c r="C13" s="14">
        <v>0.42</v>
      </c>
      <c r="D13" s="14">
        <v>0.4</v>
      </c>
      <c r="E13" s="14">
        <v>0.34</v>
      </c>
      <c r="F13" s="14">
        <v>0.28000000000000003</v>
      </c>
      <c r="G13" s="14">
        <v>0.51</v>
      </c>
      <c r="H13" s="14">
        <v>0.5</v>
      </c>
      <c r="I13" s="14">
        <v>0.49</v>
      </c>
      <c r="J13" s="14">
        <v>0.43</v>
      </c>
      <c r="K13" s="14">
        <v>0.28000000000000003</v>
      </c>
      <c r="L13" s="14">
        <v>0.32</v>
      </c>
      <c r="M13" s="14">
        <v>0.38</v>
      </c>
      <c r="N13" s="14">
        <v>0.43</v>
      </c>
      <c r="O13" s="14">
        <v>0.43</v>
      </c>
      <c r="P13" s="14">
        <v>0.37</v>
      </c>
      <c r="Q13" s="14">
        <v>0.42</v>
      </c>
      <c r="R13" s="14">
        <v>0.36</v>
      </c>
      <c r="S13" s="14">
        <v>0.31</v>
      </c>
      <c r="T13" s="14">
        <v>0.36</v>
      </c>
      <c r="U13" s="14">
        <v>0.42</v>
      </c>
      <c r="V13" s="14">
        <v>0.3</v>
      </c>
      <c r="W13" s="14">
        <v>0.44</v>
      </c>
      <c r="X13" s="14">
        <v>0.55000000000000004</v>
      </c>
      <c r="Y13" s="14">
        <v>0.36</v>
      </c>
      <c r="Z13" s="14">
        <v>0.28999999999999998</v>
      </c>
      <c r="AA13" s="14">
        <v>0.28000000000000003</v>
      </c>
      <c r="AB13" s="14">
        <v>0.31</v>
      </c>
      <c r="AC13" s="14">
        <v>0.39</v>
      </c>
      <c r="AD13" s="14">
        <v>0.44</v>
      </c>
      <c r="AE13" s="14">
        <v>0.55000000000000004</v>
      </c>
      <c r="AF13" s="14">
        <v>0.73</v>
      </c>
    </row>
    <row r="14" spans="1:32" ht="31.5" x14ac:dyDescent="0.35">
      <c r="A14" s="31"/>
      <c r="B14" s="11" t="s">
        <v>932</v>
      </c>
      <c r="C14" s="12">
        <v>6107</v>
      </c>
      <c r="D14" s="12">
        <v>269</v>
      </c>
      <c r="E14" s="12">
        <v>191</v>
      </c>
      <c r="F14" s="12">
        <v>248</v>
      </c>
      <c r="G14" s="12">
        <v>376</v>
      </c>
      <c r="H14" s="12">
        <v>377</v>
      </c>
      <c r="I14" s="12">
        <v>428</v>
      </c>
      <c r="J14" s="12">
        <v>52</v>
      </c>
      <c r="K14" s="12">
        <v>254</v>
      </c>
      <c r="L14" s="12">
        <v>290</v>
      </c>
      <c r="M14" s="12">
        <v>163</v>
      </c>
      <c r="N14" s="12">
        <v>145</v>
      </c>
      <c r="O14" s="12">
        <v>220</v>
      </c>
      <c r="P14" s="12">
        <v>192</v>
      </c>
      <c r="Q14" s="12">
        <v>248</v>
      </c>
      <c r="R14" s="12">
        <v>42</v>
      </c>
      <c r="S14" s="12">
        <v>237</v>
      </c>
      <c r="T14" s="12">
        <v>265</v>
      </c>
      <c r="U14" s="12">
        <v>111</v>
      </c>
      <c r="V14" s="12">
        <v>216</v>
      </c>
      <c r="W14" s="12">
        <v>114</v>
      </c>
      <c r="X14" s="12">
        <v>345</v>
      </c>
      <c r="Y14" s="12">
        <v>217</v>
      </c>
      <c r="Z14" s="12">
        <v>169</v>
      </c>
      <c r="AA14" s="12">
        <v>167</v>
      </c>
      <c r="AB14" s="12">
        <v>221</v>
      </c>
      <c r="AC14" s="12">
        <v>173</v>
      </c>
      <c r="AD14" s="12">
        <v>243</v>
      </c>
      <c r="AE14" s="12">
        <v>289</v>
      </c>
      <c r="AF14" s="12">
        <v>401</v>
      </c>
    </row>
    <row r="15" spans="1:32" ht="31.5" x14ac:dyDescent="0.35">
      <c r="A15" s="31"/>
      <c r="B15" s="13" t="s">
        <v>933</v>
      </c>
      <c r="C15" s="14">
        <v>0.23</v>
      </c>
      <c r="D15" s="14">
        <v>0.26</v>
      </c>
      <c r="E15" s="14">
        <v>0.18</v>
      </c>
      <c r="F15" s="14">
        <v>0.24</v>
      </c>
      <c r="G15" s="14">
        <v>0.37</v>
      </c>
      <c r="H15" s="14">
        <v>0.31</v>
      </c>
      <c r="I15" s="14">
        <v>0.28000000000000003</v>
      </c>
      <c r="J15" s="14">
        <v>0.17</v>
      </c>
      <c r="K15" s="14">
        <v>0.25</v>
      </c>
      <c r="L15" s="14">
        <v>0.28999999999999998</v>
      </c>
      <c r="M15" s="14">
        <v>0.16</v>
      </c>
      <c r="N15" s="14">
        <v>0.15</v>
      </c>
      <c r="O15" s="14">
        <v>0.22</v>
      </c>
      <c r="P15" s="14">
        <v>0.19</v>
      </c>
      <c r="Q15" s="14">
        <v>0.24</v>
      </c>
      <c r="R15" s="14">
        <v>0.08</v>
      </c>
      <c r="S15" s="14">
        <v>0.23</v>
      </c>
      <c r="T15" s="14">
        <v>0.26</v>
      </c>
      <c r="U15" s="14">
        <v>0.22</v>
      </c>
      <c r="V15" s="14">
        <v>0.21</v>
      </c>
      <c r="W15" s="14">
        <v>0.23</v>
      </c>
      <c r="X15" s="14">
        <v>0.34</v>
      </c>
      <c r="Y15" s="14">
        <v>0.22</v>
      </c>
      <c r="Z15" s="14">
        <v>0.17</v>
      </c>
      <c r="AA15" s="14">
        <v>0.16</v>
      </c>
      <c r="AB15" s="14">
        <v>0.21</v>
      </c>
      <c r="AC15" s="14">
        <v>0.17</v>
      </c>
      <c r="AD15" s="14">
        <v>0.24</v>
      </c>
      <c r="AE15" s="14">
        <v>0.28999999999999998</v>
      </c>
      <c r="AF15" s="14">
        <v>0.39</v>
      </c>
    </row>
    <row r="16" spans="1:32" ht="71.5" x14ac:dyDescent="0.35">
      <c r="A16" s="31"/>
      <c r="B16" s="11" t="s">
        <v>934</v>
      </c>
      <c r="C16" s="12">
        <v>8511</v>
      </c>
      <c r="D16" s="12">
        <v>303</v>
      </c>
      <c r="E16" s="12">
        <v>291</v>
      </c>
      <c r="F16" s="12">
        <v>234</v>
      </c>
      <c r="G16" s="12">
        <v>415</v>
      </c>
      <c r="H16" s="12">
        <v>347</v>
      </c>
      <c r="I16" s="12">
        <v>445</v>
      </c>
      <c r="J16" s="12">
        <v>99</v>
      </c>
      <c r="K16" s="12">
        <v>266</v>
      </c>
      <c r="L16" s="12">
        <v>363</v>
      </c>
      <c r="M16" s="12">
        <v>389</v>
      </c>
      <c r="N16" s="12">
        <v>326</v>
      </c>
      <c r="O16" s="12">
        <v>330</v>
      </c>
      <c r="P16" s="12">
        <v>286</v>
      </c>
      <c r="Q16" s="12">
        <v>414</v>
      </c>
      <c r="R16" s="12">
        <v>221</v>
      </c>
      <c r="S16" s="12">
        <v>206</v>
      </c>
      <c r="T16" s="12">
        <v>342</v>
      </c>
      <c r="U16" s="12">
        <v>175</v>
      </c>
      <c r="V16" s="12">
        <v>348</v>
      </c>
      <c r="W16" s="12">
        <v>186</v>
      </c>
      <c r="X16" s="12">
        <v>307</v>
      </c>
      <c r="Y16" s="12">
        <v>324</v>
      </c>
      <c r="Z16" s="12">
        <v>310</v>
      </c>
      <c r="AA16" s="12">
        <v>367</v>
      </c>
      <c r="AB16" s="12">
        <v>298</v>
      </c>
      <c r="AC16" s="12">
        <v>288</v>
      </c>
      <c r="AD16" s="12">
        <v>278</v>
      </c>
      <c r="AE16" s="12">
        <v>276</v>
      </c>
      <c r="AF16" s="12">
        <v>266</v>
      </c>
    </row>
    <row r="17" spans="1:32" ht="51.5" x14ac:dyDescent="0.35">
      <c r="A17" s="31"/>
      <c r="B17" s="13" t="s">
        <v>935</v>
      </c>
      <c r="C17" s="14">
        <v>0.32</v>
      </c>
      <c r="D17" s="14">
        <v>0.3</v>
      </c>
      <c r="E17" s="14">
        <v>0.28000000000000003</v>
      </c>
      <c r="F17" s="14">
        <v>0.23</v>
      </c>
      <c r="G17" s="14">
        <v>0.41</v>
      </c>
      <c r="H17" s="14">
        <v>0.28000000000000003</v>
      </c>
      <c r="I17" s="14">
        <v>0.28999999999999998</v>
      </c>
      <c r="J17" s="14">
        <v>0.33</v>
      </c>
      <c r="K17" s="14">
        <v>0.26</v>
      </c>
      <c r="L17" s="14">
        <v>0.36</v>
      </c>
      <c r="M17" s="14">
        <v>0.39</v>
      </c>
      <c r="N17" s="14">
        <v>0.33</v>
      </c>
      <c r="O17" s="14">
        <v>0.33</v>
      </c>
      <c r="P17" s="14">
        <v>0.28000000000000003</v>
      </c>
      <c r="Q17" s="14">
        <v>0.4</v>
      </c>
      <c r="R17" s="14">
        <v>0.44</v>
      </c>
      <c r="S17" s="14">
        <v>0.2</v>
      </c>
      <c r="T17" s="14">
        <v>0.34</v>
      </c>
      <c r="U17" s="14">
        <v>0.34</v>
      </c>
      <c r="V17" s="14">
        <v>0.34</v>
      </c>
      <c r="W17" s="14">
        <v>0.37</v>
      </c>
      <c r="X17" s="14">
        <v>0.3</v>
      </c>
      <c r="Y17" s="14">
        <v>0.32</v>
      </c>
      <c r="Z17" s="14">
        <v>0.3</v>
      </c>
      <c r="AA17" s="14">
        <v>0.36</v>
      </c>
      <c r="AB17" s="14">
        <v>0.28000000000000003</v>
      </c>
      <c r="AC17" s="14">
        <v>0.28000000000000003</v>
      </c>
      <c r="AD17" s="14">
        <v>0.28000000000000003</v>
      </c>
      <c r="AE17" s="14">
        <v>0.27</v>
      </c>
      <c r="AF17" s="14">
        <v>0.26</v>
      </c>
    </row>
    <row r="18" spans="1:32" ht="41.5" x14ac:dyDescent="0.35">
      <c r="A18" s="31"/>
      <c r="B18" s="11" t="s">
        <v>936</v>
      </c>
      <c r="C18" s="12">
        <v>12831</v>
      </c>
      <c r="D18" s="12">
        <v>500</v>
      </c>
      <c r="E18" s="12">
        <v>473</v>
      </c>
      <c r="F18" s="12">
        <v>563</v>
      </c>
      <c r="G18" s="12">
        <v>574</v>
      </c>
      <c r="H18" s="12">
        <v>684</v>
      </c>
      <c r="I18" s="12">
        <v>870</v>
      </c>
      <c r="J18" s="12">
        <v>185</v>
      </c>
      <c r="K18" s="12">
        <v>394</v>
      </c>
      <c r="L18" s="12">
        <v>461</v>
      </c>
      <c r="M18" s="12">
        <v>551</v>
      </c>
      <c r="N18" s="12">
        <v>510</v>
      </c>
      <c r="O18" s="12">
        <v>441</v>
      </c>
      <c r="P18" s="12">
        <v>389</v>
      </c>
      <c r="Q18" s="12">
        <v>457</v>
      </c>
      <c r="R18" s="12">
        <v>278</v>
      </c>
      <c r="S18" s="12">
        <v>399</v>
      </c>
      <c r="T18" s="12">
        <v>414</v>
      </c>
      <c r="U18" s="12">
        <v>213</v>
      </c>
      <c r="V18" s="12">
        <v>385</v>
      </c>
      <c r="W18" s="12">
        <v>202</v>
      </c>
      <c r="X18" s="12">
        <v>676</v>
      </c>
      <c r="Y18" s="12">
        <v>497</v>
      </c>
      <c r="Z18" s="12">
        <v>355</v>
      </c>
      <c r="AA18" s="12">
        <v>489</v>
      </c>
      <c r="AB18" s="12">
        <v>359</v>
      </c>
      <c r="AC18" s="12">
        <v>541</v>
      </c>
      <c r="AD18" s="12">
        <v>530</v>
      </c>
      <c r="AE18" s="12">
        <v>577</v>
      </c>
      <c r="AF18" s="12">
        <v>661</v>
      </c>
    </row>
    <row r="19" spans="1:32" ht="31.5" x14ac:dyDescent="0.35">
      <c r="A19" s="31"/>
      <c r="B19" s="13" t="s">
        <v>937</v>
      </c>
      <c r="C19" s="14">
        <v>0.49</v>
      </c>
      <c r="D19" s="14">
        <v>0.49</v>
      </c>
      <c r="E19" s="14">
        <v>0.45</v>
      </c>
      <c r="F19" s="14">
        <v>0.55000000000000004</v>
      </c>
      <c r="G19" s="14">
        <v>0.56000000000000005</v>
      </c>
      <c r="H19" s="14">
        <v>0.56000000000000005</v>
      </c>
      <c r="I19" s="14">
        <v>0.57000000000000006</v>
      </c>
      <c r="J19" s="14">
        <v>0.62</v>
      </c>
      <c r="K19" s="14">
        <v>0.39</v>
      </c>
      <c r="L19" s="14">
        <v>0.46</v>
      </c>
      <c r="M19" s="14">
        <v>0.55000000000000004</v>
      </c>
      <c r="N19" s="14">
        <v>0.51</v>
      </c>
      <c r="O19" s="14">
        <v>0.44</v>
      </c>
      <c r="P19" s="14">
        <v>0.39</v>
      </c>
      <c r="Q19" s="14">
        <v>0.44</v>
      </c>
      <c r="R19" s="14">
        <v>0.56000000000000005</v>
      </c>
      <c r="S19" s="14">
        <v>0.39</v>
      </c>
      <c r="T19" s="14">
        <v>0.41</v>
      </c>
      <c r="U19" s="14">
        <v>0.42</v>
      </c>
      <c r="V19" s="14">
        <v>0.38</v>
      </c>
      <c r="W19" s="14">
        <v>0.4</v>
      </c>
      <c r="X19" s="14">
        <v>0.67</v>
      </c>
      <c r="Y19" s="14">
        <v>0.5</v>
      </c>
      <c r="Z19" s="14">
        <v>0.35</v>
      </c>
      <c r="AA19" s="14">
        <v>0.47</v>
      </c>
      <c r="AB19" s="14">
        <v>0.34</v>
      </c>
      <c r="AC19" s="14">
        <v>0.53</v>
      </c>
      <c r="AD19" s="14">
        <v>0.53</v>
      </c>
      <c r="AE19" s="14">
        <v>0.57000000000000006</v>
      </c>
      <c r="AF19" s="14">
        <v>0.65</v>
      </c>
    </row>
    <row r="20" spans="1:32" ht="61.5" x14ac:dyDescent="0.35">
      <c r="A20" s="31"/>
      <c r="B20" s="11" t="s">
        <v>938</v>
      </c>
      <c r="C20" s="12">
        <v>6116</v>
      </c>
      <c r="D20" s="12">
        <v>215</v>
      </c>
      <c r="E20" s="12">
        <v>277</v>
      </c>
      <c r="F20" s="12">
        <v>191</v>
      </c>
      <c r="G20" s="12">
        <v>163</v>
      </c>
      <c r="H20" s="12">
        <v>223</v>
      </c>
      <c r="I20" s="12">
        <v>320</v>
      </c>
      <c r="J20" s="12">
        <v>97</v>
      </c>
      <c r="K20" s="12">
        <v>223</v>
      </c>
      <c r="L20" s="12">
        <v>257</v>
      </c>
      <c r="M20" s="12">
        <v>383</v>
      </c>
      <c r="N20" s="12">
        <v>226</v>
      </c>
      <c r="O20" s="12">
        <v>218</v>
      </c>
      <c r="P20" s="12">
        <v>353</v>
      </c>
      <c r="Q20" s="12">
        <v>323</v>
      </c>
      <c r="R20" s="12">
        <v>154</v>
      </c>
      <c r="S20" s="12">
        <v>140</v>
      </c>
      <c r="T20" s="12">
        <v>168</v>
      </c>
      <c r="U20" s="12">
        <v>113</v>
      </c>
      <c r="V20" s="12">
        <v>309</v>
      </c>
      <c r="W20" s="12">
        <v>115</v>
      </c>
      <c r="X20" s="12">
        <v>167</v>
      </c>
      <c r="Y20" s="12">
        <v>340</v>
      </c>
      <c r="Z20" s="12">
        <v>196</v>
      </c>
      <c r="AA20" s="12">
        <v>234</v>
      </c>
      <c r="AB20" s="12">
        <v>210</v>
      </c>
      <c r="AC20" s="12">
        <v>196</v>
      </c>
      <c r="AD20" s="12">
        <v>223</v>
      </c>
      <c r="AE20" s="12">
        <v>163</v>
      </c>
      <c r="AF20" s="12">
        <v>169</v>
      </c>
    </row>
    <row r="21" spans="1:32" ht="41.5" x14ac:dyDescent="0.35">
      <c r="A21" s="31"/>
      <c r="B21" s="13" t="s">
        <v>939</v>
      </c>
      <c r="C21" s="14">
        <v>0.23</v>
      </c>
      <c r="D21" s="14">
        <v>0.21</v>
      </c>
      <c r="E21" s="14">
        <v>0.27</v>
      </c>
      <c r="F21" s="14">
        <v>0.19</v>
      </c>
      <c r="G21" s="14">
        <v>0.16</v>
      </c>
      <c r="H21" s="14">
        <v>0.18</v>
      </c>
      <c r="I21" s="14">
        <v>0.21</v>
      </c>
      <c r="J21" s="14">
        <v>0.33</v>
      </c>
      <c r="K21" s="14">
        <v>0.22</v>
      </c>
      <c r="L21" s="14">
        <v>0.26</v>
      </c>
      <c r="M21" s="14">
        <v>0.38</v>
      </c>
      <c r="N21" s="14">
        <v>0.23</v>
      </c>
      <c r="O21" s="14">
        <v>0.22</v>
      </c>
      <c r="P21" s="14">
        <v>0.35</v>
      </c>
      <c r="Q21" s="14">
        <v>0.31</v>
      </c>
      <c r="R21" s="14">
        <v>0.31</v>
      </c>
      <c r="S21" s="14">
        <v>0.14000000000000001</v>
      </c>
      <c r="T21" s="14">
        <v>0.16</v>
      </c>
      <c r="U21" s="14">
        <v>0.22</v>
      </c>
      <c r="V21" s="14">
        <v>0.3</v>
      </c>
      <c r="W21" s="14">
        <v>0.23</v>
      </c>
      <c r="X21" s="14">
        <v>0.17</v>
      </c>
      <c r="Y21" s="14">
        <v>0.34</v>
      </c>
      <c r="Z21" s="14">
        <v>0.19</v>
      </c>
      <c r="AA21" s="14">
        <v>0.23</v>
      </c>
      <c r="AB21" s="14">
        <v>0.2</v>
      </c>
      <c r="AC21" s="14">
        <v>0.19</v>
      </c>
      <c r="AD21" s="14">
        <v>0.22</v>
      </c>
      <c r="AE21" s="14">
        <v>0.16</v>
      </c>
      <c r="AF21" s="14">
        <v>0.17</v>
      </c>
    </row>
    <row r="22" spans="1:32" ht="61.5" x14ac:dyDescent="0.35">
      <c r="A22" s="31"/>
      <c r="B22" s="11" t="s">
        <v>940</v>
      </c>
      <c r="C22" s="12">
        <v>4463</v>
      </c>
      <c r="D22" s="12">
        <v>192</v>
      </c>
      <c r="E22" s="12">
        <v>244</v>
      </c>
      <c r="F22" s="12">
        <v>161</v>
      </c>
      <c r="G22" s="12">
        <v>116</v>
      </c>
      <c r="H22" s="12">
        <v>152</v>
      </c>
      <c r="I22" s="12">
        <v>201</v>
      </c>
      <c r="J22" s="12">
        <v>49</v>
      </c>
      <c r="K22" s="12">
        <v>144</v>
      </c>
      <c r="L22" s="12">
        <v>182</v>
      </c>
      <c r="M22" s="12">
        <v>349</v>
      </c>
      <c r="N22" s="12">
        <v>174</v>
      </c>
      <c r="O22" s="12">
        <v>184</v>
      </c>
      <c r="P22" s="12">
        <v>301</v>
      </c>
      <c r="Q22" s="12">
        <v>110</v>
      </c>
      <c r="R22" s="12">
        <v>110</v>
      </c>
      <c r="S22" s="12">
        <v>112</v>
      </c>
      <c r="T22" s="12">
        <v>150</v>
      </c>
      <c r="U22" s="12">
        <v>66</v>
      </c>
      <c r="V22" s="12">
        <v>281</v>
      </c>
      <c r="W22" s="12">
        <v>114</v>
      </c>
      <c r="X22" s="12">
        <v>139</v>
      </c>
      <c r="Y22" s="12">
        <v>257</v>
      </c>
      <c r="Z22" s="12">
        <v>218</v>
      </c>
      <c r="AA22" s="12">
        <v>198</v>
      </c>
      <c r="AB22" s="12">
        <v>216</v>
      </c>
      <c r="AC22" s="12">
        <v>170</v>
      </c>
      <c r="AD22" s="12">
        <v>250</v>
      </c>
      <c r="AE22" s="12">
        <v>72</v>
      </c>
      <c r="AF22" s="12">
        <v>119</v>
      </c>
    </row>
    <row r="23" spans="1:32" ht="51.5" x14ac:dyDescent="0.35">
      <c r="A23" s="31"/>
      <c r="B23" s="13" t="s">
        <v>941</v>
      </c>
      <c r="C23" s="14">
        <v>0.17</v>
      </c>
      <c r="D23" s="14">
        <v>0.19</v>
      </c>
      <c r="E23" s="14">
        <v>0.23</v>
      </c>
      <c r="F23" s="14">
        <v>0.16</v>
      </c>
      <c r="G23" s="14">
        <v>0.11</v>
      </c>
      <c r="H23" s="14">
        <v>0.12</v>
      </c>
      <c r="I23" s="14">
        <v>0.13</v>
      </c>
      <c r="J23" s="14">
        <v>0.16</v>
      </c>
      <c r="K23" s="14">
        <v>0.14000000000000001</v>
      </c>
      <c r="L23" s="14">
        <v>0.18</v>
      </c>
      <c r="M23" s="14">
        <v>0.35</v>
      </c>
      <c r="N23" s="14">
        <v>0.17</v>
      </c>
      <c r="O23" s="14">
        <v>0.18</v>
      </c>
      <c r="P23" s="14">
        <v>0.3</v>
      </c>
      <c r="Q23" s="14">
        <v>0.11</v>
      </c>
      <c r="R23" s="14">
        <v>0.22</v>
      </c>
      <c r="S23" s="14">
        <v>0.11</v>
      </c>
      <c r="T23" s="14">
        <v>0.15</v>
      </c>
      <c r="U23" s="14">
        <v>0.13</v>
      </c>
      <c r="V23" s="14">
        <v>0.28000000000000003</v>
      </c>
      <c r="W23" s="14">
        <v>0.23</v>
      </c>
      <c r="X23" s="14">
        <v>0.14000000000000001</v>
      </c>
      <c r="Y23" s="14">
        <v>0.26</v>
      </c>
      <c r="Z23" s="14">
        <v>0.21</v>
      </c>
      <c r="AA23" s="14">
        <v>0.19</v>
      </c>
      <c r="AB23" s="14">
        <v>0.2</v>
      </c>
      <c r="AC23" s="14">
        <v>0.17</v>
      </c>
      <c r="AD23" s="14">
        <v>0.25</v>
      </c>
      <c r="AE23" s="14">
        <v>7.0000000000000007E-2</v>
      </c>
      <c r="AF23" s="14">
        <v>0.12</v>
      </c>
    </row>
    <row r="24" spans="1:32" ht="61.5" x14ac:dyDescent="0.35">
      <c r="A24" s="31"/>
      <c r="B24" s="11" t="s">
        <v>942</v>
      </c>
      <c r="C24" s="12">
        <v>7253</v>
      </c>
      <c r="D24" s="12">
        <v>256</v>
      </c>
      <c r="E24" s="12">
        <v>344</v>
      </c>
      <c r="F24" s="12">
        <v>295</v>
      </c>
      <c r="G24" s="12">
        <v>285</v>
      </c>
      <c r="H24" s="12">
        <v>260</v>
      </c>
      <c r="I24" s="12">
        <v>358</v>
      </c>
      <c r="J24" s="12">
        <v>98</v>
      </c>
      <c r="K24" s="12">
        <v>233</v>
      </c>
      <c r="L24" s="12">
        <v>254</v>
      </c>
      <c r="M24" s="12">
        <v>408</v>
      </c>
      <c r="N24" s="12">
        <v>239</v>
      </c>
      <c r="O24" s="12">
        <v>282</v>
      </c>
      <c r="P24" s="12">
        <v>328</v>
      </c>
      <c r="Q24" s="12">
        <v>326</v>
      </c>
      <c r="R24" s="12">
        <v>142</v>
      </c>
      <c r="S24" s="12">
        <v>219</v>
      </c>
      <c r="T24" s="12">
        <v>216</v>
      </c>
      <c r="U24" s="12">
        <v>131</v>
      </c>
      <c r="V24" s="12">
        <v>426</v>
      </c>
      <c r="W24" s="12">
        <v>110</v>
      </c>
      <c r="X24" s="12">
        <v>222</v>
      </c>
      <c r="Y24" s="12">
        <v>350</v>
      </c>
      <c r="Z24" s="12">
        <v>249</v>
      </c>
      <c r="AA24" s="12">
        <v>280</v>
      </c>
      <c r="AB24" s="12">
        <v>261</v>
      </c>
      <c r="AC24" s="12">
        <v>274</v>
      </c>
      <c r="AD24" s="12">
        <v>361</v>
      </c>
      <c r="AE24" s="12">
        <v>318</v>
      </c>
      <c r="AF24" s="12">
        <v>359</v>
      </c>
    </row>
    <row r="25" spans="1:32" ht="51.5" x14ac:dyDescent="0.35">
      <c r="A25" s="31"/>
      <c r="B25" s="13" t="s">
        <v>943</v>
      </c>
      <c r="C25" s="14">
        <v>0.27</v>
      </c>
      <c r="D25" s="14">
        <v>0.25</v>
      </c>
      <c r="E25" s="14">
        <v>0.33</v>
      </c>
      <c r="F25" s="14">
        <v>0.28999999999999998</v>
      </c>
      <c r="G25" s="14">
        <v>0.28000000000000003</v>
      </c>
      <c r="H25" s="14">
        <v>0.21</v>
      </c>
      <c r="I25" s="14">
        <v>0.23</v>
      </c>
      <c r="J25" s="14">
        <v>0.33</v>
      </c>
      <c r="K25" s="14">
        <v>0.23</v>
      </c>
      <c r="L25" s="14">
        <v>0.25</v>
      </c>
      <c r="M25" s="14">
        <v>0.41</v>
      </c>
      <c r="N25" s="14">
        <v>0.24</v>
      </c>
      <c r="O25" s="14">
        <v>0.28000000000000003</v>
      </c>
      <c r="P25" s="14">
        <v>0.33</v>
      </c>
      <c r="Q25" s="14">
        <v>0.31</v>
      </c>
      <c r="R25" s="14">
        <v>0.28000000000000003</v>
      </c>
      <c r="S25" s="14">
        <v>0.21</v>
      </c>
      <c r="T25" s="14">
        <v>0.21</v>
      </c>
      <c r="U25" s="14">
        <v>0.26</v>
      </c>
      <c r="V25" s="14">
        <v>0.42</v>
      </c>
      <c r="W25" s="14">
        <v>0.22</v>
      </c>
      <c r="X25" s="14">
        <v>0.22</v>
      </c>
      <c r="Y25" s="14">
        <v>0.35</v>
      </c>
      <c r="Z25" s="14">
        <v>0.24</v>
      </c>
      <c r="AA25" s="14">
        <v>0.27</v>
      </c>
      <c r="AB25" s="14">
        <v>0.25</v>
      </c>
      <c r="AC25" s="14">
        <v>0.27</v>
      </c>
      <c r="AD25" s="14">
        <v>0.36</v>
      </c>
      <c r="AE25" s="14">
        <v>0.32</v>
      </c>
      <c r="AF25" s="14">
        <v>0.35</v>
      </c>
    </row>
    <row r="26" spans="1:32" x14ac:dyDescent="0.35">
      <c r="A26" s="31"/>
      <c r="B26" s="11" t="s">
        <v>407</v>
      </c>
      <c r="C26" s="12">
        <v>200</v>
      </c>
      <c r="D26" s="12">
        <v>6</v>
      </c>
      <c r="E26" s="12">
        <v>1</v>
      </c>
      <c r="F26" s="12">
        <v>0</v>
      </c>
      <c r="G26" s="12">
        <v>4</v>
      </c>
      <c r="H26" s="12">
        <v>16</v>
      </c>
      <c r="I26" s="12">
        <v>17</v>
      </c>
      <c r="J26" s="12">
        <v>1</v>
      </c>
      <c r="K26" s="12">
        <v>40</v>
      </c>
      <c r="L26" s="12">
        <v>1</v>
      </c>
      <c r="M26" s="12">
        <v>3</v>
      </c>
      <c r="N26" s="12">
        <v>5</v>
      </c>
      <c r="O26" s="12">
        <v>16</v>
      </c>
      <c r="P26" s="12">
        <v>11</v>
      </c>
      <c r="Q26" s="12">
        <v>2</v>
      </c>
      <c r="R26" s="12">
        <v>3</v>
      </c>
      <c r="S26" s="12">
        <v>15</v>
      </c>
      <c r="T26" s="12">
        <v>3</v>
      </c>
      <c r="U26" s="12">
        <v>1</v>
      </c>
      <c r="V26" s="12">
        <v>0</v>
      </c>
      <c r="W26" s="12">
        <v>0</v>
      </c>
      <c r="X26" s="12">
        <v>3</v>
      </c>
      <c r="Y26" s="12">
        <v>12</v>
      </c>
      <c r="Z26" s="12">
        <v>2</v>
      </c>
      <c r="AA26" s="12">
        <v>18</v>
      </c>
      <c r="AB26" s="12">
        <v>10</v>
      </c>
      <c r="AC26" s="12">
        <v>3</v>
      </c>
      <c r="AD26" s="12">
        <v>0</v>
      </c>
      <c r="AE26" s="12">
        <v>7</v>
      </c>
      <c r="AF26" s="12">
        <v>7</v>
      </c>
    </row>
    <row r="27" spans="1:32" x14ac:dyDescent="0.35">
      <c r="A27" s="31"/>
      <c r="B27" s="13" t="s">
        <v>408</v>
      </c>
      <c r="C27" s="14">
        <v>0.01</v>
      </c>
      <c r="D27" s="14">
        <v>0.01</v>
      </c>
      <c r="E27" s="15" t="s">
        <v>333</v>
      </c>
      <c r="F27" s="15" t="s">
        <v>333</v>
      </c>
      <c r="G27" s="15" t="s">
        <v>333</v>
      </c>
      <c r="H27" s="14">
        <v>0.01</v>
      </c>
      <c r="I27" s="14">
        <v>0.01</v>
      </c>
      <c r="J27" s="15" t="s">
        <v>333</v>
      </c>
      <c r="K27" s="14">
        <v>0.04</v>
      </c>
      <c r="L27" s="15" t="s">
        <v>333</v>
      </c>
      <c r="M27" s="15" t="s">
        <v>333</v>
      </c>
      <c r="N27" s="14">
        <v>0.01</v>
      </c>
      <c r="O27" s="14">
        <v>0.02</v>
      </c>
      <c r="P27" s="14">
        <v>0.01</v>
      </c>
      <c r="Q27" s="15" t="s">
        <v>333</v>
      </c>
      <c r="R27" s="14">
        <v>0.01</v>
      </c>
      <c r="S27" s="14">
        <v>0.01</v>
      </c>
      <c r="T27" s="15" t="s">
        <v>333</v>
      </c>
      <c r="U27" s="15" t="s">
        <v>333</v>
      </c>
      <c r="V27" s="15" t="s">
        <v>333</v>
      </c>
      <c r="W27" s="15" t="s">
        <v>333</v>
      </c>
      <c r="X27" s="15" t="s">
        <v>333</v>
      </c>
      <c r="Y27" s="14">
        <v>0.01</v>
      </c>
      <c r="Z27" s="15" t="s">
        <v>333</v>
      </c>
      <c r="AA27" s="14">
        <v>0.02</v>
      </c>
      <c r="AB27" s="14">
        <v>0.01</v>
      </c>
      <c r="AC27" s="15" t="s">
        <v>333</v>
      </c>
      <c r="AD27" s="15" t="s">
        <v>333</v>
      </c>
      <c r="AE27" s="14">
        <v>0.01</v>
      </c>
      <c r="AF27" s="14">
        <v>0.01</v>
      </c>
    </row>
    <row r="28" spans="1:32" ht="21.5" x14ac:dyDescent="0.35">
      <c r="A28" s="31"/>
      <c r="B28" s="11" t="s">
        <v>885</v>
      </c>
      <c r="C28" s="12">
        <v>305</v>
      </c>
      <c r="D28" s="12">
        <v>6</v>
      </c>
      <c r="E28" s="12">
        <v>7</v>
      </c>
      <c r="F28" s="12">
        <v>21</v>
      </c>
      <c r="G28" s="12">
        <v>1</v>
      </c>
      <c r="H28" s="12">
        <v>9</v>
      </c>
      <c r="I28" s="12">
        <v>12</v>
      </c>
      <c r="J28" s="12">
        <v>3</v>
      </c>
      <c r="K28" s="12">
        <v>34</v>
      </c>
      <c r="L28" s="12">
        <v>2</v>
      </c>
      <c r="M28" s="12">
        <v>9</v>
      </c>
      <c r="N28" s="12">
        <v>6</v>
      </c>
      <c r="O28" s="12">
        <v>20</v>
      </c>
      <c r="P28" s="12">
        <v>6</v>
      </c>
      <c r="Q28" s="12">
        <v>20</v>
      </c>
      <c r="R28" s="12">
        <v>10</v>
      </c>
      <c r="S28" s="12">
        <v>26</v>
      </c>
      <c r="T28" s="12">
        <v>11</v>
      </c>
      <c r="U28" s="12">
        <v>1</v>
      </c>
      <c r="V28" s="12">
        <v>0</v>
      </c>
      <c r="W28" s="12">
        <v>12</v>
      </c>
      <c r="X28" s="12">
        <v>1</v>
      </c>
      <c r="Y28" s="12">
        <v>24</v>
      </c>
      <c r="Z28" s="12">
        <v>11</v>
      </c>
      <c r="AA28" s="12">
        <v>8</v>
      </c>
      <c r="AB28" s="12">
        <v>15</v>
      </c>
      <c r="AC28" s="12">
        <v>10</v>
      </c>
      <c r="AD28" s="12">
        <v>12</v>
      </c>
      <c r="AE28" s="12">
        <v>4</v>
      </c>
      <c r="AF28" s="12">
        <v>0</v>
      </c>
    </row>
    <row r="29" spans="1:32" x14ac:dyDescent="0.35">
      <c r="A29" s="31"/>
      <c r="B29" s="13" t="s">
        <v>453</v>
      </c>
      <c r="C29" s="14">
        <v>0.01</v>
      </c>
      <c r="D29" s="14">
        <v>0.01</v>
      </c>
      <c r="E29" s="14">
        <v>0.01</v>
      </c>
      <c r="F29" s="14">
        <v>0.02</v>
      </c>
      <c r="G29" s="15" t="s">
        <v>333</v>
      </c>
      <c r="H29" s="14">
        <v>0.01</v>
      </c>
      <c r="I29" s="14">
        <v>0.01</v>
      </c>
      <c r="J29" s="14">
        <v>0.01</v>
      </c>
      <c r="K29" s="14">
        <v>0.03</v>
      </c>
      <c r="L29" s="15" t="s">
        <v>333</v>
      </c>
      <c r="M29" s="14">
        <v>0.01</v>
      </c>
      <c r="N29" s="14">
        <v>0.01</v>
      </c>
      <c r="O29" s="14">
        <v>0.02</v>
      </c>
      <c r="P29" s="14">
        <v>0.01</v>
      </c>
      <c r="Q29" s="14">
        <v>0.02</v>
      </c>
      <c r="R29" s="14">
        <v>0.02</v>
      </c>
      <c r="S29" s="14">
        <v>0.03</v>
      </c>
      <c r="T29" s="14">
        <v>0.01</v>
      </c>
      <c r="U29" s="15" t="s">
        <v>333</v>
      </c>
      <c r="V29" s="15" t="s">
        <v>333</v>
      </c>
      <c r="W29" s="14">
        <v>0.02</v>
      </c>
      <c r="X29" s="15" t="s">
        <v>333</v>
      </c>
      <c r="Y29" s="14">
        <v>0.02</v>
      </c>
      <c r="Z29" s="14">
        <v>0.01</v>
      </c>
      <c r="AA29" s="14">
        <v>0.01</v>
      </c>
      <c r="AB29" s="14">
        <v>0.01</v>
      </c>
      <c r="AC29" s="14">
        <v>0.01</v>
      </c>
      <c r="AD29" s="14">
        <v>0.01</v>
      </c>
      <c r="AE29" s="15" t="s">
        <v>333</v>
      </c>
      <c r="AF29" s="15" t="s">
        <v>333</v>
      </c>
    </row>
    <row r="30" spans="1:32" x14ac:dyDescent="0.35">
      <c r="A30" s="31"/>
      <c r="B30" s="11" t="s">
        <v>344</v>
      </c>
      <c r="C30" s="12">
        <v>993</v>
      </c>
      <c r="D30" s="12">
        <v>26</v>
      </c>
      <c r="E30" s="12">
        <v>59</v>
      </c>
      <c r="F30" s="12">
        <v>33</v>
      </c>
      <c r="G30" s="12">
        <v>35</v>
      </c>
      <c r="H30" s="12">
        <v>63</v>
      </c>
      <c r="I30" s="12">
        <v>63</v>
      </c>
      <c r="J30" s="12">
        <v>1</v>
      </c>
      <c r="K30" s="12">
        <v>60</v>
      </c>
      <c r="L30" s="12">
        <v>36</v>
      </c>
      <c r="M30" s="12">
        <v>19</v>
      </c>
      <c r="N30" s="12">
        <v>55</v>
      </c>
      <c r="O30" s="12">
        <v>42</v>
      </c>
      <c r="P30" s="12">
        <v>34</v>
      </c>
      <c r="Q30" s="12">
        <v>34</v>
      </c>
      <c r="R30" s="12">
        <v>22</v>
      </c>
      <c r="S30" s="12">
        <v>94</v>
      </c>
      <c r="T30" s="12">
        <v>102</v>
      </c>
      <c r="U30" s="12">
        <v>24</v>
      </c>
      <c r="V30" s="12">
        <v>10</v>
      </c>
      <c r="W30" s="12">
        <v>30</v>
      </c>
      <c r="X30" s="12">
        <v>2</v>
      </c>
      <c r="Y30" s="12">
        <v>44</v>
      </c>
      <c r="Z30" s="12">
        <v>27</v>
      </c>
      <c r="AA30" s="12">
        <v>96</v>
      </c>
      <c r="AB30" s="12">
        <v>39</v>
      </c>
      <c r="AC30" s="12">
        <v>22</v>
      </c>
      <c r="AD30" s="12">
        <v>5</v>
      </c>
      <c r="AE30" s="12">
        <v>32</v>
      </c>
      <c r="AF30" s="12">
        <v>3</v>
      </c>
    </row>
    <row r="31" spans="1:32" x14ac:dyDescent="0.35">
      <c r="A31" s="31"/>
      <c r="B31" s="13" t="s">
        <v>357</v>
      </c>
      <c r="C31" s="14">
        <v>0.04</v>
      </c>
      <c r="D31" s="14">
        <v>0.03</v>
      </c>
      <c r="E31" s="14">
        <v>0.06</v>
      </c>
      <c r="F31" s="14">
        <v>0.03</v>
      </c>
      <c r="G31" s="14">
        <v>0.03</v>
      </c>
      <c r="H31" s="14">
        <v>0.05</v>
      </c>
      <c r="I31" s="14">
        <v>0.04</v>
      </c>
      <c r="J31" s="15" t="s">
        <v>333</v>
      </c>
      <c r="K31" s="14">
        <v>0.06</v>
      </c>
      <c r="L31" s="14">
        <v>0.04</v>
      </c>
      <c r="M31" s="14">
        <v>0.02</v>
      </c>
      <c r="N31" s="14">
        <v>0.06</v>
      </c>
      <c r="O31" s="14">
        <v>0.04</v>
      </c>
      <c r="P31" s="14">
        <v>0.03</v>
      </c>
      <c r="Q31" s="14">
        <v>0.03</v>
      </c>
      <c r="R31" s="14">
        <v>0.04</v>
      </c>
      <c r="S31" s="14">
        <v>0.09</v>
      </c>
      <c r="T31" s="14">
        <v>0.1</v>
      </c>
      <c r="U31" s="14">
        <v>0.05</v>
      </c>
      <c r="V31" s="14">
        <v>0.01</v>
      </c>
      <c r="W31" s="14">
        <v>0.06</v>
      </c>
      <c r="X31" s="15" t="s">
        <v>333</v>
      </c>
      <c r="Y31" s="14">
        <v>0.04</v>
      </c>
      <c r="Z31" s="14">
        <v>0.03</v>
      </c>
      <c r="AA31" s="14">
        <v>0.09</v>
      </c>
      <c r="AB31" s="14">
        <v>0.04</v>
      </c>
      <c r="AC31" s="14">
        <v>0.02</v>
      </c>
      <c r="AD31" s="14">
        <v>0.01</v>
      </c>
      <c r="AE31" s="14">
        <v>0.03</v>
      </c>
      <c r="AF31" s="15" t="s">
        <v>333</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161</v>
      </c>
      <c r="C3" s="30"/>
      <c r="D3" s="30"/>
      <c r="E3" s="30"/>
      <c r="F3" s="30"/>
      <c r="H3" s="30" t="s">
        <v>162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51.5" x14ac:dyDescent="0.35">
      <c r="A12" s="31"/>
      <c r="B12" s="11" t="s">
        <v>944</v>
      </c>
      <c r="C12" s="12">
        <v>13866</v>
      </c>
      <c r="D12" s="12">
        <v>532</v>
      </c>
      <c r="E12" s="12">
        <v>530</v>
      </c>
      <c r="F12" s="12">
        <v>550</v>
      </c>
      <c r="G12" s="12">
        <v>631</v>
      </c>
      <c r="H12" s="12">
        <v>659</v>
      </c>
      <c r="I12" s="12">
        <v>828</v>
      </c>
      <c r="J12" s="12">
        <v>169</v>
      </c>
      <c r="K12" s="12">
        <v>503</v>
      </c>
      <c r="L12" s="12">
        <v>577</v>
      </c>
      <c r="M12" s="12">
        <v>604</v>
      </c>
      <c r="N12" s="12">
        <v>594</v>
      </c>
      <c r="O12" s="12">
        <v>510</v>
      </c>
      <c r="P12" s="12">
        <v>462</v>
      </c>
      <c r="Q12" s="12">
        <v>512</v>
      </c>
      <c r="R12" s="12">
        <v>254</v>
      </c>
      <c r="S12" s="12">
        <v>482</v>
      </c>
      <c r="T12" s="12">
        <v>448</v>
      </c>
      <c r="U12" s="12">
        <v>252</v>
      </c>
      <c r="V12" s="12">
        <v>515</v>
      </c>
      <c r="W12" s="12">
        <v>268</v>
      </c>
      <c r="X12" s="12">
        <v>638</v>
      </c>
      <c r="Y12" s="12">
        <v>560</v>
      </c>
      <c r="Z12" s="12">
        <v>445</v>
      </c>
      <c r="AA12" s="12">
        <v>531</v>
      </c>
      <c r="AB12" s="12">
        <v>397</v>
      </c>
      <c r="AC12" s="12">
        <v>524</v>
      </c>
      <c r="AD12" s="12">
        <v>550</v>
      </c>
      <c r="AE12" s="12">
        <v>579</v>
      </c>
      <c r="AF12" s="12">
        <v>616</v>
      </c>
    </row>
    <row r="13" spans="1:32" ht="51.5" x14ac:dyDescent="0.35">
      <c r="A13" s="31"/>
      <c r="B13" s="13" t="s">
        <v>945</v>
      </c>
      <c r="C13" s="14">
        <v>0.53</v>
      </c>
      <c r="D13" s="14">
        <v>0.52</v>
      </c>
      <c r="E13" s="14">
        <v>0.51</v>
      </c>
      <c r="F13" s="14">
        <v>0.54</v>
      </c>
      <c r="G13" s="14">
        <v>0.62</v>
      </c>
      <c r="H13" s="14">
        <v>0.53</v>
      </c>
      <c r="I13" s="14">
        <v>0.54</v>
      </c>
      <c r="J13" s="14">
        <v>0.57000000000000006</v>
      </c>
      <c r="K13" s="14">
        <v>0.5</v>
      </c>
      <c r="L13" s="14">
        <v>0.57000000000000006</v>
      </c>
      <c r="M13" s="14">
        <v>0.6</v>
      </c>
      <c r="N13" s="14">
        <v>0.59</v>
      </c>
      <c r="O13" s="14">
        <v>0.51</v>
      </c>
      <c r="P13" s="14">
        <v>0.46</v>
      </c>
      <c r="Q13" s="14">
        <v>0.49</v>
      </c>
      <c r="R13" s="14">
        <v>0.51</v>
      </c>
      <c r="S13" s="14">
        <v>0.47</v>
      </c>
      <c r="T13" s="14">
        <v>0.44</v>
      </c>
      <c r="U13" s="14">
        <v>0.5</v>
      </c>
      <c r="V13" s="14">
        <v>0.51</v>
      </c>
      <c r="W13" s="14">
        <v>0.53</v>
      </c>
      <c r="X13" s="14">
        <v>0.63</v>
      </c>
      <c r="Y13" s="14">
        <v>0.56000000000000005</v>
      </c>
      <c r="Z13" s="14">
        <v>0.44</v>
      </c>
      <c r="AA13" s="14">
        <v>0.52</v>
      </c>
      <c r="AB13" s="14">
        <v>0.38</v>
      </c>
      <c r="AC13" s="14">
        <v>0.52</v>
      </c>
      <c r="AD13" s="14">
        <v>0.55000000000000004</v>
      </c>
      <c r="AE13" s="14">
        <v>0.57999999999999996</v>
      </c>
      <c r="AF13" s="14">
        <v>0.6</v>
      </c>
    </row>
    <row r="14" spans="1:32" ht="61.5" x14ac:dyDescent="0.35">
      <c r="A14" s="31"/>
      <c r="B14" s="11" t="s">
        <v>946</v>
      </c>
      <c r="C14" s="12">
        <v>10524</v>
      </c>
      <c r="D14" s="12">
        <v>413</v>
      </c>
      <c r="E14" s="12">
        <v>444</v>
      </c>
      <c r="F14" s="12">
        <v>463</v>
      </c>
      <c r="G14" s="12">
        <v>519</v>
      </c>
      <c r="H14" s="12">
        <v>548</v>
      </c>
      <c r="I14" s="12">
        <v>657</v>
      </c>
      <c r="J14" s="12">
        <v>108</v>
      </c>
      <c r="K14" s="12">
        <v>379</v>
      </c>
      <c r="L14" s="12">
        <v>414</v>
      </c>
      <c r="M14" s="12">
        <v>434</v>
      </c>
      <c r="N14" s="12">
        <v>327</v>
      </c>
      <c r="O14" s="12">
        <v>355</v>
      </c>
      <c r="P14" s="12">
        <v>406</v>
      </c>
      <c r="Q14" s="12">
        <v>413</v>
      </c>
      <c r="R14" s="12">
        <v>135</v>
      </c>
      <c r="S14" s="12">
        <v>317</v>
      </c>
      <c r="T14" s="12">
        <v>393</v>
      </c>
      <c r="U14" s="12">
        <v>185</v>
      </c>
      <c r="V14" s="12">
        <v>435</v>
      </c>
      <c r="W14" s="12">
        <v>210</v>
      </c>
      <c r="X14" s="12">
        <v>470</v>
      </c>
      <c r="Y14" s="12">
        <v>371</v>
      </c>
      <c r="Z14" s="12">
        <v>384</v>
      </c>
      <c r="AA14" s="12">
        <v>457</v>
      </c>
      <c r="AB14" s="12">
        <v>370</v>
      </c>
      <c r="AC14" s="12">
        <v>323</v>
      </c>
      <c r="AD14" s="12">
        <v>440</v>
      </c>
      <c r="AE14" s="12">
        <v>376</v>
      </c>
      <c r="AF14" s="12">
        <v>635</v>
      </c>
    </row>
    <row r="15" spans="1:32" ht="51.5" x14ac:dyDescent="0.35">
      <c r="A15" s="31"/>
      <c r="B15" s="13" t="s">
        <v>947</v>
      </c>
      <c r="C15" s="14">
        <v>0.4</v>
      </c>
      <c r="D15" s="14">
        <v>0.4</v>
      </c>
      <c r="E15" s="14">
        <v>0.43</v>
      </c>
      <c r="F15" s="14">
        <v>0.45</v>
      </c>
      <c r="G15" s="14">
        <v>0.51</v>
      </c>
      <c r="H15" s="14">
        <v>0.45</v>
      </c>
      <c r="I15" s="14">
        <v>0.43</v>
      </c>
      <c r="J15" s="14">
        <v>0.36</v>
      </c>
      <c r="K15" s="14">
        <v>0.38</v>
      </c>
      <c r="L15" s="14">
        <v>0.41</v>
      </c>
      <c r="M15" s="14">
        <v>0.43</v>
      </c>
      <c r="N15" s="14">
        <v>0.33</v>
      </c>
      <c r="O15" s="14">
        <v>0.36</v>
      </c>
      <c r="P15" s="14">
        <v>0.4</v>
      </c>
      <c r="Q15" s="14">
        <v>0.4</v>
      </c>
      <c r="R15" s="14">
        <v>0.27</v>
      </c>
      <c r="S15" s="14">
        <v>0.31</v>
      </c>
      <c r="T15" s="14">
        <v>0.39</v>
      </c>
      <c r="U15" s="14">
        <v>0.36</v>
      </c>
      <c r="V15" s="14">
        <v>0.43</v>
      </c>
      <c r="W15" s="14">
        <v>0.42</v>
      </c>
      <c r="X15" s="14">
        <v>0.47</v>
      </c>
      <c r="Y15" s="14">
        <v>0.37</v>
      </c>
      <c r="Z15" s="14">
        <v>0.38</v>
      </c>
      <c r="AA15" s="14">
        <v>0.44</v>
      </c>
      <c r="AB15" s="14">
        <v>0.35</v>
      </c>
      <c r="AC15" s="14">
        <v>0.32</v>
      </c>
      <c r="AD15" s="14">
        <v>0.44</v>
      </c>
      <c r="AE15" s="14">
        <v>0.37</v>
      </c>
      <c r="AF15" s="14">
        <v>0.62</v>
      </c>
    </row>
    <row r="16" spans="1:32" ht="41.5" x14ac:dyDescent="0.35">
      <c r="A16" s="31"/>
      <c r="B16" s="11" t="s">
        <v>948</v>
      </c>
      <c r="C16" s="12">
        <v>11304</v>
      </c>
      <c r="D16" s="12">
        <v>460</v>
      </c>
      <c r="E16" s="12">
        <v>411</v>
      </c>
      <c r="F16" s="12">
        <v>447</v>
      </c>
      <c r="G16" s="12">
        <v>469</v>
      </c>
      <c r="H16" s="12">
        <v>519</v>
      </c>
      <c r="I16" s="12">
        <v>668</v>
      </c>
      <c r="J16" s="12">
        <v>149</v>
      </c>
      <c r="K16" s="12">
        <v>460</v>
      </c>
      <c r="L16" s="12">
        <v>421</v>
      </c>
      <c r="M16" s="12">
        <v>569</v>
      </c>
      <c r="N16" s="12">
        <v>341</v>
      </c>
      <c r="O16" s="12">
        <v>470</v>
      </c>
      <c r="P16" s="12">
        <v>459</v>
      </c>
      <c r="Q16" s="12">
        <v>451</v>
      </c>
      <c r="R16" s="12">
        <v>262</v>
      </c>
      <c r="S16" s="12">
        <v>312</v>
      </c>
      <c r="T16" s="12">
        <v>433</v>
      </c>
      <c r="U16" s="12">
        <v>180</v>
      </c>
      <c r="V16" s="12">
        <v>448</v>
      </c>
      <c r="W16" s="12">
        <v>197</v>
      </c>
      <c r="X16" s="12">
        <v>473</v>
      </c>
      <c r="Y16" s="12">
        <v>481</v>
      </c>
      <c r="Z16" s="12">
        <v>395</v>
      </c>
      <c r="AA16" s="12">
        <v>351</v>
      </c>
      <c r="AB16" s="12">
        <v>344</v>
      </c>
      <c r="AC16" s="12">
        <v>336</v>
      </c>
      <c r="AD16" s="12">
        <v>437</v>
      </c>
      <c r="AE16" s="12">
        <v>583</v>
      </c>
      <c r="AF16" s="12">
        <v>536</v>
      </c>
    </row>
    <row r="17" spans="1:32" ht="41.5" x14ac:dyDescent="0.35">
      <c r="A17" s="31"/>
      <c r="B17" s="13" t="s">
        <v>949</v>
      </c>
      <c r="C17" s="14">
        <v>0.43</v>
      </c>
      <c r="D17" s="14">
        <v>0.45</v>
      </c>
      <c r="E17" s="14">
        <v>0.4</v>
      </c>
      <c r="F17" s="14">
        <v>0.44</v>
      </c>
      <c r="G17" s="14">
        <v>0.46</v>
      </c>
      <c r="H17" s="14">
        <v>0.42</v>
      </c>
      <c r="I17" s="14">
        <v>0.44</v>
      </c>
      <c r="J17" s="14">
        <v>0.5</v>
      </c>
      <c r="K17" s="14">
        <v>0.46</v>
      </c>
      <c r="L17" s="14">
        <v>0.42</v>
      </c>
      <c r="M17" s="14">
        <v>0.57000000000000006</v>
      </c>
      <c r="N17" s="14">
        <v>0.34</v>
      </c>
      <c r="O17" s="14">
        <v>0.47</v>
      </c>
      <c r="P17" s="14">
        <v>0.46</v>
      </c>
      <c r="Q17" s="14">
        <v>0.44</v>
      </c>
      <c r="R17" s="14">
        <v>0.52</v>
      </c>
      <c r="S17" s="14">
        <v>0.31</v>
      </c>
      <c r="T17" s="14">
        <v>0.43</v>
      </c>
      <c r="U17" s="14">
        <v>0.35</v>
      </c>
      <c r="V17" s="14">
        <v>0.44</v>
      </c>
      <c r="W17" s="14">
        <v>0.39</v>
      </c>
      <c r="X17" s="14">
        <v>0.47</v>
      </c>
      <c r="Y17" s="14">
        <v>0.48</v>
      </c>
      <c r="Z17" s="14">
        <v>0.39</v>
      </c>
      <c r="AA17" s="14">
        <v>0.34</v>
      </c>
      <c r="AB17" s="14">
        <v>0.33</v>
      </c>
      <c r="AC17" s="14">
        <v>0.33</v>
      </c>
      <c r="AD17" s="14">
        <v>0.44</v>
      </c>
      <c r="AE17" s="14">
        <v>0.57999999999999996</v>
      </c>
      <c r="AF17" s="14">
        <v>0.53</v>
      </c>
    </row>
    <row r="18" spans="1:32" ht="61.5" x14ac:dyDescent="0.35">
      <c r="A18" s="31"/>
      <c r="B18" s="11" t="s">
        <v>950</v>
      </c>
      <c r="C18" s="12">
        <v>11293</v>
      </c>
      <c r="D18" s="12">
        <v>420</v>
      </c>
      <c r="E18" s="12">
        <v>419</v>
      </c>
      <c r="F18" s="12">
        <v>359</v>
      </c>
      <c r="G18" s="12">
        <v>561</v>
      </c>
      <c r="H18" s="12">
        <v>464</v>
      </c>
      <c r="I18" s="12">
        <v>596</v>
      </c>
      <c r="J18" s="12">
        <v>132</v>
      </c>
      <c r="K18" s="12">
        <v>343</v>
      </c>
      <c r="L18" s="12">
        <v>397</v>
      </c>
      <c r="M18" s="12">
        <v>610</v>
      </c>
      <c r="N18" s="12">
        <v>497</v>
      </c>
      <c r="O18" s="12">
        <v>433</v>
      </c>
      <c r="P18" s="12">
        <v>436</v>
      </c>
      <c r="Q18" s="12">
        <v>455</v>
      </c>
      <c r="R18" s="12">
        <v>235</v>
      </c>
      <c r="S18" s="12">
        <v>358</v>
      </c>
      <c r="T18" s="12">
        <v>329</v>
      </c>
      <c r="U18" s="12">
        <v>184</v>
      </c>
      <c r="V18" s="12">
        <v>472</v>
      </c>
      <c r="W18" s="12">
        <v>222</v>
      </c>
      <c r="X18" s="12">
        <v>491</v>
      </c>
      <c r="Y18" s="12">
        <v>498</v>
      </c>
      <c r="Z18" s="12">
        <v>345</v>
      </c>
      <c r="AA18" s="12">
        <v>414</v>
      </c>
      <c r="AB18" s="12">
        <v>358</v>
      </c>
      <c r="AC18" s="12">
        <v>385</v>
      </c>
      <c r="AD18" s="12">
        <v>484</v>
      </c>
      <c r="AE18" s="12">
        <v>402</v>
      </c>
      <c r="AF18" s="12">
        <v>539</v>
      </c>
    </row>
    <row r="19" spans="1:32" ht="41.5" x14ac:dyDescent="0.35">
      <c r="A19" s="31"/>
      <c r="B19" s="13" t="s">
        <v>951</v>
      </c>
      <c r="C19" s="14">
        <v>0.43</v>
      </c>
      <c r="D19" s="14">
        <v>0.41</v>
      </c>
      <c r="E19" s="14">
        <v>0.4</v>
      </c>
      <c r="F19" s="14">
        <v>0.35</v>
      </c>
      <c r="G19" s="14">
        <v>0.55000000000000004</v>
      </c>
      <c r="H19" s="14">
        <v>0.38</v>
      </c>
      <c r="I19" s="14">
        <v>0.39</v>
      </c>
      <c r="J19" s="14">
        <v>0.44</v>
      </c>
      <c r="K19" s="14">
        <v>0.34</v>
      </c>
      <c r="L19" s="14">
        <v>0.4</v>
      </c>
      <c r="M19" s="14">
        <v>0.61</v>
      </c>
      <c r="N19" s="14">
        <v>0.5</v>
      </c>
      <c r="O19" s="14">
        <v>0.43</v>
      </c>
      <c r="P19" s="14">
        <v>0.43</v>
      </c>
      <c r="Q19" s="14">
        <v>0.44</v>
      </c>
      <c r="R19" s="14">
        <v>0.47</v>
      </c>
      <c r="S19" s="14">
        <v>0.35</v>
      </c>
      <c r="T19" s="14">
        <v>0.32</v>
      </c>
      <c r="U19" s="14">
        <v>0.36</v>
      </c>
      <c r="V19" s="14">
        <v>0.47</v>
      </c>
      <c r="W19" s="14">
        <v>0.44</v>
      </c>
      <c r="X19" s="14">
        <v>0.49</v>
      </c>
      <c r="Y19" s="14">
        <v>0.5</v>
      </c>
      <c r="Z19" s="14">
        <v>0.34</v>
      </c>
      <c r="AA19" s="14">
        <v>0.4</v>
      </c>
      <c r="AB19" s="14">
        <v>0.34</v>
      </c>
      <c r="AC19" s="14">
        <v>0.38</v>
      </c>
      <c r="AD19" s="14">
        <v>0.48</v>
      </c>
      <c r="AE19" s="14">
        <v>0.4</v>
      </c>
      <c r="AF19" s="14">
        <v>0.53</v>
      </c>
    </row>
    <row r="20" spans="1:32" ht="51.5" x14ac:dyDescent="0.35">
      <c r="A20" s="31"/>
      <c r="B20" s="11" t="s">
        <v>952</v>
      </c>
      <c r="C20" s="12">
        <v>9427</v>
      </c>
      <c r="D20" s="12">
        <v>312</v>
      </c>
      <c r="E20" s="12">
        <v>314</v>
      </c>
      <c r="F20" s="12">
        <v>280</v>
      </c>
      <c r="G20" s="12">
        <v>369</v>
      </c>
      <c r="H20" s="12">
        <v>531</v>
      </c>
      <c r="I20" s="12">
        <v>661</v>
      </c>
      <c r="J20" s="12">
        <v>130</v>
      </c>
      <c r="K20" s="12">
        <v>267</v>
      </c>
      <c r="L20" s="12">
        <v>338</v>
      </c>
      <c r="M20" s="12">
        <v>393</v>
      </c>
      <c r="N20" s="12">
        <v>283</v>
      </c>
      <c r="O20" s="12">
        <v>307</v>
      </c>
      <c r="P20" s="12">
        <v>423</v>
      </c>
      <c r="Q20" s="12">
        <v>404</v>
      </c>
      <c r="R20" s="12">
        <v>198</v>
      </c>
      <c r="S20" s="12">
        <v>221</v>
      </c>
      <c r="T20" s="12">
        <v>246</v>
      </c>
      <c r="U20" s="12">
        <v>166</v>
      </c>
      <c r="V20" s="12">
        <v>420</v>
      </c>
      <c r="W20" s="12">
        <v>209</v>
      </c>
      <c r="X20" s="12">
        <v>393</v>
      </c>
      <c r="Y20" s="12">
        <v>400</v>
      </c>
      <c r="Z20" s="12">
        <v>348</v>
      </c>
      <c r="AA20" s="12">
        <v>295</v>
      </c>
      <c r="AB20" s="12">
        <v>308</v>
      </c>
      <c r="AC20" s="12">
        <v>332</v>
      </c>
      <c r="AD20" s="12">
        <v>369</v>
      </c>
      <c r="AE20" s="12">
        <v>455</v>
      </c>
      <c r="AF20" s="12">
        <v>481</v>
      </c>
    </row>
    <row r="21" spans="1:32" ht="51.5" x14ac:dyDescent="0.35">
      <c r="A21" s="31"/>
      <c r="B21" s="13" t="s">
        <v>953</v>
      </c>
      <c r="C21" s="14">
        <v>0.36</v>
      </c>
      <c r="D21" s="14">
        <v>0.3</v>
      </c>
      <c r="E21" s="14">
        <v>0.3</v>
      </c>
      <c r="F21" s="14">
        <v>0.27</v>
      </c>
      <c r="G21" s="14">
        <v>0.36</v>
      </c>
      <c r="H21" s="14">
        <v>0.43</v>
      </c>
      <c r="I21" s="14">
        <v>0.43</v>
      </c>
      <c r="J21" s="14">
        <v>0.44</v>
      </c>
      <c r="K21" s="14">
        <v>0.26</v>
      </c>
      <c r="L21" s="14">
        <v>0.34</v>
      </c>
      <c r="M21" s="14">
        <v>0.39</v>
      </c>
      <c r="N21" s="14">
        <v>0.28000000000000003</v>
      </c>
      <c r="O21" s="14">
        <v>0.31</v>
      </c>
      <c r="P21" s="14">
        <v>0.42</v>
      </c>
      <c r="Q21" s="14">
        <v>0.39</v>
      </c>
      <c r="R21" s="14">
        <v>0.4</v>
      </c>
      <c r="S21" s="14">
        <v>0.22</v>
      </c>
      <c r="T21" s="14">
        <v>0.24</v>
      </c>
      <c r="U21" s="14">
        <v>0.33</v>
      </c>
      <c r="V21" s="14">
        <v>0.41</v>
      </c>
      <c r="W21" s="14">
        <v>0.42</v>
      </c>
      <c r="X21" s="14">
        <v>0.39</v>
      </c>
      <c r="Y21" s="14">
        <v>0.4</v>
      </c>
      <c r="Z21" s="14">
        <v>0.34</v>
      </c>
      <c r="AA21" s="14">
        <v>0.28999999999999998</v>
      </c>
      <c r="AB21" s="14">
        <v>0.28999999999999998</v>
      </c>
      <c r="AC21" s="14">
        <v>0.33</v>
      </c>
      <c r="AD21" s="14">
        <v>0.37</v>
      </c>
      <c r="AE21" s="14">
        <v>0.45</v>
      </c>
      <c r="AF21" s="14">
        <v>0.47</v>
      </c>
    </row>
    <row r="22" spans="1:32" x14ac:dyDescent="0.35">
      <c r="A22" s="31"/>
      <c r="B22" s="11" t="s">
        <v>407</v>
      </c>
      <c r="C22" s="12">
        <v>226</v>
      </c>
      <c r="D22" s="12">
        <v>9</v>
      </c>
      <c r="E22" s="12">
        <v>9</v>
      </c>
      <c r="F22" s="12">
        <v>1</v>
      </c>
      <c r="G22" s="12">
        <v>1</v>
      </c>
      <c r="H22" s="12">
        <v>13</v>
      </c>
      <c r="I22" s="12">
        <v>13</v>
      </c>
      <c r="J22" s="12">
        <v>1</v>
      </c>
      <c r="K22" s="12">
        <v>30</v>
      </c>
      <c r="L22" s="12">
        <v>1</v>
      </c>
      <c r="M22" s="12">
        <v>0</v>
      </c>
      <c r="N22" s="12">
        <v>7</v>
      </c>
      <c r="O22" s="12">
        <v>22</v>
      </c>
      <c r="P22" s="12">
        <v>3</v>
      </c>
      <c r="Q22" s="12">
        <v>8</v>
      </c>
      <c r="R22" s="12">
        <v>3</v>
      </c>
      <c r="S22" s="12">
        <v>15</v>
      </c>
      <c r="T22" s="12">
        <v>4</v>
      </c>
      <c r="U22" s="12">
        <v>2</v>
      </c>
      <c r="V22" s="12">
        <v>0</v>
      </c>
      <c r="W22" s="12">
        <v>0</v>
      </c>
      <c r="X22" s="12">
        <v>2</v>
      </c>
      <c r="Y22" s="12">
        <v>1</v>
      </c>
      <c r="Z22" s="12">
        <v>2</v>
      </c>
      <c r="AA22" s="12">
        <v>19</v>
      </c>
      <c r="AB22" s="12">
        <v>11</v>
      </c>
      <c r="AC22" s="12">
        <v>6</v>
      </c>
      <c r="AD22" s="12">
        <v>1</v>
      </c>
      <c r="AE22" s="12">
        <v>2</v>
      </c>
      <c r="AF22" s="12">
        <v>1</v>
      </c>
    </row>
    <row r="23" spans="1:32" x14ac:dyDescent="0.35">
      <c r="A23" s="31"/>
      <c r="B23" s="13" t="s">
        <v>408</v>
      </c>
      <c r="C23" s="14">
        <v>0.01</v>
      </c>
      <c r="D23" s="14">
        <v>0.01</v>
      </c>
      <c r="E23" s="14">
        <v>0.01</v>
      </c>
      <c r="F23" s="15" t="s">
        <v>333</v>
      </c>
      <c r="G23" s="15" t="s">
        <v>333</v>
      </c>
      <c r="H23" s="14">
        <v>0.01</v>
      </c>
      <c r="I23" s="14">
        <v>0.01</v>
      </c>
      <c r="J23" s="15" t="s">
        <v>333</v>
      </c>
      <c r="K23" s="14">
        <v>0.03</v>
      </c>
      <c r="L23" s="15" t="s">
        <v>333</v>
      </c>
      <c r="M23" s="15" t="s">
        <v>333</v>
      </c>
      <c r="N23" s="14">
        <v>0.01</v>
      </c>
      <c r="O23" s="14">
        <v>0.02</v>
      </c>
      <c r="P23" s="15" t="s">
        <v>333</v>
      </c>
      <c r="Q23" s="14">
        <v>0.01</v>
      </c>
      <c r="R23" s="14">
        <v>0.01</v>
      </c>
      <c r="S23" s="14">
        <v>0.01</v>
      </c>
      <c r="T23" s="15" t="s">
        <v>333</v>
      </c>
      <c r="U23" s="15" t="s">
        <v>333</v>
      </c>
      <c r="V23" s="15" t="s">
        <v>333</v>
      </c>
      <c r="W23" s="15" t="s">
        <v>333</v>
      </c>
      <c r="X23" s="15" t="s">
        <v>333</v>
      </c>
      <c r="Y23" s="15" t="s">
        <v>333</v>
      </c>
      <c r="Z23" s="15" t="s">
        <v>333</v>
      </c>
      <c r="AA23" s="14">
        <v>0.02</v>
      </c>
      <c r="AB23" s="14">
        <v>0.01</v>
      </c>
      <c r="AC23" s="14">
        <v>0.01</v>
      </c>
      <c r="AD23" s="15" t="s">
        <v>333</v>
      </c>
      <c r="AE23" s="15" t="s">
        <v>333</v>
      </c>
      <c r="AF23" s="15" t="s">
        <v>333</v>
      </c>
    </row>
    <row r="24" spans="1:32" ht="21.5" x14ac:dyDescent="0.35">
      <c r="A24" s="31"/>
      <c r="B24" s="11" t="s">
        <v>885</v>
      </c>
      <c r="C24" s="12">
        <v>428</v>
      </c>
      <c r="D24" s="12">
        <v>5</v>
      </c>
      <c r="E24" s="12">
        <v>26</v>
      </c>
      <c r="F24" s="12">
        <v>18</v>
      </c>
      <c r="G24" s="12">
        <v>1</v>
      </c>
      <c r="H24" s="12">
        <v>14</v>
      </c>
      <c r="I24" s="12">
        <v>19</v>
      </c>
      <c r="J24" s="12">
        <v>5</v>
      </c>
      <c r="K24" s="12">
        <v>31</v>
      </c>
      <c r="L24" s="12">
        <v>4</v>
      </c>
      <c r="M24" s="12">
        <v>1</v>
      </c>
      <c r="N24" s="12">
        <v>10</v>
      </c>
      <c r="O24" s="12">
        <v>33</v>
      </c>
      <c r="P24" s="12">
        <v>11</v>
      </c>
      <c r="Q24" s="12">
        <v>24</v>
      </c>
      <c r="R24" s="12">
        <v>15</v>
      </c>
      <c r="S24" s="12">
        <v>25</v>
      </c>
      <c r="T24" s="12">
        <v>20</v>
      </c>
      <c r="U24" s="12">
        <v>9</v>
      </c>
      <c r="V24" s="12">
        <v>2</v>
      </c>
      <c r="W24" s="12">
        <v>9</v>
      </c>
      <c r="X24" s="12">
        <v>2</v>
      </c>
      <c r="Y24" s="12">
        <v>20</v>
      </c>
      <c r="Z24" s="12">
        <v>14</v>
      </c>
      <c r="AA24" s="12">
        <v>8</v>
      </c>
      <c r="AB24" s="12">
        <v>23</v>
      </c>
      <c r="AC24" s="12">
        <v>60</v>
      </c>
      <c r="AD24" s="12">
        <v>5</v>
      </c>
      <c r="AE24" s="12">
        <v>4</v>
      </c>
      <c r="AF24" s="12">
        <v>2</v>
      </c>
    </row>
    <row r="25" spans="1:32" x14ac:dyDescent="0.35">
      <c r="A25" s="31"/>
      <c r="B25" s="13" t="s">
        <v>453</v>
      </c>
      <c r="C25" s="14">
        <v>0.02</v>
      </c>
      <c r="D25" s="14">
        <v>0.01</v>
      </c>
      <c r="E25" s="14">
        <v>0.03</v>
      </c>
      <c r="F25" s="14">
        <v>0.02</v>
      </c>
      <c r="G25" s="15" t="s">
        <v>333</v>
      </c>
      <c r="H25" s="14">
        <v>0.01</v>
      </c>
      <c r="I25" s="14">
        <v>0.01</v>
      </c>
      <c r="J25" s="14">
        <v>0.02</v>
      </c>
      <c r="K25" s="14">
        <v>0.03</v>
      </c>
      <c r="L25" s="15" t="s">
        <v>333</v>
      </c>
      <c r="M25" s="15" t="s">
        <v>333</v>
      </c>
      <c r="N25" s="14">
        <v>0.01</v>
      </c>
      <c r="O25" s="14">
        <v>0.03</v>
      </c>
      <c r="P25" s="14">
        <v>0.01</v>
      </c>
      <c r="Q25" s="14">
        <v>0.02</v>
      </c>
      <c r="R25" s="14">
        <v>0.03</v>
      </c>
      <c r="S25" s="14">
        <v>0.02</v>
      </c>
      <c r="T25" s="14">
        <v>0.02</v>
      </c>
      <c r="U25" s="14">
        <v>0.02</v>
      </c>
      <c r="V25" s="15" t="s">
        <v>333</v>
      </c>
      <c r="W25" s="14">
        <v>0.02</v>
      </c>
      <c r="X25" s="15" t="s">
        <v>333</v>
      </c>
      <c r="Y25" s="14">
        <v>0.02</v>
      </c>
      <c r="Z25" s="14">
        <v>0.01</v>
      </c>
      <c r="AA25" s="14">
        <v>0.01</v>
      </c>
      <c r="AB25" s="14">
        <v>0.02</v>
      </c>
      <c r="AC25" s="14">
        <v>0.06</v>
      </c>
      <c r="AD25" s="14">
        <v>0.01</v>
      </c>
      <c r="AE25" s="15" t="s">
        <v>333</v>
      </c>
      <c r="AF25" s="15" t="s">
        <v>333</v>
      </c>
    </row>
    <row r="26" spans="1:32" x14ac:dyDescent="0.35">
      <c r="A26" s="31"/>
      <c r="B26" s="11" t="s">
        <v>344</v>
      </c>
      <c r="C26" s="12">
        <v>771</v>
      </c>
      <c r="D26" s="12">
        <v>18</v>
      </c>
      <c r="E26" s="12">
        <v>34</v>
      </c>
      <c r="F26" s="12">
        <v>27</v>
      </c>
      <c r="G26" s="12">
        <v>30</v>
      </c>
      <c r="H26" s="12">
        <v>50</v>
      </c>
      <c r="I26" s="12">
        <v>54</v>
      </c>
      <c r="J26" s="12">
        <v>3</v>
      </c>
      <c r="K26" s="12">
        <v>49</v>
      </c>
      <c r="L26" s="12">
        <v>28</v>
      </c>
      <c r="M26" s="12">
        <v>6</v>
      </c>
      <c r="N26" s="12">
        <v>39</v>
      </c>
      <c r="O26" s="12">
        <v>35</v>
      </c>
      <c r="P26" s="12">
        <v>15</v>
      </c>
      <c r="Q26" s="12">
        <v>29</v>
      </c>
      <c r="R26" s="12">
        <v>15</v>
      </c>
      <c r="S26" s="12">
        <v>67</v>
      </c>
      <c r="T26" s="12">
        <v>108</v>
      </c>
      <c r="U26" s="12">
        <v>21</v>
      </c>
      <c r="V26" s="12">
        <v>3</v>
      </c>
      <c r="W26" s="12">
        <v>20</v>
      </c>
      <c r="X26" s="12">
        <v>4</v>
      </c>
      <c r="Y26" s="12">
        <v>35</v>
      </c>
      <c r="Z26" s="12">
        <v>14</v>
      </c>
      <c r="AA26" s="12">
        <v>83</v>
      </c>
      <c r="AB26" s="12">
        <v>30</v>
      </c>
      <c r="AC26" s="12">
        <v>12</v>
      </c>
      <c r="AD26" s="12">
        <v>6</v>
      </c>
      <c r="AE26" s="12">
        <v>14</v>
      </c>
      <c r="AF26" s="12">
        <v>3</v>
      </c>
    </row>
    <row r="27" spans="1:32" x14ac:dyDescent="0.35">
      <c r="A27" s="31"/>
      <c r="B27" s="13" t="s">
        <v>357</v>
      </c>
      <c r="C27" s="14">
        <v>0.03</v>
      </c>
      <c r="D27" s="14">
        <v>0.02</v>
      </c>
      <c r="E27" s="14">
        <v>0.03</v>
      </c>
      <c r="F27" s="14">
        <v>0.03</v>
      </c>
      <c r="G27" s="14">
        <v>0.03</v>
      </c>
      <c r="H27" s="14">
        <v>0.04</v>
      </c>
      <c r="I27" s="14">
        <v>0.04</v>
      </c>
      <c r="J27" s="14">
        <v>0.01</v>
      </c>
      <c r="K27" s="14">
        <v>0.05</v>
      </c>
      <c r="L27" s="14">
        <v>0.03</v>
      </c>
      <c r="M27" s="14">
        <v>0.01</v>
      </c>
      <c r="N27" s="14">
        <v>0.04</v>
      </c>
      <c r="O27" s="14">
        <v>0.03</v>
      </c>
      <c r="P27" s="14">
        <v>0.01</v>
      </c>
      <c r="Q27" s="14">
        <v>0.03</v>
      </c>
      <c r="R27" s="14">
        <v>0.03</v>
      </c>
      <c r="S27" s="14">
        <v>7.0000000000000007E-2</v>
      </c>
      <c r="T27" s="14">
        <v>0.11</v>
      </c>
      <c r="U27" s="14">
        <v>0.04</v>
      </c>
      <c r="V27" s="15" t="s">
        <v>333</v>
      </c>
      <c r="W27" s="14">
        <v>0.04</v>
      </c>
      <c r="X27" s="15" t="s">
        <v>333</v>
      </c>
      <c r="Y27" s="14">
        <v>0.04</v>
      </c>
      <c r="Z27" s="14">
        <v>0.01</v>
      </c>
      <c r="AA27" s="14">
        <v>0.08</v>
      </c>
      <c r="AB27" s="14">
        <v>0.03</v>
      </c>
      <c r="AC27" s="14">
        <v>0.01</v>
      </c>
      <c r="AD27" s="14">
        <v>0.01</v>
      </c>
      <c r="AE27" s="14">
        <v>0.01</v>
      </c>
      <c r="AF27" s="15" t="s">
        <v>333</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954</v>
      </c>
      <c r="C3" s="30"/>
      <c r="D3" s="30"/>
      <c r="E3" s="30"/>
      <c r="F3" s="30"/>
      <c r="H3" s="30" t="s">
        <v>955</v>
      </c>
      <c r="I3" s="30"/>
      <c r="J3" s="30"/>
      <c r="K3" s="30"/>
      <c r="L3" s="30"/>
    </row>
    <row r="4" spans="1:32" ht="27" customHeight="1" x14ac:dyDescent="0.35">
      <c r="B4" s="30" t="s">
        <v>956</v>
      </c>
      <c r="C4" s="30"/>
      <c r="D4" s="30"/>
      <c r="E4" s="30"/>
      <c r="F4" s="30"/>
      <c r="H4" s="30" t="s">
        <v>957</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12038</v>
      </c>
      <c r="D12" s="12">
        <v>420</v>
      </c>
      <c r="E12" s="12">
        <v>447</v>
      </c>
      <c r="F12" s="12">
        <v>363</v>
      </c>
      <c r="G12" s="12">
        <v>750</v>
      </c>
      <c r="H12" s="12">
        <v>633</v>
      </c>
      <c r="I12" s="12">
        <v>775</v>
      </c>
      <c r="J12" s="12">
        <v>143</v>
      </c>
      <c r="K12" s="12">
        <v>330</v>
      </c>
      <c r="L12" s="12">
        <v>676</v>
      </c>
      <c r="M12" s="12">
        <v>652</v>
      </c>
      <c r="N12" s="12">
        <v>540</v>
      </c>
      <c r="O12" s="12">
        <v>405</v>
      </c>
      <c r="P12" s="12">
        <v>330</v>
      </c>
      <c r="Q12" s="12">
        <v>379</v>
      </c>
      <c r="R12" s="12">
        <v>258</v>
      </c>
      <c r="S12" s="12">
        <v>389</v>
      </c>
      <c r="T12" s="12">
        <v>440</v>
      </c>
      <c r="U12" s="12">
        <v>252</v>
      </c>
      <c r="V12" s="12">
        <v>441</v>
      </c>
      <c r="W12" s="12">
        <v>304</v>
      </c>
      <c r="X12" s="12">
        <v>568</v>
      </c>
      <c r="Y12" s="12">
        <v>501</v>
      </c>
      <c r="Z12" s="12">
        <v>327</v>
      </c>
      <c r="AA12" s="12">
        <v>516</v>
      </c>
      <c r="AB12" s="12">
        <v>285</v>
      </c>
      <c r="AC12" s="12">
        <v>381</v>
      </c>
      <c r="AD12" s="12">
        <v>479</v>
      </c>
      <c r="AE12" s="12">
        <v>609</v>
      </c>
      <c r="AF12" s="12">
        <v>773</v>
      </c>
    </row>
    <row r="13" spans="1:32" x14ac:dyDescent="0.35">
      <c r="A13" s="31"/>
      <c r="B13" s="13" t="s">
        <v>589</v>
      </c>
      <c r="C13" s="14">
        <v>0.46</v>
      </c>
      <c r="D13" s="14">
        <v>0.41</v>
      </c>
      <c r="E13" s="14">
        <v>0.43</v>
      </c>
      <c r="F13" s="14">
        <v>0.36</v>
      </c>
      <c r="G13" s="14">
        <v>0.74</v>
      </c>
      <c r="H13" s="14">
        <v>0.51</v>
      </c>
      <c r="I13" s="14">
        <v>0.51</v>
      </c>
      <c r="J13" s="14">
        <v>0.48</v>
      </c>
      <c r="K13" s="14">
        <v>0.33</v>
      </c>
      <c r="L13" s="14">
        <v>0.67</v>
      </c>
      <c r="M13" s="14">
        <v>0.65</v>
      </c>
      <c r="N13" s="14">
        <v>0.54</v>
      </c>
      <c r="O13" s="14">
        <v>0.4</v>
      </c>
      <c r="P13" s="14">
        <v>0.33</v>
      </c>
      <c r="Q13" s="14">
        <v>0.37</v>
      </c>
      <c r="R13" s="14">
        <v>0.52</v>
      </c>
      <c r="S13" s="14">
        <v>0.38</v>
      </c>
      <c r="T13" s="14">
        <v>0.43</v>
      </c>
      <c r="U13" s="14">
        <v>0.49</v>
      </c>
      <c r="V13" s="14">
        <v>0.44</v>
      </c>
      <c r="W13" s="14">
        <v>0.61</v>
      </c>
      <c r="X13" s="14">
        <v>0.56000000000000005</v>
      </c>
      <c r="Y13" s="14">
        <v>0.5</v>
      </c>
      <c r="Z13" s="14">
        <v>0.32</v>
      </c>
      <c r="AA13" s="14">
        <v>0.5</v>
      </c>
      <c r="AB13" s="14">
        <v>0.27</v>
      </c>
      <c r="AC13" s="14">
        <v>0.38</v>
      </c>
      <c r="AD13" s="14">
        <v>0.48</v>
      </c>
      <c r="AE13" s="14">
        <v>0.61</v>
      </c>
      <c r="AF13" s="14">
        <v>0.76</v>
      </c>
    </row>
    <row r="14" spans="1:32" x14ac:dyDescent="0.35">
      <c r="A14" s="31"/>
      <c r="B14" s="11" t="s">
        <v>590</v>
      </c>
      <c r="C14" s="12">
        <v>10439</v>
      </c>
      <c r="D14" s="12">
        <v>442</v>
      </c>
      <c r="E14" s="12">
        <v>395</v>
      </c>
      <c r="F14" s="12">
        <v>422</v>
      </c>
      <c r="G14" s="12">
        <v>204</v>
      </c>
      <c r="H14" s="12">
        <v>433</v>
      </c>
      <c r="I14" s="12">
        <v>534</v>
      </c>
      <c r="J14" s="12">
        <v>101</v>
      </c>
      <c r="K14" s="12">
        <v>476</v>
      </c>
      <c r="L14" s="12">
        <v>255</v>
      </c>
      <c r="M14" s="12">
        <v>280</v>
      </c>
      <c r="N14" s="12">
        <v>371</v>
      </c>
      <c r="O14" s="12">
        <v>399</v>
      </c>
      <c r="P14" s="12">
        <v>494</v>
      </c>
      <c r="Q14" s="12">
        <v>494</v>
      </c>
      <c r="R14" s="12">
        <v>167</v>
      </c>
      <c r="S14" s="12">
        <v>433</v>
      </c>
      <c r="T14" s="12">
        <v>406</v>
      </c>
      <c r="U14" s="12">
        <v>198</v>
      </c>
      <c r="V14" s="12">
        <v>409</v>
      </c>
      <c r="W14" s="12">
        <v>130</v>
      </c>
      <c r="X14" s="12">
        <v>336</v>
      </c>
      <c r="Y14" s="12">
        <v>371</v>
      </c>
      <c r="Z14" s="12">
        <v>551</v>
      </c>
      <c r="AA14" s="12">
        <v>365</v>
      </c>
      <c r="AB14" s="12">
        <v>461</v>
      </c>
      <c r="AC14" s="12">
        <v>411</v>
      </c>
      <c r="AD14" s="12">
        <v>406</v>
      </c>
      <c r="AE14" s="12">
        <v>325</v>
      </c>
      <c r="AF14" s="12">
        <v>210</v>
      </c>
    </row>
    <row r="15" spans="1:32" x14ac:dyDescent="0.35">
      <c r="A15" s="31"/>
      <c r="B15" s="13" t="s">
        <v>591</v>
      </c>
      <c r="C15" s="14">
        <v>0.39</v>
      </c>
      <c r="D15" s="14">
        <v>0.43</v>
      </c>
      <c r="E15" s="14">
        <v>0.38</v>
      </c>
      <c r="F15" s="14">
        <v>0.41</v>
      </c>
      <c r="G15" s="14">
        <v>0.2</v>
      </c>
      <c r="H15" s="14">
        <v>0.35</v>
      </c>
      <c r="I15" s="14">
        <v>0.35</v>
      </c>
      <c r="J15" s="14">
        <v>0.34</v>
      </c>
      <c r="K15" s="14">
        <v>0.47</v>
      </c>
      <c r="L15" s="14">
        <v>0.25</v>
      </c>
      <c r="M15" s="14">
        <v>0.28000000000000003</v>
      </c>
      <c r="N15" s="14">
        <v>0.37</v>
      </c>
      <c r="O15" s="14">
        <v>0.4</v>
      </c>
      <c r="P15" s="14">
        <v>0.49</v>
      </c>
      <c r="Q15" s="14">
        <v>0.48</v>
      </c>
      <c r="R15" s="14">
        <v>0.33</v>
      </c>
      <c r="S15" s="14">
        <v>0.42</v>
      </c>
      <c r="T15" s="14">
        <v>0.4</v>
      </c>
      <c r="U15" s="14">
        <v>0.39</v>
      </c>
      <c r="V15" s="14">
        <v>0.4</v>
      </c>
      <c r="W15" s="14">
        <v>0.26</v>
      </c>
      <c r="X15" s="14">
        <v>0.33</v>
      </c>
      <c r="Y15" s="14">
        <v>0.37</v>
      </c>
      <c r="Z15" s="14">
        <v>0.54</v>
      </c>
      <c r="AA15" s="14">
        <v>0.35</v>
      </c>
      <c r="AB15" s="14">
        <v>0.43</v>
      </c>
      <c r="AC15" s="14">
        <v>0.41</v>
      </c>
      <c r="AD15" s="14">
        <v>0.4</v>
      </c>
      <c r="AE15" s="14">
        <v>0.32</v>
      </c>
      <c r="AF15" s="14">
        <v>0.21</v>
      </c>
    </row>
    <row r="16" spans="1:32" x14ac:dyDescent="0.35">
      <c r="A16" s="31"/>
      <c r="B16" s="11" t="s">
        <v>592</v>
      </c>
      <c r="C16" s="12">
        <v>2115</v>
      </c>
      <c r="D16" s="12">
        <v>117</v>
      </c>
      <c r="E16" s="12">
        <v>103</v>
      </c>
      <c r="F16" s="12">
        <v>169</v>
      </c>
      <c r="G16" s="12">
        <v>31</v>
      </c>
      <c r="H16" s="12">
        <v>78</v>
      </c>
      <c r="I16" s="12">
        <v>113</v>
      </c>
      <c r="J16" s="12">
        <v>35</v>
      </c>
      <c r="K16" s="12">
        <v>102</v>
      </c>
      <c r="L16" s="12">
        <v>38</v>
      </c>
      <c r="M16" s="12">
        <v>37</v>
      </c>
      <c r="N16" s="12">
        <v>25</v>
      </c>
      <c r="O16" s="12">
        <v>81</v>
      </c>
      <c r="P16" s="12">
        <v>114</v>
      </c>
      <c r="Q16" s="12">
        <v>94</v>
      </c>
      <c r="R16" s="12">
        <v>32</v>
      </c>
      <c r="S16" s="12">
        <v>108</v>
      </c>
      <c r="T16" s="12">
        <v>64</v>
      </c>
      <c r="U16" s="12">
        <v>33</v>
      </c>
      <c r="V16" s="12">
        <v>121</v>
      </c>
      <c r="W16" s="12">
        <v>31</v>
      </c>
      <c r="X16" s="12">
        <v>90</v>
      </c>
      <c r="Y16" s="12">
        <v>68</v>
      </c>
      <c r="Z16" s="12">
        <v>97</v>
      </c>
      <c r="AA16" s="12">
        <v>43</v>
      </c>
      <c r="AB16" s="12">
        <v>210</v>
      </c>
      <c r="AC16" s="12">
        <v>112</v>
      </c>
      <c r="AD16" s="12">
        <v>74</v>
      </c>
      <c r="AE16" s="12">
        <v>30</v>
      </c>
      <c r="AF16" s="12">
        <v>25</v>
      </c>
    </row>
    <row r="17" spans="1:32" x14ac:dyDescent="0.35">
      <c r="A17" s="31"/>
      <c r="B17" s="13" t="s">
        <v>593</v>
      </c>
      <c r="C17" s="14">
        <v>0.08</v>
      </c>
      <c r="D17" s="14">
        <v>0.12</v>
      </c>
      <c r="E17" s="14">
        <v>0.1</v>
      </c>
      <c r="F17" s="14">
        <v>0.17</v>
      </c>
      <c r="G17" s="14">
        <v>0.03</v>
      </c>
      <c r="H17" s="14">
        <v>0.06</v>
      </c>
      <c r="I17" s="14">
        <v>7.0000000000000007E-2</v>
      </c>
      <c r="J17" s="14">
        <v>0.12</v>
      </c>
      <c r="K17" s="14">
        <v>0.1</v>
      </c>
      <c r="L17" s="14">
        <v>0.04</v>
      </c>
      <c r="M17" s="14">
        <v>0.04</v>
      </c>
      <c r="N17" s="14">
        <v>0.02</v>
      </c>
      <c r="O17" s="14">
        <v>0.08</v>
      </c>
      <c r="P17" s="14">
        <v>0.11</v>
      </c>
      <c r="Q17" s="14">
        <v>0.09</v>
      </c>
      <c r="R17" s="14">
        <v>0.06</v>
      </c>
      <c r="S17" s="14">
        <v>0.11</v>
      </c>
      <c r="T17" s="14">
        <v>0.06</v>
      </c>
      <c r="U17" s="14">
        <v>7.0000000000000007E-2</v>
      </c>
      <c r="V17" s="14">
        <v>0.12</v>
      </c>
      <c r="W17" s="14">
        <v>0.06</v>
      </c>
      <c r="X17" s="14">
        <v>0.09</v>
      </c>
      <c r="Y17" s="14">
        <v>7.0000000000000007E-2</v>
      </c>
      <c r="Z17" s="14">
        <v>0.1</v>
      </c>
      <c r="AA17" s="14">
        <v>0.04</v>
      </c>
      <c r="AB17" s="14">
        <v>0.2</v>
      </c>
      <c r="AC17" s="14">
        <v>0.11</v>
      </c>
      <c r="AD17" s="14">
        <v>7.0000000000000007E-2</v>
      </c>
      <c r="AE17" s="14">
        <v>0.03</v>
      </c>
      <c r="AF17" s="14">
        <v>0.02</v>
      </c>
    </row>
    <row r="18" spans="1:32" x14ac:dyDescent="0.35">
      <c r="A18" s="31"/>
      <c r="B18" s="11" t="s">
        <v>594</v>
      </c>
      <c r="C18" s="12">
        <v>611</v>
      </c>
      <c r="D18" s="12">
        <v>33</v>
      </c>
      <c r="E18" s="12">
        <v>25</v>
      </c>
      <c r="F18" s="12">
        <v>24</v>
      </c>
      <c r="G18" s="12">
        <v>5</v>
      </c>
      <c r="H18" s="12">
        <v>18</v>
      </c>
      <c r="I18" s="12">
        <v>26</v>
      </c>
      <c r="J18" s="12">
        <v>8</v>
      </c>
      <c r="K18" s="12">
        <v>35</v>
      </c>
      <c r="L18" s="12">
        <v>7</v>
      </c>
      <c r="M18" s="12">
        <v>12</v>
      </c>
      <c r="N18" s="12">
        <v>6</v>
      </c>
      <c r="O18" s="12">
        <v>46</v>
      </c>
      <c r="P18" s="12">
        <v>8</v>
      </c>
      <c r="Q18" s="12">
        <v>34</v>
      </c>
      <c r="R18" s="12">
        <v>19</v>
      </c>
      <c r="S18" s="12">
        <v>21</v>
      </c>
      <c r="T18" s="12">
        <v>18</v>
      </c>
      <c r="U18" s="12">
        <v>7</v>
      </c>
      <c r="V18" s="12">
        <v>23</v>
      </c>
      <c r="W18" s="12">
        <v>11</v>
      </c>
      <c r="X18" s="12">
        <v>10</v>
      </c>
      <c r="Y18" s="12">
        <v>20</v>
      </c>
      <c r="Z18" s="12">
        <v>14</v>
      </c>
      <c r="AA18" s="12">
        <v>7</v>
      </c>
      <c r="AB18" s="12">
        <v>50</v>
      </c>
      <c r="AC18" s="12">
        <v>65</v>
      </c>
      <c r="AD18" s="12">
        <v>18</v>
      </c>
      <c r="AE18" s="12">
        <v>4</v>
      </c>
      <c r="AF18" s="12">
        <v>6</v>
      </c>
    </row>
    <row r="19" spans="1:32" x14ac:dyDescent="0.35">
      <c r="A19" s="31"/>
      <c r="B19" s="13" t="s">
        <v>595</v>
      </c>
      <c r="C19" s="14">
        <v>0.02</v>
      </c>
      <c r="D19" s="14">
        <v>0.03</v>
      </c>
      <c r="E19" s="14">
        <v>0.02</v>
      </c>
      <c r="F19" s="14">
        <v>0.02</v>
      </c>
      <c r="G19" s="15" t="s">
        <v>333</v>
      </c>
      <c r="H19" s="14">
        <v>0.02</v>
      </c>
      <c r="I19" s="14">
        <v>0.02</v>
      </c>
      <c r="J19" s="14">
        <v>0.03</v>
      </c>
      <c r="K19" s="14">
        <v>0.03</v>
      </c>
      <c r="L19" s="14">
        <v>0.01</v>
      </c>
      <c r="M19" s="14">
        <v>0.01</v>
      </c>
      <c r="N19" s="14">
        <v>0.01</v>
      </c>
      <c r="O19" s="14">
        <v>0.05</v>
      </c>
      <c r="P19" s="14">
        <v>0.01</v>
      </c>
      <c r="Q19" s="14">
        <v>0.03</v>
      </c>
      <c r="R19" s="14">
        <v>0.04</v>
      </c>
      <c r="S19" s="14">
        <v>0.02</v>
      </c>
      <c r="T19" s="14">
        <v>0.02</v>
      </c>
      <c r="U19" s="14">
        <v>0.01</v>
      </c>
      <c r="V19" s="14">
        <v>0.02</v>
      </c>
      <c r="W19" s="14">
        <v>0.02</v>
      </c>
      <c r="X19" s="14">
        <v>0.01</v>
      </c>
      <c r="Y19" s="14">
        <v>0.02</v>
      </c>
      <c r="Z19" s="14">
        <v>0.01</v>
      </c>
      <c r="AA19" s="14">
        <v>0.01</v>
      </c>
      <c r="AB19" s="14">
        <v>0.05</v>
      </c>
      <c r="AC19" s="14">
        <v>0.06</v>
      </c>
      <c r="AD19" s="14">
        <v>0.02</v>
      </c>
      <c r="AE19" s="15" t="s">
        <v>333</v>
      </c>
      <c r="AF19" s="14">
        <v>0.01</v>
      </c>
    </row>
    <row r="20" spans="1:32" x14ac:dyDescent="0.35">
      <c r="A20" s="31"/>
      <c r="B20" s="11" t="s">
        <v>344</v>
      </c>
      <c r="C20" s="12">
        <v>1207</v>
      </c>
      <c r="D20" s="12">
        <v>13</v>
      </c>
      <c r="E20" s="12">
        <v>68</v>
      </c>
      <c r="F20" s="12">
        <v>40</v>
      </c>
      <c r="G20" s="12">
        <v>27</v>
      </c>
      <c r="H20" s="12">
        <v>70</v>
      </c>
      <c r="I20" s="12">
        <v>81</v>
      </c>
      <c r="J20" s="12">
        <v>11</v>
      </c>
      <c r="K20" s="12">
        <v>66</v>
      </c>
      <c r="L20" s="12">
        <v>28</v>
      </c>
      <c r="M20" s="12">
        <v>23</v>
      </c>
      <c r="N20" s="12">
        <v>58</v>
      </c>
      <c r="O20" s="12">
        <v>69</v>
      </c>
      <c r="P20" s="12">
        <v>59</v>
      </c>
      <c r="Q20" s="12">
        <v>35</v>
      </c>
      <c r="R20" s="12">
        <v>26</v>
      </c>
      <c r="S20" s="12">
        <v>70</v>
      </c>
      <c r="T20" s="12">
        <v>90</v>
      </c>
      <c r="U20" s="12">
        <v>19</v>
      </c>
      <c r="V20" s="12">
        <v>19</v>
      </c>
      <c r="W20" s="12">
        <v>26</v>
      </c>
      <c r="X20" s="12">
        <v>6</v>
      </c>
      <c r="Y20" s="12">
        <v>43</v>
      </c>
      <c r="Z20" s="12">
        <v>30</v>
      </c>
      <c r="AA20" s="12">
        <v>99</v>
      </c>
      <c r="AB20" s="12">
        <v>50</v>
      </c>
      <c r="AC20" s="12">
        <v>45</v>
      </c>
      <c r="AD20" s="12">
        <v>28</v>
      </c>
      <c r="AE20" s="12">
        <v>40</v>
      </c>
      <c r="AF20" s="12">
        <v>6</v>
      </c>
    </row>
    <row r="21" spans="1:32" x14ac:dyDescent="0.35">
      <c r="A21" s="31"/>
      <c r="B21" s="13" t="s">
        <v>357</v>
      </c>
      <c r="C21" s="14">
        <v>0.05</v>
      </c>
      <c r="D21" s="14">
        <v>0.01</v>
      </c>
      <c r="E21" s="14">
        <v>7.0000000000000007E-2</v>
      </c>
      <c r="F21" s="14">
        <v>0.04</v>
      </c>
      <c r="G21" s="14">
        <v>0.03</v>
      </c>
      <c r="H21" s="14">
        <v>0.06</v>
      </c>
      <c r="I21" s="14">
        <v>0.05</v>
      </c>
      <c r="J21" s="14">
        <v>0.03</v>
      </c>
      <c r="K21" s="14">
        <v>7.0000000000000007E-2</v>
      </c>
      <c r="L21" s="14">
        <v>0.03</v>
      </c>
      <c r="M21" s="14">
        <v>0.02</v>
      </c>
      <c r="N21" s="14">
        <v>0.06</v>
      </c>
      <c r="O21" s="14">
        <v>7.0000000000000007E-2</v>
      </c>
      <c r="P21" s="14">
        <v>0.06</v>
      </c>
      <c r="Q21" s="14">
        <v>0.03</v>
      </c>
      <c r="R21" s="14">
        <v>0.05</v>
      </c>
      <c r="S21" s="14">
        <v>7.0000000000000007E-2</v>
      </c>
      <c r="T21" s="14">
        <v>0.09</v>
      </c>
      <c r="U21" s="14">
        <v>0.04</v>
      </c>
      <c r="V21" s="14">
        <v>0.02</v>
      </c>
      <c r="W21" s="14">
        <v>0.05</v>
      </c>
      <c r="X21" s="14">
        <v>0.01</v>
      </c>
      <c r="Y21" s="14">
        <v>0.04</v>
      </c>
      <c r="Z21" s="14">
        <v>0.03</v>
      </c>
      <c r="AA21" s="14">
        <v>0.1</v>
      </c>
      <c r="AB21" s="14">
        <v>0.05</v>
      </c>
      <c r="AC21" s="14">
        <v>0.04</v>
      </c>
      <c r="AD21" s="14">
        <v>0.03</v>
      </c>
      <c r="AE21" s="14">
        <v>0.04</v>
      </c>
      <c r="AF21" s="15" t="s">
        <v>333</v>
      </c>
    </row>
    <row r="22" spans="1:32" x14ac:dyDescent="0.35">
      <c r="A22" s="31"/>
      <c r="B22" s="11" t="s">
        <v>596</v>
      </c>
      <c r="C22" s="12">
        <v>22477</v>
      </c>
      <c r="D22" s="12">
        <v>862</v>
      </c>
      <c r="E22" s="12">
        <v>842</v>
      </c>
      <c r="F22" s="12">
        <v>785</v>
      </c>
      <c r="G22" s="12">
        <v>954</v>
      </c>
      <c r="H22" s="12">
        <v>1066</v>
      </c>
      <c r="I22" s="12">
        <v>1309</v>
      </c>
      <c r="J22" s="12">
        <v>244</v>
      </c>
      <c r="K22" s="12">
        <v>806</v>
      </c>
      <c r="L22" s="12">
        <v>931</v>
      </c>
      <c r="M22" s="12">
        <v>932</v>
      </c>
      <c r="N22" s="12">
        <v>911</v>
      </c>
      <c r="O22" s="12">
        <v>804</v>
      </c>
      <c r="P22" s="12">
        <v>824</v>
      </c>
      <c r="Q22" s="12">
        <v>873</v>
      </c>
      <c r="R22" s="12">
        <v>425</v>
      </c>
      <c r="S22" s="12">
        <v>822</v>
      </c>
      <c r="T22" s="12">
        <v>846</v>
      </c>
      <c r="U22" s="12">
        <v>450</v>
      </c>
      <c r="V22" s="12">
        <v>850</v>
      </c>
      <c r="W22" s="12">
        <v>434</v>
      </c>
      <c r="X22" s="12">
        <v>904</v>
      </c>
      <c r="Y22" s="12">
        <v>872</v>
      </c>
      <c r="Z22" s="12">
        <v>878</v>
      </c>
      <c r="AA22" s="12">
        <v>881</v>
      </c>
      <c r="AB22" s="12">
        <v>746</v>
      </c>
      <c r="AC22" s="12">
        <v>792</v>
      </c>
      <c r="AD22" s="12">
        <v>885</v>
      </c>
      <c r="AE22" s="12">
        <v>934</v>
      </c>
      <c r="AF22" s="12">
        <v>983</v>
      </c>
    </row>
    <row r="23" spans="1:32" x14ac:dyDescent="0.35">
      <c r="A23" s="31"/>
      <c r="B23" s="13" t="s">
        <v>596</v>
      </c>
      <c r="C23" s="14">
        <v>0.85</v>
      </c>
      <c r="D23" s="14">
        <v>0.84</v>
      </c>
      <c r="E23" s="14">
        <v>0.81</v>
      </c>
      <c r="F23" s="14">
        <v>0.77</v>
      </c>
      <c r="G23" s="14">
        <v>0.94000000000000006</v>
      </c>
      <c r="H23" s="14">
        <v>0.86</v>
      </c>
      <c r="I23" s="14">
        <v>0.86</v>
      </c>
      <c r="J23" s="14">
        <v>0.82000000000000006</v>
      </c>
      <c r="K23" s="14">
        <v>0.8</v>
      </c>
      <c r="L23" s="14">
        <v>0.92</v>
      </c>
      <c r="M23" s="14">
        <v>0.93</v>
      </c>
      <c r="N23" s="14">
        <v>0.91</v>
      </c>
      <c r="O23" s="14">
        <v>0.8</v>
      </c>
      <c r="P23" s="14">
        <v>0.82000000000000006</v>
      </c>
      <c r="Q23" s="14">
        <v>0.85</v>
      </c>
      <c r="R23" s="14">
        <v>0.85</v>
      </c>
      <c r="S23" s="14">
        <v>0.8</v>
      </c>
      <c r="T23" s="14">
        <v>0.83000000000000007</v>
      </c>
      <c r="U23" s="14">
        <v>0.88</v>
      </c>
      <c r="V23" s="14">
        <v>0.84</v>
      </c>
      <c r="W23" s="14">
        <v>0.87</v>
      </c>
      <c r="X23" s="14">
        <v>0.89</v>
      </c>
      <c r="Y23" s="14">
        <v>0.87</v>
      </c>
      <c r="Z23" s="14">
        <v>0.86</v>
      </c>
      <c r="AA23" s="14">
        <v>0.85</v>
      </c>
      <c r="AB23" s="14">
        <v>0.70000000000000007</v>
      </c>
      <c r="AC23" s="14">
        <v>0.79</v>
      </c>
      <c r="AD23" s="14">
        <v>0.88</v>
      </c>
      <c r="AE23" s="14">
        <v>0.93</v>
      </c>
      <c r="AF23" s="14">
        <v>0.97</v>
      </c>
    </row>
    <row r="24" spans="1:32" x14ac:dyDescent="0.35">
      <c r="A24" s="31"/>
      <c r="B24" s="11" t="s">
        <v>597</v>
      </c>
      <c r="C24" s="12">
        <v>2726</v>
      </c>
      <c r="D24" s="12">
        <v>150</v>
      </c>
      <c r="E24" s="12">
        <v>128</v>
      </c>
      <c r="F24" s="12">
        <v>193</v>
      </c>
      <c r="G24" s="12">
        <v>36</v>
      </c>
      <c r="H24" s="12">
        <v>96</v>
      </c>
      <c r="I24" s="12">
        <v>139</v>
      </c>
      <c r="J24" s="12">
        <v>43</v>
      </c>
      <c r="K24" s="12">
        <v>137</v>
      </c>
      <c r="L24" s="12">
        <v>45</v>
      </c>
      <c r="M24" s="12">
        <v>49</v>
      </c>
      <c r="N24" s="12">
        <v>31</v>
      </c>
      <c r="O24" s="12">
        <v>127</v>
      </c>
      <c r="P24" s="12">
        <v>122</v>
      </c>
      <c r="Q24" s="12">
        <v>128</v>
      </c>
      <c r="R24" s="12">
        <v>51</v>
      </c>
      <c r="S24" s="12">
        <v>129</v>
      </c>
      <c r="T24" s="12">
        <v>82</v>
      </c>
      <c r="U24" s="12">
        <v>40</v>
      </c>
      <c r="V24" s="12">
        <v>144</v>
      </c>
      <c r="W24" s="12">
        <v>42</v>
      </c>
      <c r="X24" s="12">
        <v>100</v>
      </c>
      <c r="Y24" s="12">
        <v>88</v>
      </c>
      <c r="Z24" s="12">
        <v>111</v>
      </c>
      <c r="AA24" s="12">
        <v>50</v>
      </c>
      <c r="AB24" s="12">
        <v>260</v>
      </c>
      <c r="AC24" s="12">
        <v>177</v>
      </c>
      <c r="AD24" s="12">
        <v>92</v>
      </c>
      <c r="AE24" s="12">
        <v>34</v>
      </c>
      <c r="AF24" s="12">
        <v>31</v>
      </c>
    </row>
    <row r="25" spans="1:32" x14ac:dyDescent="0.35">
      <c r="A25" s="31"/>
      <c r="B25" s="13" t="s">
        <v>598</v>
      </c>
      <c r="C25" s="14">
        <v>0.1</v>
      </c>
      <c r="D25" s="14">
        <v>0.15</v>
      </c>
      <c r="E25" s="14">
        <v>0.12</v>
      </c>
      <c r="F25" s="14">
        <v>0.19</v>
      </c>
      <c r="G25" s="14">
        <v>0.03</v>
      </c>
      <c r="H25" s="14">
        <v>0.08</v>
      </c>
      <c r="I25" s="14">
        <v>0.09</v>
      </c>
      <c r="J25" s="14">
        <v>0.15</v>
      </c>
      <c r="K25" s="14">
        <v>0.13</v>
      </c>
      <c r="L25" s="14">
        <v>0.05</v>
      </c>
      <c r="M25" s="14">
        <v>0.05</v>
      </c>
      <c r="N25" s="14">
        <v>0.03</v>
      </c>
      <c r="O25" s="14">
        <v>0.13</v>
      </c>
      <c r="P25" s="14">
        <v>0.12</v>
      </c>
      <c r="Q25" s="14">
        <v>0.12</v>
      </c>
      <c r="R25" s="14">
        <v>0.1</v>
      </c>
      <c r="S25" s="14">
        <v>0.13</v>
      </c>
      <c r="T25" s="14">
        <v>0.08</v>
      </c>
      <c r="U25" s="14">
        <v>0.08</v>
      </c>
      <c r="V25" s="14">
        <v>0.14000000000000001</v>
      </c>
      <c r="W25" s="14">
        <v>0.08</v>
      </c>
      <c r="X25" s="14">
        <v>0.1</v>
      </c>
      <c r="Y25" s="14">
        <v>0.09</v>
      </c>
      <c r="Z25" s="14">
        <v>0.11</v>
      </c>
      <c r="AA25" s="14">
        <v>0.05</v>
      </c>
      <c r="AB25" s="14">
        <v>0.25</v>
      </c>
      <c r="AC25" s="14">
        <v>0.17</v>
      </c>
      <c r="AD25" s="14">
        <v>0.09</v>
      </c>
      <c r="AE25" s="14">
        <v>0.03</v>
      </c>
      <c r="AF25" s="14">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958</v>
      </c>
      <c r="C3" s="30"/>
      <c r="D3" s="30"/>
      <c r="E3" s="30"/>
      <c r="F3" s="30"/>
      <c r="H3" s="30" t="s">
        <v>959</v>
      </c>
      <c r="I3" s="30"/>
      <c r="J3" s="30"/>
      <c r="K3" s="30"/>
      <c r="L3" s="30"/>
    </row>
    <row r="4" spans="1:32" ht="27" customHeight="1" x14ac:dyDescent="0.35">
      <c r="B4" s="30" t="s">
        <v>960</v>
      </c>
      <c r="C4" s="30"/>
      <c r="D4" s="30"/>
      <c r="E4" s="30"/>
      <c r="F4" s="30"/>
      <c r="H4" s="30" t="s">
        <v>961</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10718</v>
      </c>
      <c r="D12" s="12">
        <v>397</v>
      </c>
      <c r="E12" s="12">
        <v>389</v>
      </c>
      <c r="F12" s="12">
        <v>351</v>
      </c>
      <c r="G12" s="12">
        <v>616</v>
      </c>
      <c r="H12" s="12">
        <v>509</v>
      </c>
      <c r="I12" s="12">
        <v>627</v>
      </c>
      <c r="J12" s="12">
        <v>117</v>
      </c>
      <c r="K12" s="12">
        <v>282</v>
      </c>
      <c r="L12" s="12">
        <v>633</v>
      </c>
      <c r="M12" s="12">
        <v>664</v>
      </c>
      <c r="N12" s="12">
        <v>504</v>
      </c>
      <c r="O12" s="12">
        <v>372</v>
      </c>
      <c r="P12" s="12">
        <v>317</v>
      </c>
      <c r="Q12" s="12">
        <v>358</v>
      </c>
      <c r="R12" s="12">
        <v>254</v>
      </c>
      <c r="S12" s="12">
        <v>311</v>
      </c>
      <c r="T12" s="12">
        <v>387</v>
      </c>
      <c r="U12" s="12">
        <v>227</v>
      </c>
      <c r="V12" s="12">
        <v>428</v>
      </c>
      <c r="W12" s="12">
        <v>288</v>
      </c>
      <c r="X12" s="12">
        <v>477</v>
      </c>
      <c r="Y12" s="12">
        <v>457</v>
      </c>
      <c r="Z12" s="12">
        <v>304</v>
      </c>
      <c r="AA12" s="12">
        <v>503</v>
      </c>
      <c r="AB12" s="12">
        <v>283</v>
      </c>
      <c r="AC12" s="12">
        <v>367</v>
      </c>
      <c r="AD12" s="12">
        <v>453</v>
      </c>
      <c r="AE12" s="12">
        <v>287</v>
      </c>
      <c r="AF12" s="12">
        <v>575</v>
      </c>
    </row>
    <row r="13" spans="1:32" x14ac:dyDescent="0.35">
      <c r="A13" s="31"/>
      <c r="B13" s="13" t="s">
        <v>589</v>
      </c>
      <c r="C13" s="14">
        <v>0.4</v>
      </c>
      <c r="D13" s="14">
        <v>0.39</v>
      </c>
      <c r="E13" s="14">
        <v>0.37</v>
      </c>
      <c r="F13" s="14">
        <v>0.34</v>
      </c>
      <c r="G13" s="14">
        <v>0.61</v>
      </c>
      <c r="H13" s="14">
        <v>0.41</v>
      </c>
      <c r="I13" s="14">
        <v>0.41</v>
      </c>
      <c r="J13" s="14">
        <v>0.39</v>
      </c>
      <c r="K13" s="14">
        <v>0.28000000000000003</v>
      </c>
      <c r="L13" s="14">
        <v>0.63</v>
      </c>
      <c r="M13" s="14">
        <v>0.66</v>
      </c>
      <c r="N13" s="14">
        <v>0.5</v>
      </c>
      <c r="O13" s="14">
        <v>0.37</v>
      </c>
      <c r="P13" s="14">
        <v>0.32</v>
      </c>
      <c r="Q13" s="14">
        <v>0.35</v>
      </c>
      <c r="R13" s="14">
        <v>0.51</v>
      </c>
      <c r="S13" s="14">
        <v>0.31</v>
      </c>
      <c r="T13" s="14">
        <v>0.38</v>
      </c>
      <c r="U13" s="14">
        <v>0.45</v>
      </c>
      <c r="V13" s="14">
        <v>0.42</v>
      </c>
      <c r="W13" s="14">
        <v>0.57000000000000006</v>
      </c>
      <c r="X13" s="14">
        <v>0.47</v>
      </c>
      <c r="Y13" s="14">
        <v>0.46</v>
      </c>
      <c r="Z13" s="14">
        <v>0.3</v>
      </c>
      <c r="AA13" s="14">
        <v>0.49</v>
      </c>
      <c r="AB13" s="14">
        <v>0.27</v>
      </c>
      <c r="AC13" s="14">
        <v>0.36</v>
      </c>
      <c r="AD13" s="14">
        <v>0.45</v>
      </c>
      <c r="AE13" s="14">
        <v>0.28000000000000003</v>
      </c>
      <c r="AF13" s="14">
        <v>0.56000000000000005</v>
      </c>
    </row>
    <row r="14" spans="1:32" x14ac:dyDescent="0.35">
      <c r="A14" s="31"/>
      <c r="B14" s="11" t="s">
        <v>590</v>
      </c>
      <c r="C14" s="12">
        <v>11040</v>
      </c>
      <c r="D14" s="12">
        <v>454</v>
      </c>
      <c r="E14" s="12">
        <v>392</v>
      </c>
      <c r="F14" s="12">
        <v>449</v>
      </c>
      <c r="G14" s="12">
        <v>307</v>
      </c>
      <c r="H14" s="12">
        <v>476</v>
      </c>
      <c r="I14" s="12">
        <v>586</v>
      </c>
      <c r="J14" s="12">
        <v>110</v>
      </c>
      <c r="K14" s="12">
        <v>498</v>
      </c>
      <c r="L14" s="12">
        <v>283</v>
      </c>
      <c r="M14" s="12">
        <v>291</v>
      </c>
      <c r="N14" s="12">
        <v>382</v>
      </c>
      <c r="O14" s="12">
        <v>403</v>
      </c>
      <c r="P14" s="12">
        <v>509</v>
      </c>
      <c r="Q14" s="12">
        <v>508</v>
      </c>
      <c r="R14" s="12">
        <v>165</v>
      </c>
      <c r="S14" s="12">
        <v>493</v>
      </c>
      <c r="T14" s="12">
        <v>425</v>
      </c>
      <c r="U14" s="12">
        <v>214</v>
      </c>
      <c r="V14" s="12">
        <v>444</v>
      </c>
      <c r="W14" s="12">
        <v>154</v>
      </c>
      <c r="X14" s="12">
        <v>418</v>
      </c>
      <c r="Y14" s="12">
        <v>374</v>
      </c>
      <c r="Z14" s="12">
        <v>555</v>
      </c>
      <c r="AA14" s="12">
        <v>358</v>
      </c>
      <c r="AB14" s="12">
        <v>452</v>
      </c>
      <c r="AC14" s="12">
        <v>415</v>
      </c>
      <c r="AD14" s="12">
        <v>425</v>
      </c>
      <c r="AE14" s="12">
        <v>509</v>
      </c>
      <c r="AF14" s="12">
        <v>331</v>
      </c>
    </row>
    <row r="15" spans="1:32" x14ac:dyDescent="0.35">
      <c r="A15" s="31"/>
      <c r="B15" s="13" t="s">
        <v>591</v>
      </c>
      <c r="C15" s="14">
        <v>0.42</v>
      </c>
      <c r="D15" s="14">
        <v>0.44</v>
      </c>
      <c r="E15" s="14">
        <v>0.38</v>
      </c>
      <c r="F15" s="14">
        <v>0.44</v>
      </c>
      <c r="G15" s="14">
        <v>0.3</v>
      </c>
      <c r="H15" s="14">
        <v>0.39</v>
      </c>
      <c r="I15" s="14">
        <v>0.38</v>
      </c>
      <c r="J15" s="14">
        <v>0.37</v>
      </c>
      <c r="K15" s="14">
        <v>0.49</v>
      </c>
      <c r="L15" s="14">
        <v>0.28000000000000003</v>
      </c>
      <c r="M15" s="14">
        <v>0.28999999999999998</v>
      </c>
      <c r="N15" s="14">
        <v>0.38</v>
      </c>
      <c r="O15" s="14">
        <v>0.41</v>
      </c>
      <c r="P15" s="14">
        <v>0.51</v>
      </c>
      <c r="Q15" s="14">
        <v>0.49</v>
      </c>
      <c r="R15" s="14">
        <v>0.33</v>
      </c>
      <c r="S15" s="14">
        <v>0.48</v>
      </c>
      <c r="T15" s="14">
        <v>0.42</v>
      </c>
      <c r="U15" s="14">
        <v>0.42</v>
      </c>
      <c r="V15" s="14">
        <v>0.44</v>
      </c>
      <c r="W15" s="14">
        <v>0.31</v>
      </c>
      <c r="X15" s="14">
        <v>0.42</v>
      </c>
      <c r="Y15" s="14">
        <v>0.37</v>
      </c>
      <c r="Z15" s="14">
        <v>0.54</v>
      </c>
      <c r="AA15" s="14">
        <v>0.35</v>
      </c>
      <c r="AB15" s="14">
        <v>0.43</v>
      </c>
      <c r="AC15" s="14">
        <v>0.41</v>
      </c>
      <c r="AD15" s="14">
        <v>0.42</v>
      </c>
      <c r="AE15" s="14">
        <v>0.5</v>
      </c>
      <c r="AF15" s="14">
        <v>0.33</v>
      </c>
    </row>
    <row r="16" spans="1:32" x14ac:dyDescent="0.35">
      <c r="A16" s="31"/>
      <c r="B16" s="11" t="s">
        <v>592</v>
      </c>
      <c r="C16" s="12">
        <v>2298</v>
      </c>
      <c r="D16" s="12">
        <v>116</v>
      </c>
      <c r="E16" s="12">
        <v>110</v>
      </c>
      <c r="F16" s="12">
        <v>143</v>
      </c>
      <c r="G16" s="12">
        <v>45</v>
      </c>
      <c r="H16" s="12">
        <v>98</v>
      </c>
      <c r="I16" s="12">
        <v>140</v>
      </c>
      <c r="J16" s="12">
        <v>41</v>
      </c>
      <c r="K16" s="12">
        <v>102</v>
      </c>
      <c r="L16" s="12">
        <v>54</v>
      </c>
      <c r="M16" s="12">
        <v>22</v>
      </c>
      <c r="N16" s="12">
        <v>28</v>
      </c>
      <c r="O16" s="12">
        <v>92</v>
      </c>
      <c r="P16" s="12">
        <v>105</v>
      </c>
      <c r="Q16" s="12">
        <v>96</v>
      </c>
      <c r="R16" s="12">
        <v>33</v>
      </c>
      <c r="S16" s="12">
        <v>96</v>
      </c>
      <c r="T16" s="12">
        <v>65</v>
      </c>
      <c r="U16" s="12">
        <v>34</v>
      </c>
      <c r="V16" s="12">
        <v>98</v>
      </c>
      <c r="W16" s="12">
        <v>26</v>
      </c>
      <c r="X16" s="12">
        <v>92</v>
      </c>
      <c r="Y16" s="12">
        <v>76</v>
      </c>
      <c r="Z16" s="12">
        <v>102</v>
      </c>
      <c r="AA16" s="12">
        <v>45</v>
      </c>
      <c r="AB16" s="12">
        <v>195</v>
      </c>
      <c r="AC16" s="12">
        <v>115</v>
      </c>
      <c r="AD16" s="12">
        <v>64</v>
      </c>
      <c r="AE16" s="12">
        <v>138</v>
      </c>
      <c r="AF16" s="12">
        <v>82</v>
      </c>
    </row>
    <row r="17" spans="1:32" x14ac:dyDescent="0.35">
      <c r="A17" s="31"/>
      <c r="B17" s="13" t="s">
        <v>593</v>
      </c>
      <c r="C17" s="14">
        <v>0.09</v>
      </c>
      <c r="D17" s="14">
        <v>0.11</v>
      </c>
      <c r="E17" s="14">
        <v>0.11</v>
      </c>
      <c r="F17" s="14">
        <v>0.14000000000000001</v>
      </c>
      <c r="G17" s="14">
        <v>0.04</v>
      </c>
      <c r="H17" s="14">
        <v>0.08</v>
      </c>
      <c r="I17" s="14">
        <v>0.09</v>
      </c>
      <c r="J17" s="14">
        <v>0.14000000000000001</v>
      </c>
      <c r="K17" s="14">
        <v>0.1</v>
      </c>
      <c r="L17" s="14">
        <v>0.05</v>
      </c>
      <c r="M17" s="14">
        <v>0.02</v>
      </c>
      <c r="N17" s="14">
        <v>0.03</v>
      </c>
      <c r="O17" s="14">
        <v>0.09</v>
      </c>
      <c r="P17" s="14">
        <v>0.1</v>
      </c>
      <c r="Q17" s="14">
        <v>0.09</v>
      </c>
      <c r="R17" s="14">
        <v>0.06</v>
      </c>
      <c r="S17" s="14">
        <v>0.09</v>
      </c>
      <c r="T17" s="14">
        <v>0.06</v>
      </c>
      <c r="U17" s="14">
        <v>7.0000000000000007E-2</v>
      </c>
      <c r="V17" s="14">
        <v>0.1</v>
      </c>
      <c r="W17" s="14">
        <v>0.05</v>
      </c>
      <c r="X17" s="14">
        <v>0.09</v>
      </c>
      <c r="Y17" s="14">
        <v>0.08</v>
      </c>
      <c r="Z17" s="14">
        <v>0.1</v>
      </c>
      <c r="AA17" s="14">
        <v>0.04</v>
      </c>
      <c r="AB17" s="14">
        <v>0.18</v>
      </c>
      <c r="AC17" s="14">
        <v>0.12</v>
      </c>
      <c r="AD17" s="14">
        <v>7.0000000000000007E-2</v>
      </c>
      <c r="AE17" s="14">
        <v>0.14000000000000001</v>
      </c>
      <c r="AF17" s="14">
        <v>0.08</v>
      </c>
    </row>
    <row r="18" spans="1:32" x14ac:dyDescent="0.35">
      <c r="A18" s="31"/>
      <c r="B18" s="11" t="s">
        <v>594</v>
      </c>
      <c r="C18" s="12">
        <v>744</v>
      </c>
      <c r="D18" s="12">
        <v>28</v>
      </c>
      <c r="E18" s="12">
        <v>29</v>
      </c>
      <c r="F18" s="12">
        <v>17</v>
      </c>
      <c r="G18" s="12">
        <v>4</v>
      </c>
      <c r="H18" s="12">
        <v>44</v>
      </c>
      <c r="I18" s="12">
        <v>56</v>
      </c>
      <c r="J18" s="12">
        <v>12</v>
      </c>
      <c r="K18" s="12">
        <v>29</v>
      </c>
      <c r="L18" s="12">
        <v>10</v>
      </c>
      <c r="M18" s="12">
        <v>3</v>
      </c>
      <c r="N18" s="12">
        <v>11</v>
      </c>
      <c r="O18" s="12">
        <v>51</v>
      </c>
      <c r="P18" s="12">
        <v>9</v>
      </c>
      <c r="Q18" s="12">
        <v>30</v>
      </c>
      <c r="R18" s="12">
        <v>13</v>
      </c>
      <c r="S18" s="12">
        <v>16</v>
      </c>
      <c r="T18" s="12">
        <v>16</v>
      </c>
      <c r="U18" s="12">
        <v>7</v>
      </c>
      <c r="V18" s="12">
        <v>19</v>
      </c>
      <c r="W18" s="12">
        <v>5</v>
      </c>
      <c r="X18" s="12">
        <v>13</v>
      </c>
      <c r="Y18" s="12">
        <v>36</v>
      </c>
      <c r="Z18" s="12">
        <v>16</v>
      </c>
      <c r="AA18" s="12">
        <v>7</v>
      </c>
      <c r="AB18" s="12">
        <v>66</v>
      </c>
      <c r="AC18" s="12">
        <v>42</v>
      </c>
      <c r="AD18" s="12">
        <v>22</v>
      </c>
      <c r="AE18" s="12">
        <v>16</v>
      </c>
      <c r="AF18" s="12">
        <v>9</v>
      </c>
    </row>
    <row r="19" spans="1:32" x14ac:dyDescent="0.35">
      <c r="A19" s="31"/>
      <c r="B19" s="13" t="s">
        <v>595</v>
      </c>
      <c r="C19" s="14">
        <v>0.03</v>
      </c>
      <c r="D19" s="14">
        <v>0.03</v>
      </c>
      <c r="E19" s="14">
        <v>0.03</v>
      </c>
      <c r="F19" s="14">
        <v>0.02</v>
      </c>
      <c r="G19" s="14">
        <v>0.01</v>
      </c>
      <c r="H19" s="14">
        <v>0.04</v>
      </c>
      <c r="I19" s="14">
        <v>0.04</v>
      </c>
      <c r="J19" s="14">
        <v>0.04</v>
      </c>
      <c r="K19" s="14">
        <v>0.03</v>
      </c>
      <c r="L19" s="14">
        <v>0.01</v>
      </c>
      <c r="M19" s="15" t="s">
        <v>333</v>
      </c>
      <c r="N19" s="14">
        <v>0.01</v>
      </c>
      <c r="O19" s="14">
        <v>0.05</v>
      </c>
      <c r="P19" s="14">
        <v>0.01</v>
      </c>
      <c r="Q19" s="14">
        <v>0.03</v>
      </c>
      <c r="R19" s="14">
        <v>0.03</v>
      </c>
      <c r="S19" s="14">
        <v>0.02</v>
      </c>
      <c r="T19" s="14">
        <v>0.02</v>
      </c>
      <c r="U19" s="14">
        <v>0.01</v>
      </c>
      <c r="V19" s="14">
        <v>0.02</v>
      </c>
      <c r="W19" s="14">
        <v>0.01</v>
      </c>
      <c r="X19" s="14">
        <v>0.01</v>
      </c>
      <c r="Y19" s="14">
        <v>0.03</v>
      </c>
      <c r="Z19" s="14">
        <v>0.02</v>
      </c>
      <c r="AA19" s="14">
        <v>0.01</v>
      </c>
      <c r="AB19" s="14">
        <v>0.06</v>
      </c>
      <c r="AC19" s="14">
        <v>0.04</v>
      </c>
      <c r="AD19" s="14">
        <v>0.02</v>
      </c>
      <c r="AE19" s="14">
        <v>0.02</v>
      </c>
      <c r="AF19" s="14">
        <v>0.01</v>
      </c>
    </row>
    <row r="20" spans="1:32" x14ac:dyDescent="0.35">
      <c r="A20" s="31"/>
      <c r="B20" s="11" t="s">
        <v>344</v>
      </c>
      <c r="C20" s="12">
        <v>1610</v>
      </c>
      <c r="D20" s="12">
        <v>29</v>
      </c>
      <c r="E20" s="12">
        <v>120</v>
      </c>
      <c r="F20" s="12">
        <v>57</v>
      </c>
      <c r="G20" s="12">
        <v>45</v>
      </c>
      <c r="H20" s="12">
        <v>104</v>
      </c>
      <c r="I20" s="12">
        <v>122</v>
      </c>
      <c r="J20" s="12">
        <v>18</v>
      </c>
      <c r="K20" s="12">
        <v>98</v>
      </c>
      <c r="L20" s="12">
        <v>25</v>
      </c>
      <c r="M20" s="12">
        <v>24</v>
      </c>
      <c r="N20" s="12">
        <v>75</v>
      </c>
      <c r="O20" s="12">
        <v>82</v>
      </c>
      <c r="P20" s="12">
        <v>64</v>
      </c>
      <c r="Q20" s="12">
        <v>42</v>
      </c>
      <c r="R20" s="12">
        <v>36</v>
      </c>
      <c r="S20" s="12">
        <v>106</v>
      </c>
      <c r="T20" s="12">
        <v>124</v>
      </c>
      <c r="U20" s="12">
        <v>27</v>
      </c>
      <c r="V20" s="12">
        <v>25</v>
      </c>
      <c r="W20" s="12">
        <v>29</v>
      </c>
      <c r="X20" s="12">
        <v>10</v>
      </c>
      <c r="Y20" s="12">
        <v>61</v>
      </c>
      <c r="Z20" s="12">
        <v>42</v>
      </c>
      <c r="AA20" s="12">
        <v>118</v>
      </c>
      <c r="AB20" s="12">
        <v>60</v>
      </c>
      <c r="AC20" s="12">
        <v>74</v>
      </c>
      <c r="AD20" s="12">
        <v>40</v>
      </c>
      <c r="AE20" s="12">
        <v>58</v>
      </c>
      <c r="AF20" s="12">
        <v>23</v>
      </c>
    </row>
    <row r="21" spans="1:32" x14ac:dyDescent="0.35">
      <c r="A21" s="31"/>
      <c r="B21" s="13" t="s">
        <v>357</v>
      </c>
      <c r="C21" s="14">
        <v>0.06</v>
      </c>
      <c r="D21" s="14">
        <v>0.03</v>
      </c>
      <c r="E21" s="14">
        <v>0.11</v>
      </c>
      <c r="F21" s="14">
        <v>0.06</v>
      </c>
      <c r="G21" s="14">
        <v>0.04</v>
      </c>
      <c r="H21" s="14">
        <v>0.08</v>
      </c>
      <c r="I21" s="14">
        <v>0.08</v>
      </c>
      <c r="J21" s="14">
        <v>0.06</v>
      </c>
      <c r="K21" s="14">
        <v>0.1</v>
      </c>
      <c r="L21" s="14">
        <v>0.03</v>
      </c>
      <c r="M21" s="14">
        <v>0.03</v>
      </c>
      <c r="N21" s="14">
        <v>0.08</v>
      </c>
      <c r="O21" s="14">
        <v>0.08</v>
      </c>
      <c r="P21" s="14">
        <v>0.06</v>
      </c>
      <c r="Q21" s="14">
        <v>0.04</v>
      </c>
      <c r="R21" s="14">
        <v>7.0000000000000007E-2</v>
      </c>
      <c r="S21" s="14">
        <v>0.1</v>
      </c>
      <c r="T21" s="14">
        <v>0.12</v>
      </c>
      <c r="U21" s="14">
        <v>0.05</v>
      </c>
      <c r="V21" s="14">
        <v>0.02</v>
      </c>
      <c r="W21" s="14">
        <v>0.06</v>
      </c>
      <c r="X21" s="14">
        <v>0.01</v>
      </c>
      <c r="Y21" s="14">
        <v>0.06</v>
      </c>
      <c r="Z21" s="14">
        <v>0.04</v>
      </c>
      <c r="AA21" s="14">
        <v>0.11</v>
      </c>
      <c r="AB21" s="14">
        <v>0.06</v>
      </c>
      <c r="AC21" s="14">
        <v>7.0000000000000007E-2</v>
      </c>
      <c r="AD21" s="14">
        <v>0.04</v>
      </c>
      <c r="AE21" s="14">
        <v>0.06</v>
      </c>
      <c r="AF21" s="14">
        <v>0.02</v>
      </c>
    </row>
    <row r="22" spans="1:32" x14ac:dyDescent="0.35">
      <c r="A22" s="31"/>
      <c r="B22" s="11" t="s">
        <v>596</v>
      </c>
      <c r="C22" s="12">
        <v>21758</v>
      </c>
      <c r="D22" s="12">
        <v>851</v>
      </c>
      <c r="E22" s="12">
        <v>781</v>
      </c>
      <c r="F22" s="12">
        <v>800</v>
      </c>
      <c r="G22" s="12">
        <v>923</v>
      </c>
      <c r="H22" s="12">
        <v>985</v>
      </c>
      <c r="I22" s="12">
        <v>1213</v>
      </c>
      <c r="J22" s="12">
        <v>227</v>
      </c>
      <c r="K22" s="12">
        <v>780</v>
      </c>
      <c r="L22" s="12">
        <v>916</v>
      </c>
      <c r="M22" s="12">
        <v>955</v>
      </c>
      <c r="N22" s="12">
        <v>886</v>
      </c>
      <c r="O22" s="12">
        <v>775</v>
      </c>
      <c r="P22" s="12">
        <v>826</v>
      </c>
      <c r="Q22" s="12">
        <v>866</v>
      </c>
      <c r="R22" s="12">
        <v>419</v>
      </c>
      <c r="S22" s="12">
        <v>804</v>
      </c>
      <c r="T22" s="12">
        <v>812</v>
      </c>
      <c r="U22" s="12">
        <v>441</v>
      </c>
      <c r="V22" s="12">
        <v>872</v>
      </c>
      <c r="W22" s="12">
        <v>442</v>
      </c>
      <c r="X22" s="12">
        <v>895</v>
      </c>
      <c r="Y22" s="12">
        <v>831</v>
      </c>
      <c r="Z22" s="12">
        <v>859</v>
      </c>
      <c r="AA22" s="12">
        <v>861</v>
      </c>
      <c r="AB22" s="12">
        <v>735</v>
      </c>
      <c r="AC22" s="12">
        <v>782</v>
      </c>
      <c r="AD22" s="12">
        <v>878</v>
      </c>
      <c r="AE22" s="12">
        <v>796</v>
      </c>
      <c r="AF22" s="12">
        <v>906</v>
      </c>
    </row>
    <row r="23" spans="1:32" x14ac:dyDescent="0.35">
      <c r="A23" s="31"/>
      <c r="B23" s="13" t="s">
        <v>596</v>
      </c>
      <c r="C23" s="14">
        <v>0.82000000000000006</v>
      </c>
      <c r="D23" s="14">
        <v>0.83000000000000007</v>
      </c>
      <c r="E23" s="14">
        <v>0.75</v>
      </c>
      <c r="F23" s="14">
        <v>0.78</v>
      </c>
      <c r="G23" s="14">
        <v>0.91</v>
      </c>
      <c r="H23" s="14">
        <v>0.8</v>
      </c>
      <c r="I23" s="14">
        <v>0.79</v>
      </c>
      <c r="J23" s="14">
        <v>0.76</v>
      </c>
      <c r="K23" s="14">
        <v>0.77</v>
      </c>
      <c r="L23" s="14">
        <v>0.91</v>
      </c>
      <c r="M23" s="14">
        <v>0.95000000000000007</v>
      </c>
      <c r="N23" s="14">
        <v>0.88</v>
      </c>
      <c r="O23" s="14">
        <v>0.78</v>
      </c>
      <c r="P23" s="14">
        <v>0.83000000000000007</v>
      </c>
      <c r="Q23" s="14">
        <v>0.84</v>
      </c>
      <c r="R23" s="14">
        <v>0.84</v>
      </c>
      <c r="S23" s="14">
        <v>0.79</v>
      </c>
      <c r="T23" s="14">
        <v>0.8</v>
      </c>
      <c r="U23" s="14">
        <v>0.87</v>
      </c>
      <c r="V23" s="14">
        <v>0.86</v>
      </c>
      <c r="W23" s="14">
        <v>0.88</v>
      </c>
      <c r="X23" s="14">
        <v>0.89</v>
      </c>
      <c r="Y23" s="14">
        <v>0.83000000000000007</v>
      </c>
      <c r="Z23" s="14">
        <v>0.84</v>
      </c>
      <c r="AA23" s="14">
        <v>0.84</v>
      </c>
      <c r="AB23" s="14">
        <v>0.70000000000000007</v>
      </c>
      <c r="AC23" s="14">
        <v>0.77</v>
      </c>
      <c r="AD23" s="14">
        <v>0.87</v>
      </c>
      <c r="AE23" s="14">
        <v>0.78</v>
      </c>
      <c r="AF23" s="14">
        <v>0.89</v>
      </c>
    </row>
    <row r="24" spans="1:32" x14ac:dyDescent="0.35">
      <c r="A24" s="31"/>
      <c r="B24" s="11" t="s">
        <v>597</v>
      </c>
      <c r="C24" s="12">
        <v>3042</v>
      </c>
      <c r="D24" s="12">
        <v>144</v>
      </c>
      <c r="E24" s="12">
        <v>139</v>
      </c>
      <c r="F24" s="12">
        <v>160</v>
      </c>
      <c r="G24" s="12">
        <v>49</v>
      </c>
      <c r="H24" s="12">
        <v>142</v>
      </c>
      <c r="I24" s="12">
        <v>196</v>
      </c>
      <c r="J24" s="12">
        <v>53</v>
      </c>
      <c r="K24" s="12">
        <v>131</v>
      </c>
      <c r="L24" s="12">
        <v>64</v>
      </c>
      <c r="M24" s="12">
        <v>25</v>
      </c>
      <c r="N24" s="12">
        <v>39</v>
      </c>
      <c r="O24" s="12">
        <v>143</v>
      </c>
      <c r="P24" s="12">
        <v>114</v>
      </c>
      <c r="Q24" s="12">
        <v>126</v>
      </c>
      <c r="R24" s="12">
        <v>46</v>
      </c>
      <c r="S24" s="12">
        <v>112</v>
      </c>
      <c r="T24" s="12">
        <v>81</v>
      </c>
      <c r="U24" s="12">
        <v>41</v>
      </c>
      <c r="V24" s="12">
        <v>117</v>
      </c>
      <c r="W24" s="12">
        <v>31</v>
      </c>
      <c r="X24" s="12">
        <v>105</v>
      </c>
      <c r="Y24" s="12">
        <v>112</v>
      </c>
      <c r="Z24" s="12">
        <v>118</v>
      </c>
      <c r="AA24" s="12">
        <v>52</v>
      </c>
      <c r="AB24" s="12">
        <v>261</v>
      </c>
      <c r="AC24" s="12">
        <v>157</v>
      </c>
      <c r="AD24" s="12">
        <v>86</v>
      </c>
      <c r="AE24" s="12">
        <v>154</v>
      </c>
      <c r="AF24" s="12">
        <v>91</v>
      </c>
    </row>
    <row r="25" spans="1:32" x14ac:dyDescent="0.35">
      <c r="A25" s="31"/>
      <c r="B25" s="13" t="s">
        <v>598</v>
      </c>
      <c r="C25" s="14">
        <v>0.12</v>
      </c>
      <c r="D25" s="14">
        <v>0.14000000000000001</v>
      </c>
      <c r="E25" s="14">
        <v>0.14000000000000001</v>
      </c>
      <c r="F25" s="14">
        <v>0.16</v>
      </c>
      <c r="G25" s="14">
        <v>0.05</v>
      </c>
      <c r="H25" s="14">
        <v>0.12</v>
      </c>
      <c r="I25" s="14">
        <v>0.13</v>
      </c>
      <c r="J25" s="14">
        <v>0.18</v>
      </c>
      <c r="K25" s="14">
        <v>0.13</v>
      </c>
      <c r="L25" s="14">
        <v>0.06</v>
      </c>
      <c r="M25" s="14">
        <v>0.02</v>
      </c>
      <c r="N25" s="14">
        <v>0.04</v>
      </c>
      <c r="O25" s="14">
        <v>0.14000000000000001</v>
      </c>
      <c r="P25" s="14">
        <v>0.11</v>
      </c>
      <c r="Q25" s="14">
        <v>0.12</v>
      </c>
      <c r="R25" s="14">
        <v>0.09</v>
      </c>
      <c r="S25" s="14">
        <v>0.11</v>
      </c>
      <c r="T25" s="14">
        <v>0.08</v>
      </c>
      <c r="U25" s="14">
        <v>0.08</v>
      </c>
      <c r="V25" s="14">
        <v>0.12</v>
      </c>
      <c r="W25" s="14">
        <v>0.06</v>
      </c>
      <c r="X25" s="14">
        <v>0.1</v>
      </c>
      <c r="Y25" s="14">
        <v>0.11</v>
      </c>
      <c r="Z25" s="14">
        <v>0.12</v>
      </c>
      <c r="AA25" s="14">
        <v>0.05</v>
      </c>
      <c r="AB25" s="14">
        <v>0.24</v>
      </c>
      <c r="AC25" s="14">
        <v>0.16</v>
      </c>
      <c r="AD25" s="14">
        <v>0.09</v>
      </c>
      <c r="AE25" s="14">
        <v>0.16</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962</v>
      </c>
      <c r="C3" s="30"/>
      <c r="D3" s="30"/>
      <c r="E3" s="30"/>
      <c r="F3" s="30"/>
      <c r="H3" s="30" t="s">
        <v>963</v>
      </c>
      <c r="I3" s="30"/>
      <c r="J3" s="30"/>
      <c r="K3" s="30"/>
      <c r="L3" s="30"/>
    </row>
    <row r="4" spans="1:32" ht="27" customHeight="1" x14ac:dyDescent="0.35">
      <c r="B4" s="30" t="s">
        <v>964</v>
      </c>
      <c r="C4" s="30"/>
      <c r="D4" s="30"/>
      <c r="E4" s="30"/>
      <c r="F4" s="30"/>
      <c r="H4" s="30" t="s">
        <v>965</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12725</v>
      </c>
      <c r="D12" s="12">
        <v>462</v>
      </c>
      <c r="E12" s="12">
        <v>429</v>
      </c>
      <c r="F12" s="12">
        <v>392</v>
      </c>
      <c r="G12" s="12">
        <v>797</v>
      </c>
      <c r="H12" s="12">
        <v>639</v>
      </c>
      <c r="I12" s="12">
        <v>780</v>
      </c>
      <c r="J12" s="12">
        <v>141</v>
      </c>
      <c r="K12" s="12">
        <v>366</v>
      </c>
      <c r="L12" s="12">
        <v>696</v>
      </c>
      <c r="M12" s="12">
        <v>641</v>
      </c>
      <c r="N12" s="12">
        <v>541</v>
      </c>
      <c r="O12" s="12">
        <v>421</v>
      </c>
      <c r="P12" s="12">
        <v>348</v>
      </c>
      <c r="Q12" s="12">
        <v>423</v>
      </c>
      <c r="R12" s="12">
        <v>268</v>
      </c>
      <c r="S12" s="12">
        <v>441</v>
      </c>
      <c r="T12" s="12">
        <v>450</v>
      </c>
      <c r="U12" s="12">
        <v>302</v>
      </c>
      <c r="V12" s="12">
        <v>493</v>
      </c>
      <c r="W12" s="12">
        <v>315</v>
      </c>
      <c r="X12" s="12">
        <v>673</v>
      </c>
      <c r="Y12" s="12">
        <v>552</v>
      </c>
      <c r="Z12" s="12">
        <v>361</v>
      </c>
      <c r="AA12" s="12">
        <v>536</v>
      </c>
      <c r="AB12" s="12">
        <v>321</v>
      </c>
      <c r="AC12" s="12">
        <v>423</v>
      </c>
      <c r="AD12" s="12">
        <v>517</v>
      </c>
      <c r="AE12" s="12">
        <v>675</v>
      </c>
      <c r="AF12" s="12">
        <v>860</v>
      </c>
    </row>
    <row r="13" spans="1:32" x14ac:dyDescent="0.35">
      <c r="A13" s="31"/>
      <c r="B13" s="13" t="s">
        <v>589</v>
      </c>
      <c r="C13" s="14">
        <v>0.48</v>
      </c>
      <c r="D13" s="14">
        <v>0.45</v>
      </c>
      <c r="E13" s="14">
        <v>0.41</v>
      </c>
      <c r="F13" s="14">
        <v>0.39</v>
      </c>
      <c r="G13" s="14">
        <v>0.78</v>
      </c>
      <c r="H13" s="14">
        <v>0.52</v>
      </c>
      <c r="I13" s="14">
        <v>0.51</v>
      </c>
      <c r="J13" s="14">
        <v>0.48</v>
      </c>
      <c r="K13" s="14">
        <v>0.36</v>
      </c>
      <c r="L13" s="14">
        <v>0.69000000000000006</v>
      </c>
      <c r="M13" s="14">
        <v>0.64</v>
      </c>
      <c r="N13" s="14">
        <v>0.54</v>
      </c>
      <c r="O13" s="14">
        <v>0.42</v>
      </c>
      <c r="P13" s="14">
        <v>0.35</v>
      </c>
      <c r="Q13" s="14">
        <v>0.41</v>
      </c>
      <c r="R13" s="14">
        <v>0.53</v>
      </c>
      <c r="S13" s="14">
        <v>0.43</v>
      </c>
      <c r="T13" s="14">
        <v>0.44</v>
      </c>
      <c r="U13" s="14">
        <v>0.59</v>
      </c>
      <c r="V13" s="14">
        <v>0.49</v>
      </c>
      <c r="W13" s="14">
        <v>0.63</v>
      </c>
      <c r="X13" s="14">
        <v>0.67</v>
      </c>
      <c r="Y13" s="14">
        <v>0.55000000000000004</v>
      </c>
      <c r="Z13" s="14">
        <v>0.36</v>
      </c>
      <c r="AA13" s="14">
        <v>0.52</v>
      </c>
      <c r="AB13" s="14">
        <v>0.3</v>
      </c>
      <c r="AC13" s="14">
        <v>0.42</v>
      </c>
      <c r="AD13" s="14">
        <v>0.51</v>
      </c>
      <c r="AE13" s="14">
        <v>0.67</v>
      </c>
      <c r="AF13" s="14">
        <v>0.84</v>
      </c>
    </row>
    <row r="14" spans="1:32" x14ac:dyDescent="0.35">
      <c r="A14" s="31"/>
      <c r="B14" s="11" t="s">
        <v>590</v>
      </c>
      <c r="C14" s="12">
        <v>9725</v>
      </c>
      <c r="D14" s="12">
        <v>411</v>
      </c>
      <c r="E14" s="12">
        <v>382</v>
      </c>
      <c r="F14" s="12">
        <v>419</v>
      </c>
      <c r="G14" s="12">
        <v>154</v>
      </c>
      <c r="H14" s="12">
        <v>393</v>
      </c>
      <c r="I14" s="12">
        <v>495</v>
      </c>
      <c r="J14" s="12">
        <v>102</v>
      </c>
      <c r="K14" s="12">
        <v>445</v>
      </c>
      <c r="L14" s="12">
        <v>250</v>
      </c>
      <c r="M14" s="12">
        <v>296</v>
      </c>
      <c r="N14" s="12">
        <v>345</v>
      </c>
      <c r="O14" s="12">
        <v>393</v>
      </c>
      <c r="P14" s="12">
        <v>497</v>
      </c>
      <c r="Q14" s="12">
        <v>454</v>
      </c>
      <c r="R14" s="12">
        <v>149</v>
      </c>
      <c r="S14" s="12">
        <v>387</v>
      </c>
      <c r="T14" s="12">
        <v>403</v>
      </c>
      <c r="U14" s="12">
        <v>159</v>
      </c>
      <c r="V14" s="12">
        <v>406</v>
      </c>
      <c r="W14" s="12">
        <v>129</v>
      </c>
      <c r="X14" s="12">
        <v>286</v>
      </c>
      <c r="Y14" s="12">
        <v>284</v>
      </c>
      <c r="Z14" s="12">
        <v>520</v>
      </c>
      <c r="AA14" s="12">
        <v>336</v>
      </c>
      <c r="AB14" s="12">
        <v>431</v>
      </c>
      <c r="AC14" s="12">
        <v>374</v>
      </c>
      <c r="AD14" s="12">
        <v>377</v>
      </c>
      <c r="AE14" s="12">
        <v>238</v>
      </c>
      <c r="AF14" s="12">
        <v>135</v>
      </c>
    </row>
    <row r="15" spans="1:32" x14ac:dyDescent="0.35">
      <c r="A15" s="31"/>
      <c r="B15" s="13" t="s">
        <v>591</v>
      </c>
      <c r="C15" s="14">
        <v>0.37</v>
      </c>
      <c r="D15" s="14">
        <v>0.4</v>
      </c>
      <c r="E15" s="14">
        <v>0.37</v>
      </c>
      <c r="F15" s="14">
        <v>0.41</v>
      </c>
      <c r="G15" s="14">
        <v>0.15</v>
      </c>
      <c r="H15" s="14">
        <v>0.32</v>
      </c>
      <c r="I15" s="14">
        <v>0.32</v>
      </c>
      <c r="J15" s="14">
        <v>0.34</v>
      </c>
      <c r="K15" s="14">
        <v>0.44</v>
      </c>
      <c r="L15" s="14">
        <v>0.25</v>
      </c>
      <c r="M15" s="14">
        <v>0.28999999999999998</v>
      </c>
      <c r="N15" s="14">
        <v>0.34</v>
      </c>
      <c r="O15" s="14">
        <v>0.39</v>
      </c>
      <c r="P15" s="14">
        <v>0.49</v>
      </c>
      <c r="Q15" s="14">
        <v>0.44</v>
      </c>
      <c r="R15" s="14">
        <v>0.3</v>
      </c>
      <c r="S15" s="14">
        <v>0.38</v>
      </c>
      <c r="T15" s="14">
        <v>0.4</v>
      </c>
      <c r="U15" s="14">
        <v>0.31</v>
      </c>
      <c r="V15" s="14">
        <v>0.4</v>
      </c>
      <c r="W15" s="14">
        <v>0.26</v>
      </c>
      <c r="X15" s="14">
        <v>0.28000000000000003</v>
      </c>
      <c r="Y15" s="14">
        <v>0.28000000000000003</v>
      </c>
      <c r="Z15" s="14">
        <v>0.51</v>
      </c>
      <c r="AA15" s="14">
        <v>0.33</v>
      </c>
      <c r="AB15" s="14">
        <v>0.41</v>
      </c>
      <c r="AC15" s="14">
        <v>0.37</v>
      </c>
      <c r="AD15" s="14">
        <v>0.37</v>
      </c>
      <c r="AE15" s="14">
        <v>0.24</v>
      </c>
      <c r="AF15" s="14">
        <v>0.13</v>
      </c>
    </row>
    <row r="16" spans="1:32" x14ac:dyDescent="0.35">
      <c r="A16" s="31"/>
      <c r="B16" s="11" t="s">
        <v>592</v>
      </c>
      <c r="C16" s="12">
        <v>1705</v>
      </c>
      <c r="D16" s="12">
        <v>95</v>
      </c>
      <c r="E16" s="12">
        <v>86</v>
      </c>
      <c r="F16" s="12">
        <v>120</v>
      </c>
      <c r="G16" s="12">
        <v>23</v>
      </c>
      <c r="H16" s="12">
        <v>57</v>
      </c>
      <c r="I16" s="12">
        <v>84</v>
      </c>
      <c r="J16" s="12">
        <v>27</v>
      </c>
      <c r="K16" s="12">
        <v>70</v>
      </c>
      <c r="L16" s="12">
        <v>23</v>
      </c>
      <c r="M16" s="12">
        <v>21</v>
      </c>
      <c r="N16" s="12">
        <v>25</v>
      </c>
      <c r="O16" s="12">
        <v>70</v>
      </c>
      <c r="P16" s="12">
        <v>83</v>
      </c>
      <c r="Q16" s="12">
        <v>89</v>
      </c>
      <c r="R16" s="12">
        <v>23</v>
      </c>
      <c r="S16" s="12">
        <v>79</v>
      </c>
      <c r="T16" s="12">
        <v>35</v>
      </c>
      <c r="U16" s="12">
        <v>17</v>
      </c>
      <c r="V16" s="12">
        <v>72</v>
      </c>
      <c r="W16" s="12">
        <v>19</v>
      </c>
      <c r="X16" s="12">
        <v>40</v>
      </c>
      <c r="Y16" s="12">
        <v>52</v>
      </c>
      <c r="Z16" s="12">
        <v>82</v>
      </c>
      <c r="AA16" s="12">
        <v>35</v>
      </c>
      <c r="AB16" s="12">
        <v>183</v>
      </c>
      <c r="AC16" s="12">
        <v>95</v>
      </c>
      <c r="AD16" s="12">
        <v>48</v>
      </c>
      <c r="AE16" s="12">
        <v>36</v>
      </c>
      <c r="AF16" s="12">
        <v>11</v>
      </c>
    </row>
    <row r="17" spans="1:32" x14ac:dyDescent="0.35">
      <c r="A17" s="31"/>
      <c r="B17" s="13" t="s">
        <v>593</v>
      </c>
      <c r="C17" s="14">
        <v>7.0000000000000007E-2</v>
      </c>
      <c r="D17" s="14">
        <v>0.09</v>
      </c>
      <c r="E17" s="14">
        <v>0.08</v>
      </c>
      <c r="F17" s="14">
        <v>0.12</v>
      </c>
      <c r="G17" s="14">
        <v>0.02</v>
      </c>
      <c r="H17" s="14">
        <v>0.04</v>
      </c>
      <c r="I17" s="14">
        <v>0.06</v>
      </c>
      <c r="J17" s="14">
        <v>0.09</v>
      </c>
      <c r="K17" s="14">
        <v>7.0000000000000007E-2</v>
      </c>
      <c r="L17" s="14">
        <v>0.02</v>
      </c>
      <c r="M17" s="14">
        <v>0.02</v>
      </c>
      <c r="N17" s="14">
        <v>0.03</v>
      </c>
      <c r="O17" s="14">
        <v>7.0000000000000007E-2</v>
      </c>
      <c r="P17" s="14">
        <v>0.08</v>
      </c>
      <c r="Q17" s="14">
        <v>0.09</v>
      </c>
      <c r="R17" s="14">
        <v>0.05</v>
      </c>
      <c r="S17" s="14">
        <v>0.08</v>
      </c>
      <c r="T17" s="14">
        <v>0.04</v>
      </c>
      <c r="U17" s="14">
        <v>0.03</v>
      </c>
      <c r="V17" s="14">
        <v>7.0000000000000007E-2</v>
      </c>
      <c r="W17" s="14">
        <v>0.04</v>
      </c>
      <c r="X17" s="14">
        <v>0.04</v>
      </c>
      <c r="Y17" s="14">
        <v>0.05</v>
      </c>
      <c r="Z17" s="14">
        <v>0.08</v>
      </c>
      <c r="AA17" s="14">
        <v>0.03</v>
      </c>
      <c r="AB17" s="14">
        <v>0.17</v>
      </c>
      <c r="AC17" s="14">
        <v>0.09</v>
      </c>
      <c r="AD17" s="14">
        <v>0.05</v>
      </c>
      <c r="AE17" s="14">
        <v>0.03</v>
      </c>
      <c r="AF17" s="14">
        <v>0.01</v>
      </c>
    </row>
    <row r="18" spans="1:32" x14ac:dyDescent="0.35">
      <c r="A18" s="31"/>
      <c r="B18" s="11" t="s">
        <v>594</v>
      </c>
      <c r="C18" s="12">
        <v>568</v>
      </c>
      <c r="D18" s="12">
        <v>36</v>
      </c>
      <c r="E18" s="12">
        <v>23</v>
      </c>
      <c r="F18" s="12">
        <v>24</v>
      </c>
      <c r="G18" s="12">
        <v>9</v>
      </c>
      <c r="H18" s="12">
        <v>35</v>
      </c>
      <c r="I18" s="12">
        <v>44</v>
      </c>
      <c r="J18" s="12">
        <v>9</v>
      </c>
      <c r="K18" s="12">
        <v>30</v>
      </c>
      <c r="L18" s="12">
        <v>7</v>
      </c>
      <c r="M18" s="12">
        <v>8</v>
      </c>
      <c r="N18" s="12">
        <v>11</v>
      </c>
      <c r="O18" s="12">
        <v>29</v>
      </c>
      <c r="P18" s="12">
        <v>8</v>
      </c>
      <c r="Q18" s="12">
        <v>23</v>
      </c>
      <c r="R18" s="12">
        <v>14</v>
      </c>
      <c r="S18" s="12">
        <v>14</v>
      </c>
      <c r="T18" s="12">
        <v>14</v>
      </c>
      <c r="U18" s="12">
        <v>9</v>
      </c>
      <c r="V18" s="12">
        <v>18</v>
      </c>
      <c r="W18" s="12">
        <v>8</v>
      </c>
      <c r="X18" s="12">
        <v>5</v>
      </c>
      <c r="Y18" s="12">
        <v>29</v>
      </c>
      <c r="Z18" s="12">
        <v>13</v>
      </c>
      <c r="AA18" s="12">
        <v>7</v>
      </c>
      <c r="AB18" s="12">
        <v>53</v>
      </c>
      <c r="AC18" s="12">
        <v>46</v>
      </c>
      <c r="AD18" s="12">
        <v>16</v>
      </c>
      <c r="AE18" s="12">
        <v>6</v>
      </c>
      <c r="AF18" s="12">
        <v>3</v>
      </c>
    </row>
    <row r="19" spans="1:32" x14ac:dyDescent="0.35">
      <c r="A19" s="31"/>
      <c r="B19" s="13" t="s">
        <v>595</v>
      </c>
      <c r="C19" s="14">
        <v>0.02</v>
      </c>
      <c r="D19" s="14">
        <v>0.04</v>
      </c>
      <c r="E19" s="14">
        <v>0.02</v>
      </c>
      <c r="F19" s="14">
        <v>0.02</v>
      </c>
      <c r="G19" s="14">
        <v>0.01</v>
      </c>
      <c r="H19" s="14">
        <v>0.03</v>
      </c>
      <c r="I19" s="14">
        <v>0.03</v>
      </c>
      <c r="J19" s="14">
        <v>0.03</v>
      </c>
      <c r="K19" s="14">
        <v>0.03</v>
      </c>
      <c r="L19" s="14">
        <v>0.01</v>
      </c>
      <c r="M19" s="14">
        <v>0.01</v>
      </c>
      <c r="N19" s="14">
        <v>0.01</v>
      </c>
      <c r="O19" s="14">
        <v>0.03</v>
      </c>
      <c r="P19" s="14">
        <v>0.01</v>
      </c>
      <c r="Q19" s="14">
        <v>0.02</v>
      </c>
      <c r="R19" s="14">
        <v>0.03</v>
      </c>
      <c r="S19" s="14">
        <v>0.01</v>
      </c>
      <c r="T19" s="14">
        <v>0.01</v>
      </c>
      <c r="U19" s="14">
        <v>0.02</v>
      </c>
      <c r="V19" s="14">
        <v>0.02</v>
      </c>
      <c r="W19" s="14">
        <v>0.01</v>
      </c>
      <c r="X19" s="15" t="s">
        <v>333</v>
      </c>
      <c r="Y19" s="14">
        <v>0.03</v>
      </c>
      <c r="Z19" s="14">
        <v>0.01</v>
      </c>
      <c r="AA19" s="14">
        <v>0.01</v>
      </c>
      <c r="AB19" s="14">
        <v>0.05</v>
      </c>
      <c r="AC19" s="14">
        <v>0.05</v>
      </c>
      <c r="AD19" s="14">
        <v>0.02</v>
      </c>
      <c r="AE19" s="14">
        <v>0.01</v>
      </c>
      <c r="AF19" s="14">
        <v>0.01</v>
      </c>
    </row>
    <row r="20" spans="1:32" x14ac:dyDescent="0.35">
      <c r="A20" s="31"/>
      <c r="B20" s="11" t="s">
        <v>344</v>
      </c>
      <c r="C20" s="12">
        <v>1688</v>
      </c>
      <c r="D20" s="12">
        <v>22</v>
      </c>
      <c r="E20" s="12">
        <v>120</v>
      </c>
      <c r="F20" s="12">
        <v>62</v>
      </c>
      <c r="G20" s="12">
        <v>35</v>
      </c>
      <c r="H20" s="12">
        <v>109</v>
      </c>
      <c r="I20" s="12">
        <v>126</v>
      </c>
      <c r="J20" s="12">
        <v>17</v>
      </c>
      <c r="K20" s="12">
        <v>97</v>
      </c>
      <c r="L20" s="12">
        <v>28</v>
      </c>
      <c r="M20" s="12">
        <v>38</v>
      </c>
      <c r="N20" s="12">
        <v>78</v>
      </c>
      <c r="O20" s="12">
        <v>88</v>
      </c>
      <c r="P20" s="12">
        <v>68</v>
      </c>
      <c r="Q20" s="12">
        <v>46</v>
      </c>
      <c r="R20" s="12">
        <v>46</v>
      </c>
      <c r="S20" s="12">
        <v>100</v>
      </c>
      <c r="T20" s="12">
        <v>115</v>
      </c>
      <c r="U20" s="12">
        <v>23</v>
      </c>
      <c r="V20" s="12">
        <v>25</v>
      </c>
      <c r="W20" s="12">
        <v>29</v>
      </c>
      <c r="X20" s="12">
        <v>7</v>
      </c>
      <c r="Y20" s="12">
        <v>85</v>
      </c>
      <c r="Z20" s="12">
        <v>43</v>
      </c>
      <c r="AA20" s="12">
        <v>117</v>
      </c>
      <c r="AB20" s="12">
        <v>68</v>
      </c>
      <c r="AC20" s="12">
        <v>75</v>
      </c>
      <c r="AD20" s="12">
        <v>46</v>
      </c>
      <c r="AE20" s="12">
        <v>53</v>
      </c>
      <c r="AF20" s="12">
        <v>12</v>
      </c>
    </row>
    <row r="21" spans="1:32" x14ac:dyDescent="0.35">
      <c r="A21" s="31"/>
      <c r="B21" s="13" t="s">
        <v>357</v>
      </c>
      <c r="C21" s="14">
        <v>0.06</v>
      </c>
      <c r="D21" s="14">
        <v>0.02</v>
      </c>
      <c r="E21" s="14">
        <v>0.12</v>
      </c>
      <c r="F21" s="14">
        <v>0.06</v>
      </c>
      <c r="G21" s="14">
        <v>0.04</v>
      </c>
      <c r="H21" s="14">
        <v>0.09</v>
      </c>
      <c r="I21" s="14">
        <v>0.08</v>
      </c>
      <c r="J21" s="14">
        <v>0.06</v>
      </c>
      <c r="K21" s="14">
        <v>0.1</v>
      </c>
      <c r="L21" s="14">
        <v>0.03</v>
      </c>
      <c r="M21" s="14">
        <v>0.04</v>
      </c>
      <c r="N21" s="14">
        <v>0.08</v>
      </c>
      <c r="O21" s="14">
        <v>0.09</v>
      </c>
      <c r="P21" s="14">
        <v>7.0000000000000007E-2</v>
      </c>
      <c r="Q21" s="14">
        <v>0.04</v>
      </c>
      <c r="R21" s="14">
        <v>0.09</v>
      </c>
      <c r="S21" s="14">
        <v>0.1</v>
      </c>
      <c r="T21" s="14">
        <v>0.11</v>
      </c>
      <c r="U21" s="14">
        <v>0.05</v>
      </c>
      <c r="V21" s="14">
        <v>0.02</v>
      </c>
      <c r="W21" s="14">
        <v>0.06</v>
      </c>
      <c r="X21" s="14">
        <v>0.01</v>
      </c>
      <c r="Y21" s="14">
        <v>0.09</v>
      </c>
      <c r="Z21" s="14">
        <v>0.04</v>
      </c>
      <c r="AA21" s="14">
        <v>0.11</v>
      </c>
      <c r="AB21" s="14">
        <v>7.0000000000000007E-2</v>
      </c>
      <c r="AC21" s="14">
        <v>7.0000000000000007E-2</v>
      </c>
      <c r="AD21" s="14">
        <v>0.05</v>
      </c>
      <c r="AE21" s="14">
        <v>0.05</v>
      </c>
      <c r="AF21" s="14">
        <v>0.01</v>
      </c>
    </row>
    <row r="22" spans="1:32" x14ac:dyDescent="0.35">
      <c r="A22" s="31"/>
      <c r="B22" s="11" t="s">
        <v>596</v>
      </c>
      <c r="C22" s="12">
        <v>22450</v>
      </c>
      <c r="D22" s="12">
        <v>873</v>
      </c>
      <c r="E22" s="12">
        <v>811</v>
      </c>
      <c r="F22" s="12">
        <v>811</v>
      </c>
      <c r="G22" s="12">
        <v>951</v>
      </c>
      <c r="H22" s="12">
        <v>1032</v>
      </c>
      <c r="I22" s="12">
        <v>1275</v>
      </c>
      <c r="J22" s="12">
        <v>243</v>
      </c>
      <c r="K22" s="12">
        <v>811</v>
      </c>
      <c r="L22" s="12">
        <v>946</v>
      </c>
      <c r="M22" s="12">
        <v>937</v>
      </c>
      <c r="N22" s="12">
        <v>886</v>
      </c>
      <c r="O22" s="12">
        <v>814</v>
      </c>
      <c r="P22" s="12">
        <v>845</v>
      </c>
      <c r="Q22" s="12">
        <v>877</v>
      </c>
      <c r="R22" s="12">
        <v>417</v>
      </c>
      <c r="S22" s="12">
        <v>828</v>
      </c>
      <c r="T22" s="12">
        <v>853</v>
      </c>
      <c r="U22" s="12">
        <v>461</v>
      </c>
      <c r="V22" s="12">
        <v>899</v>
      </c>
      <c r="W22" s="12">
        <v>444</v>
      </c>
      <c r="X22" s="12">
        <v>959</v>
      </c>
      <c r="Y22" s="12">
        <v>836</v>
      </c>
      <c r="Z22" s="12">
        <v>881</v>
      </c>
      <c r="AA22" s="12">
        <v>872</v>
      </c>
      <c r="AB22" s="12">
        <v>752</v>
      </c>
      <c r="AC22" s="12">
        <v>797</v>
      </c>
      <c r="AD22" s="12">
        <v>894</v>
      </c>
      <c r="AE22" s="12">
        <v>913</v>
      </c>
      <c r="AF22" s="12">
        <v>995</v>
      </c>
    </row>
    <row r="23" spans="1:32" x14ac:dyDescent="0.35">
      <c r="A23" s="31"/>
      <c r="B23" s="13" t="s">
        <v>596</v>
      </c>
      <c r="C23" s="14">
        <v>0.85</v>
      </c>
      <c r="D23" s="14">
        <v>0.85</v>
      </c>
      <c r="E23" s="14">
        <v>0.78</v>
      </c>
      <c r="F23" s="14">
        <v>0.8</v>
      </c>
      <c r="G23" s="14">
        <v>0.93</v>
      </c>
      <c r="H23" s="14">
        <v>0.84</v>
      </c>
      <c r="I23" s="14">
        <v>0.83000000000000007</v>
      </c>
      <c r="J23" s="14">
        <v>0.82000000000000006</v>
      </c>
      <c r="K23" s="14">
        <v>0.8</v>
      </c>
      <c r="L23" s="14">
        <v>0.94000000000000006</v>
      </c>
      <c r="M23" s="14">
        <v>0.93</v>
      </c>
      <c r="N23" s="14">
        <v>0.88</v>
      </c>
      <c r="O23" s="14">
        <v>0.81</v>
      </c>
      <c r="P23" s="14">
        <v>0.84</v>
      </c>
      <c r="Q23" s="14">
        <v>0.85</v>
      </c>
      <c r="R23" s="14">
        <v>0.83000000000000007</v>
      </c>
      <c r="S23" s="14">
        <v>0.81</v>
      </c>
      <c r="T23" s="14">
        <v>0.84</v>
      </c>
      <c r="U23" s="14">
        <v>0.9</v>
      </c>
      <c r="V23" s="14">
        <v>0.89</v>
      </c>
      <c r="W23" s="14">
        <v>0.89</v>
      </c>
      <c r="X23" s="14">
        <v>0.95000000000000007</v>
      </c>
      <c r="Y23" s="14">
        <v>0.83000000000000007</v>
      </c>
      <c r="Z23" s="14">
        <v>0.87</v>
      </c>
      <c r="AA23" s="14">
        <v>0.85</v>
      </c>
      <c r="AB23" s="14">
        <v>0.71</v>
      </c>
      <c r="AC23" s="14">
        <v>0.79</v>
      </c>
      <c r="AD23" s="14">
        <v>0.88</v>
      </c>
      <c r="AE23" s="14">
        <v>0.91</v>
      </c>
      <c r="AF23" s="14">
        <v>0.97</v>
      </c>
    </row>
    <row r="24" spans="1:32" x14ac:dyDescent="0.35">
      <c r="A24" s="31"/>
      <c r="B24" s="11" t="s">
        <v>597</v>
      </c>
      <c r="C24" s="12">
        <v>2273</v>
      </c>
      <c r="D24" s="12">
        <v>131</v>
      </c>
      <c r="E24" s="12">
        <v>109</v>
      </c>
      <c r="F24" s="12">
        <v>144</v>
      </c>
      <c r="G24" s="12">
        <v>32</v>
      </c>
      <c r="H24" s="12">
        <v>92</v>
      </c>
      <c r="I24" s="12">
        <v>128</v>
      </c>
      <c r="J24" s="12">
        <v>36</v>
      </c>
      <c r="K24" s="12">
        <v>100</v>
      </c>
      <c r="L24" s="12">
        <v>30</v>
      </c>
      <c r="M24" s="12">
        <v>29</v>
      </c>
      <c r="N24" s="12">
        <v>36</v>
      </c>
      <c r="O24" s="12">
        <v>99</v>
      </c>
      <c r="P24" s="12">
        <v>91</v>
      </c>
      <c r="Q24" s="12">
        <v>112</v>
      </c>
      <c r="R24" s="12">
        <v>37</v>
      </c>
      <c r="S24" s="12">
        <v>93</v>
      </c>
      <c r="T24" s="12">
        <v>49</v>
      </c>
      <c r="U24" s="12">
        <v>26</v>
      </c>
      <c r="V24" s="12">
        <v>90</v>
      </c>
      <c r="W24" s="12">
        <v>27</v>
      </c>
      <c r="X24" s="12">
        <v>45</v>
      </c>
      <c r="Y24" s="12">
        <v>81</v>
      </c>
      <c r="Z24" s="12">
        <v>95</v>
      </c>
      <c r="AA24" s="12">
        <v>42</v>
      </c>
      <c r="AB24" s="12">
        <v>236</v>
      </c>
      <c r="AC24" s="12">
        <v>141</v>
      </c>
      <c r="AD24" s="12">
        <v>64</v>
      </c>
      <c r="AE24" s="12">
        <v>42</v>
      </c>
      <c r="AF24" s="12">
        <v>14</v>
      </c>
    </row>
    <row r="25" spans="1:32" x14ac:dyDescent="0.35">
      <c r="A25" s="31"/>
      <c r="B25" s="13" t="s">
        <v>598</v>
      </c>
      <c r="C25" s="14">
        <v>0.09</v>
      </c>
      <c r="D25" s="14">
        <v>0.13</v>
      </c>
      <c r="E25" s="14">
        <v>0.1</v>
      </c>
      <c r="F25" s="14">
        <v>0.14000000000000001</v>
      </c>
      <c r="G25" s="14">
        <v>0.03</v>
      </c>
      <c r="H25" s="14">
        <v>7.0000000000000007E-2</v>
      </c>
      <c r="I25" s="14">
        <v>0.09</v>
      </c>
      <c r="J25" s="14">
        <v>0.12</v>
      </c>
      <c r="K25" s="14">
        <v>0.1</v>
      </c>
      <c r="L25" s="14">
        <v>0.03</v>
      </c>
      <c r="M25" s="14">
        <v>0.03</v>
      </c>
      <c r="N25" s="14">
        <v>0.04</v>
      </c>
      <c r="O25" s="14">
        <v>0.1</v>
      </c>
      <c r="P25" s="14">
        <v>0.09</v>
      </c>
      <c r="Q25" s="14">
        <v>0.11</v>
      </c>
      <c r="R25" s="14">
        <v>0.08</v>
      </c>
      <c r="S25" s="14">
        <v>0.09</v>
      </c>
      <c r="T25" s="14">
        <v>0.05</v>
      </c>
      <c r="U25" s="14">
        <v>0.05</v>
      </c>
      <c r="V25" s="14">
        <v>0.09</v>
      </c>
      <c r="W25" s="14">
        <v>0.05</v>
      </c>
      <c r="X25" s="14">
        <v>0.04</v>
      </c>
      <c r="Y25" s="14">
        <v>0.08</v>
      </c>
      <c r="Z25" s="14">
        <v>0.09</v>
      </c>
      <c r="AA25" s="14">
        <v>0.04</v>
      </c>
      <c r="AB25" s="14">
        <v>0.22</v>
      </c>
      <c r="AC25" s="14">
        <v>0.14000000000000001</v>
      </c>
      <c r="AD25" s="14">
        <v>7.0000000000000007E-2</v>
      </c>
      <c r="AE25" s="14">
        <v>0.04</v>
      </c>
      <c r="AF25" s="14">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966</v>
      </c>
      <c r="C3" s="30"/>
      <c r="D3" s="30"/>
      <c r="E3" s="30"/>
      <c r="F3" s="30"/>
      <c r="H3" s="30" t="s">
        <v>967</v>
      </c>
      <c r="I3" s="30"/>
      <c r="J3" s="30"/>
      <c r="K3" s="30"/>
      <c r="L3" s="30"/>
    </row>
    <row r="4" spans="1:32" ht="27" customHeight="1" x14ac:dyDescent="0.35">
      <c r="B4" s="30" t="s">
        <v>968</v>
      </c>
      <c r="C4" s="30"/>
      <c r="D4" s="30"/>
      <c r="E4" s="30"/>
      <c r="F4" s="30"/>
      <c r="H4" s="30" t="s">
        <v>969</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11250</v>
      </c>
      <c r="D12" s="12">
        <v>434</v>
      </c>
      <c r="E12" s="12">
        <v>488</v>
      </c>
      <c r="F12" s="12">
        <v>439</v>
      </c>
      <c r="G12" s="12">
        <v>632</v>
      </c>
      <c r="H12" s="12">
        <v>540</v>
      </c>
      <c r="I12" s="12">
        <v>667</v>
      </c>
      <c r="J12" s="12">
        <v>127</v>
      </c>
      <c r="K12" s="12">
        <v>361</v>
      </c>
      <c r="L12" s="12">
        <v>623</v>
      </c>
      <c r="M12" s="12">
        <v>654</v>
      </c>
      <c r="N12" s="12">
        <v>535</v>
      </c>
      <c r="O12" s="12">
        <v>348</v>
      </c>
      <c r="P12" s="12">
        <v>352</v>
      </c>
      <c r="Q12" s="12">
        <v>364</v>
      </c>
      <c r="R12" s="12">
        <v>268</v>
      </c>
      <c r="S12" s="12">
        <v>408</v>
      </c>
      <c r="T12" s="12">
        <v>438</v>
      </c>
      <c r="U12" s="12">
        <v>247</v>
      </c>
      <c r="V12" s="12">
        <v>467</v>
      </c>
      <c r="W12" s="12">
        <v>286</v>
      </c>
      <c r="X12" s="12">
        <v>521</v>
      </c>
      <c r="Y12" s="12">
        <v>472</v>
      </c>
      <c r="Z12" s="12">
        <v>322</v>
      </c>
      <c r="AA12" s="12">
        <v>510</v>
      </c>
      <c r="AB12" s="12">
        <v>276</v>
      </c>
      <c r="AC12" s="12">
        <v>413</v>
      </c>
      <c r="AD12" s="12">
        <v>520</v>
      </c>
      <c r="AE12" s="12">
        <v>536</v>
      </c>
      <c r="AF12" s="12">
        <v>614</v>
      </c>
    </row>
    <row r="13" spans="1:32" x14ac:dyDescent="0.35">
      <c r="A13" s="31"/>
      <c r="B13" s="13" t="s">
        <v>589</v>
      </c>
      <c r="C13" s="14">
        <v>0.43</v>
      </c>
      <c r="D13" s="14">
        <v>0.42</v>
      </c>
      <c r="E13" s="14">
        <v>0.47</v>
      </c>
      <c r="F13" s="14">
        <v>0.43</v>
      </c>
      <c r="G13" s="14">
        <v>0.62</v>
      </c>
      <c r="H13" s="14">
        <v>0.44</v>
      </c>
      <c r="I13" s="14">
        <v>0.43</v>
      </c>
      <c r="J13" s="14">
        <v>0.43</v>
      </c>
      <c r="K13" s="14">
        <v>0.36</v>
      </c>
      <c r="L13" s="14">
        <v>0.62</v>
      </c>
      <c r="M13" s="14">
        <v>0.65</v>
      </c>
      <c r="N13" s="14">
        <v>0.54</v>
      </c>
      <c r="O13" s="14">
        <v>0.35</v>
      </c>
      <c r="P13" s="14">
        <v>0.35</v>
      </c>
      <c r="Q13" s="14">
        <v>0.35</v>
      </c>
      <c r="R13" s="14">
        <v>0.54</v>
      </c>
      <c r="S13" s="14">
        <v>0.4</v>
      </c>
      <c r="T13" s="14">
        <v>0.43</v>
      </c>
      <c r="U13" s="14">
        <v>0.48</v>
      </c>
      <c r="V13" s="14">
        <v>0.46</v>
      </c>
      <c r="W13" s="14">
        <v>0.57000000000000006</v>
      </c>
      <c r="X13" s="14">
        <v>0.51</v>
      </c>
      <c r="Y13" s="14">
        <v>0.47</v>
      </c>
      <c r="Z13" s="14">
        <v>0.32</v>
      </c>
      <c r="AA13" s="14">
        <v>0.49</v>
      </c>
      <c r="AB13" s="14">
        <v>0.26</v>
      </c>
      <c r="AC13" s="14">
        <v>0.41</v>
      </c>
      <c r="AD13" s="14">
        <v>0.52</v>
      </c>
      <c r="AE13" s="14">
        <v>0.53</v>
      </c>
      <c r="AF13" s="14">
        <v>0.6</v>
      </c>
    </row>
    <row r="14" spans="1:32" x14ac:dyDescent="0.35">
      <c r="A14" s="31"/>
      <c r="B14" s="11" t="s">
        <v>590</v>
      </c>
      <c r="C14" s="12">
        <v>10955</v>
      </c>
      <c r="D14" s="12">
        <v>444</v>
      </c>
      <c r="E14" s="12">
        <v>349</v>
      </c>
      <c r="F14" s="12">
        <v>377</v>
      </c>
      <c r="G14" s="12">
        <v>291</v>
      </c>
      <c r="H14" s="12">
        <v>459</v>
      </c>
      <c r="I14" s="12">
        <v>579</v>
      </c>
      <c r="J14" s="12">
        <v>120</v>
      </c>
      <c r="K14" s="12">
        <v>466</v>
      </c>
      <c r="L14" s="12">
        <v>303</v>
      </c>
      <c r="M14" s="12">
        <v>304</v>
      </c>
      <c r="N14" s="12">
        <v>371</v>
      </c>
      <c r="O14" s="12">
        <v>444</v>
      </c>
      <c r="P14" s="12">
        <v>481</v>
      </c>
      <c r="Q14" s="12">
        <v>523</v>
      </c>
      <c r="R14" s="12">
        <v>161</v>
      </c>
      <c r="S14" s="12">
        <v>431</v>
      </c>
      <c r="T14" s="12">
        <v>406</v>
      </c>
      <c r="U14" s="12">
        <v>210</v>
      </c>
      <c r="V14" s="12">
        <v>419</v>
      </c>
      <c r="W14" s="12">
        <v>151</v>
      </c>
      <c r="X14" s="12">
        <v>370</v>
      </c>
      <c r="Y14" s="12">
        <v>390</v>
      </c>
      <c r="Z14" s="12">
        <v>538</v>
      </c>
      <c r="AA14" s="12">
        <v>377</v>
      </c>
      <c r="AB14" s="12">
        <v>454</v>
      </c>
      <c r="AC14" s="12">
        <v>371</v>
      </c>
      <c r="AD14" s="12">
        <v>382</v>
      </c>
      <c r="AE14" s="12">
        <v>364</v>
      </c>
      <c r="AF14" s="12">
        <v>308</v>
      </c>
    </row>
    <row r="15" spans="1:32" x14ac:dyDescent="0.35">
      <c r="A15" s="31"/>
      <c r="B15" s="13" t="s">
        <v>591</v>
      </c>
      <c r="C15" s="14">
        <v>0.42</v>
      </c>
      <c r="D15" s="14">
        <v>0.43</v>
      </c>
      <c r="E15" s="14">
        <v>0.34</v>
      </c>
      <c r="F15" s="14">
        <v>0.37</v>
      </c>
      <c r="G15" s="14">
        <v>0.28000000000000003</v>
      </c>
      <c r="H15" s="14">
        <v>0.37</v>
      </c>
      <c r="I15" s="14">
        <v>0.38</v>
      </c>
      <c r="J15" s="14">
        <v>0.4</v>
      </c>
      <c r="K15" s="14">
        <v>0.46</v>
      </c>
      <c r="L15" s="14">
        <v>0.3</v>
      </c>
      <c r="M15" s="14">
        <v>0.3</v>
      </c>
      <c r="N15" s="14">
        <v>0.37</v>
      </c>
      <c r="O15" s="14">
        <v>0.44</v>
      </c>
      <c r="P15" s="14">
        <v>0.48</v>
      </c>
      <c r="Q15" s="14">
        <v>0.5</v>
      </c>
      <c r="R15" s="14">
        <v>0.32</v>
      </c>
      <c r="S15" s="14">
        <v>0.42</v>
      </c>
      <c r="T15" s="14">
        <v>0.4</v>
      </c>
      <c r="U15" s="14">
        <v>0.41</v>
      </c>
      <c r="V15" s="14">
        <v>0.41</v>
      </c>
      <c r="W15" s="14">
        <v>0.3</v>
      </c>
      <c r="X15" s="14">
        <v>0.37</v>
      </c>
      <c r="Y15" s="14">
        <v>0.39</v>
      </c>
      <c r="Z15" s="14">
        <v>0.53</v>
      </c>
      <c r="AA15" s="14">
        <v>0.37</v>
      </c>
      <c r="AB15" s="14">
        <v>0.43</v>
      </c>
      <c r="AC15" s="14">
        <v>0.37</v>
      </c>
      <c r="AD15" s="14">
        <v>0.38</v>
      </c>
      <c r="AE15" s="14">
        <v>0.36</v>
      </c>
      <c r="AF15" s="14">
        <v>0.3</v>
      </c>
    </row>
    <row r="16" spans="1:32" x14ac:dyDescent="0.35">
      <c r="A16" s="31"/>
      <c r="B16" s="11" t="s">
        <v>592</v>
      </c>
      <c r="C16" s="12">
        <v>2237</v>
      </c>
      <c r="D16" s="12">
        <v>102</v>
      </c>
      <c r="E16" s="12">
        <v>97</v>
      </c>
      <c r="F16" s="12">
        <v>130</v>
      </c>
      <c r="G16" s="12">
        <v>50</v>
      </c>
      <c r="H16" s="12">
        <v>118</v>
      </c>
      <c r="I16" s="12">
        <v>151</v>
      </c>
      <c r="J16" s="12">
        <v>32</v>
      </c>
      <c r="K16" s="12">
        <v>87</v>
      </c>
      <c r="L16" s="12">
        <v>46</v>
      </c>
      <c r="M16" s="12">
        <v>29</v>
      </c>
      <c r="N16" s="12">
        <v>29</v>
      </c>
      <c r="O16" s="12">
        <v>84</v>
      </c>
      <c r="P16" s="12">
        <v>110</v>
      </c>
      <c r="Q16" s="12">
        <v>78</v>
      </c>
      <c r="R16" s="12">
        <v>35</v>
      </c>
      <c r="S16" s="12">
        <v>89</v>
      </c>
      <c r="T16" s="12">
        <v>64</v>
      </c>
      <c r="U16" s="12">
        <v>29</v>
      </c>
      <c r="V16" s="12">
        <v>83</v>
      </c>
      <c r="W16" s="12">
        <v>31</v>
      </c>
      <c r="X16" s="12">
        <v>98</v>
      </c>
      <c r="Y16" s="12">
        <v>78</v>
      </c>
      <c r="Z16" s="12">
        <v>113</v>
      </c>
      <c r="AA16" s="12">
        <v>41</v>
      </c>
      <c r="AB16" s="12">
        <v>215</v>
      </c>
      <c r="AC16" s="12">
        <v>116</v>
      </c>
      <c r="AD16" s="12">
        <v>68</v>
      </c>
      <c r="AE16" s="12">
        <v>58</v>
      </c>
      <c r="AF16" s="12">
        <v>69</v>
      </c>
    </row>
    <row r="17" spans="1:32" x14ac:dyDescent="0.35">
      <c r="A17" s="31"/>
      <c r="B17" s="13" t="s">
        <v>593</v>
      </c>
      <c r="C17" s="14">
        <v>0.08</v>
      </c>
      <c r="D17" s="14">
        <v>0.1</v>
      </c>
      <c r="E17" s="14">
        <v>0.09</v>
      </c>
      <c r="F17" s="14">
        <v>0.13</v>
      </c>
      <c r="G17" s="14">
        <v>0.05</v>
      </c>
      <c r="H17" s="14">
        <v>0.1</v>
      </c>
      <c r="I17" s="14">
        <v>0.1</v>
      </c>
      <c r="J17" s="14">
        <v>0.11</v>
      </c>
      <c r="K17" s="14">
        <v>0.09</v>
      </c>
      <c r="L17" s="14">
        <v>0.05</v>
      </c>
      <c r="M17" s="14">
        <v>0.03</v>
      </c>
      <c r="N17" s="14">
        <v>0.03</v>
      </c>
      <c r="O17" s="14">
        <v>0.09</v>
      </c>
      <c r="P17" s="14">
        <v>0.11</v>
      </c>
      <c r="Q17" s="14">
        <v>0.08</v>
      </c>
      <c r="R17" s="14">
        <v>7.0000000000000007E-2</v>
      </c>
      <c r="S17" s="14">
        <v>0.09</v>
      </c>
      <c r="T17" s="14">
        <v>0.06</v>
      </c>
      <c r="U17" s="14">
        <v>0.06</v>
      </c>
      <c r="V17" s="14">
        <v>0.08</v>
      </c>
      <c r="W17" s="14">
        <v>0.06</v>
      </c>
      <c r="X17" s="14">
        <v>0.1</v>
      </c>
      <c r="Y17" s="14">
        <v>0.08</v>
      </c>
      <c r="Z17" s="14">
        <v>0.11</v>
      </c>
      <c r="AA17" s="14">
        <v>0.04</v>
      </c>
      <c r="AB17" s="14">
        <v>0.2</v>
      </c>
      <c r="AC17" s="14">
        <v>0.11</v>
      </c>
      <c r="AD17" s="14">
        <v>7.0000000000000007E-2</v>
      </c>
      <c r="AE17" s="14">
        <v>0.06</v>
      </c>
      <c r="AF17" s="14">
        <v>7.0000000000000007E-2</v>
      </c>
    </row>
    <row r="18" spans="1:32" x14ac:dyDescent="0.35">
      <c r="A18" s="31"/>
      <c r="B18" s="11" t="s">
        <v>594</v>
      </c>
      <c r="C18" s="12">
        <v>654</v>
      </c>
      <c r="D18" s="12">
        <v>24</v>
      </c>
      <c r="E18" s="12">
        <v>23</v>
      </c>
      <c r="F18" s="12">
        <v>36</v>
      </c>
      <c r="G18" s="12">
        <v>7</v>
      </c>
      <c r="H18" s="12">
        <v>23</v>
      </c>
      <c r="I18" s="12">
        <v>30</v>
      </c>
      <c r="J18" s="12">
        <v>7</v>
      </c>
      <c r="K18" s="12">
        <v>38</v>
      </c>
      <c r="L18" s="12">
        <v>9</v>
      </c>
      <c r="M18" s="12">
        <v>2</v>
      </c>
      <c r="N18" s="12">
        <v>12</v>
      </c>
      <c r="O18" s="12">
        <v>42</v>
      </c>
      <c r="P18" s="12">
        <v>10</v>
      </c>
      <c r="Q18" s="12">
        <v>33</v>
      </c>
      <c r="R18" s="12">
        <v>17</v>
      </c>
      <c r="S18" s="12">
        <v>16</v>
      </c>
      <c r="T18" s="12">
        <v>15</v>
      </c>
      <c r="U18" s="12">
        <v>8</v>
      </c>
      <c r="V18" s="12">
        <v>25</v>
      </c>
      <c r="W18" s="12">
        <v>7</v>
      </c>
      <c r="X18" s="12">
        <v>10</v>
      </c>
      <c r="Y18" s="12">
        <v>22</v>
      </c>
      <c r="Z18" s="12">
        <v>26</v>
      </c>
      <c r="AA18" s="12">
        <v>8</v>
      </c>
      <c r="AB18" s="12">
        <v>57</v>
      </c>
      <c r="AC18" s="12">
        <v>63</v>
      </c>
      <c r="AD18" s="12">
        <v>13</v>
      </c>
      <c r="AE18" s="12">
        <v>7</v>
      </c>
      <c r="AF18" s="12">
        <v>19</v>
      </c>
    </row>
    <row r="19" spans="1:32" x14ac:dyDescent="0.35">
      <c r="A19" s="31"/>
      <c r="B19" s="13" t="s">
        <v>595</v>
      </c>
      <c r="C19" s="14">
        <v>0.02</v>
      </c>
      <c r="D19" s="14">
        <v>0.03</v>
      </c>
      <c r="E19" s="14">
        <v>0.02</v>
      </c>
      <c r="F19" s="14">
        <v>0.04</v>
      </c>
      <c r="G19" s="14">
        <v>0.01</v>
      </c>
      <c r="H19" s="14">
        <v>0.02</v>
      </c>
      <c r="I19" s="14">
        <v>0.02</v>
      </c>
      <c r="J19" s="14">
        <v>0.02</v>
      </c>
      <c r="K19" s="14">
        <v>0.04</v>
      </c>
      <c r="L19" s="14">
        <v>0.01</v>
      </c>
      <c r="M19" s="15" t="s">
        <v>333</v>
      </c>
      <c r="N19" s="14">
        <v>0.01</v>
      </c>
      <c r="O19" s="14">
        <v>0.04</v>
      </c>
      <c r="P19" s="14">
        <v>0.01</v>
      </c>
      <c r="Q19" s="14">
        <v>0.03</v>
      </c>
      <c r="R19" s="14">
        <v>0.03</v>
      </c>
      <c r="S19" s="14">
        <v>0.02</v>
      </c>
      <c r="T19" s="14">
        <v>0.02</v>
      </c>
      <c r="U19" s="14">
        <v>0.02</v>
      </c>
      <c r="V19" s="14">
        <v>0.03</v>
      </c>
      <c r="W19" s="14">
        <v>0.02</v>
      </c>
      <c r="X19" s="14">
        <v>0.01</v>
      </c>
      <c r="Y19" s="14">
        <v>0.02</v>
      </c>
      <c r="Z19" s="14">
        <v>0.02</v>
      </c>
      <c r="AA19" s="14">
        <v>0.01</v>
      </c>
      <c r="AB19" s="14">
        <v>0.06</v>
      </c>
      <c r="AC19" s="14">
        <v>0.06</v>
      </c>
      <c r="AD19" s="14">
        <v>0.01</v>
      </c>
      <c r="AE19" s="14">
        <v>0.01</v>
      </c>
      <c r="AF19" s="14">
        <v>0.02</v>
      </c>
    </row>
    <row r="20" spans="1:32" x14ac:dyDescent="0.35">
      <c r="A20" s="31"/>
      <c r="B20" s="11" t="s">
        <v>344</v>
      </c>
      <c r="C20" s="12">
        <v>1314</v>
      </c>
      <c r="D20" s="12">
        <v>20</v>
      </c>
      <c r="E20" s="12">
        <v>81</v>
      </c>
      <c r="F20" s="12">
        <v>35</v>
      </c>
      <c r="G20" s="12">
        <v>37</v>
      </c>
      <c r="H20" s="12">
        <v>92</v>
      </c>
      <c r="I20" s="12">
        <v>104</v>
      </c>
      <c r="J20" s="12">
        <v>12</v>
      </c>
      <c r="K20" s="12">
        <v>57</v>
      </c>
      <c r="L20" s="12">
        <v>23</v>
      </c>
      <c r="M20" s="12">
        <v>15</v>
      </c>
      <c r="N20" s="12">
        <v>53</v>
      </c>
      <c r="O20" s="12">
        <v>82</v>
      </c>
      <c r="P20" s="12">
        <v>51</v>
      </c>
      <c r="Q20" s="12">
        <v>38</v>
      </c>
      <c r="R20" s="12">
        <v>20</v>
      </c>
      <c r="S20" s="12">
        <v>77</v>
      </c>
      <c r="T20" s="12">
        <v>93</v>
      </c>
      <c r="U20" s="12">
        <v>14</v>
      </c>
      <c r="V20" s="12">
        <v>20</v>
      </c>
      <c r="W20" s="12">
        <v>26</v>
      </c>
      <c r="X20" s="12">
        <v>10</v>
      </c>
      <c r="Y20" s="12">
        <v>41</v>
      </c>
      <c r="Z20" s="12">
        <v>20</v>
      </c>
      <c r="AA20" s="12">
        <v>95</v>
      </c>
      <c r="AB20" s="12">
        <v>54</v>
      </c>
      <c r="AC20" s="12">
        <v>50</v>
      </c>
      <c r="AD20" s="12">
        <v>21</v>
      </c>
      <c r="AE20" s="12">
        <v>41</v>
      </c>
      <c r="AF20" s="12">
        <v>10</v>
      </c>
    </row>
    <row r="21" spans="1:32" x14ac:dyDescent="0.35">
      <c r="A21" s="31"/>
      <c r="B21" s="13" t="s">
        <v>357</v>
      </c>
      <c r="C21" s="14">
        <v>0.05</v>
      </c>
      <c r="D21" s="14">
        <v>0.02</v>
      </c>
      <c r="E21" s="14">
        <v>0.08</v>
      </c>
      <c r="F21" s="14">
        <v>0.03</v>
      </c>
      <c r="G21" s="14">
        <v>0.04</v>
      </c>
      <c r="H21" s="14">
        <v>7.0000000000000007E-2</v>
      </c>
      <c r="I21" s="14">
        <v>7.0000000000000007E-2</v>
      </c>
      <c r="J21" s="14">
        <v>0.04</v>
      </c>
      <c r="K21" s="14">
        <v>0.05</v>
      </c>
      <c r="L21" s="14">
        <v>0.02</v>
      </c>
      <c r="M21" s="14">
        <v>0.02</v>
      </c>
      <c r="N21" s="14">
        <v>0.05</v>
      </c>
      <c r="O21" s="14">
        <v>0.08</v>
      </c>
      <c r="P21" s="14">
        <v>0.05</v>
      </c>
      <c r="Q21" s="14">
        <v>0.04</v>
      </c>
      <c r="R21" s="14">
        <v>0.04</v>
      </c>
      <c r="S21" s="14">
        <v>7.0000000000000007E-2</v>
      </c>
      <c r="T21" s="14">
        <v>0.09</v>
      </c>
      <c r="U21" s="14">
        <v>0.03</v>
      </c>
      <c r="V21" s="14">
        <v>0.02</v>
      </c>
      <c r="W21" s="14">
        <v>0.05</v>
      </c>
      <c r="X21" s="14">
        <v>0.01</v>
      </c>
      <c r="Y21" s="14">
        <v>0.04</v>
      </c>
      <c r="Z21" s="14">
        <v>0.02</v>
      </c>
      <c r="AA21" s="14">
        <v>0.09</v>
      </c>
      <c r="AB21" s="14">
        <v>0.05</v>
      </c>
      <c r="AC21" s="14">
        <v>0.05</v>
      </c>
      <c r="AD21" s="14">
        <v>0.02</v>
      </c>
      <c r="AE21" s="14">
        <v>0.04</v>
      </c>
      <c r="AF21" s="14">
        <v>0.01</v>
      </c>
    </row>
    <row r="22" spans="1:32" x14ac:dyDescent="0.35">
      <c r="A22" s="31"/>
      <c r="B22" s="11" t="s">
        <v>596</v>
      </c>
      <c r="C22" s="12">
        <v>22205</v>
      </c>
      <c r="D22" s="12">
        <v>878</v>
      </c>
      <c r="E22" s="12">
        <v>837</v>
      </c>
      <c r="F22" s="12">
        <v>816</v>
      </c>
      <c r="G22" s="12">
        <v>923</v>
      </c>
      <c r="H22" s="12">
        <v>999</v>
      </c>
      <c r="I22" s="12">
        <v>1246</v>
      </c>
      <c r="J22" s="12">
        <v>247</v>
      </c>
      <c r="K22" s="12">
        <v>827</v>
      </c>
      <c r="L22" s="12">
        <v>926</v>
      </c>
      <c r="M22" s="12">
        <v>958</v>
      </c>
      <c r="N22" s="12">
        <v>906</v>
      </c>
      <c r="O22" s="12">
        <v>792</v>
      </c>
      <c r="P22" s="12">
        <v>833</v>
      </c>
      <c r="Q22" s="12">
        <v>887</v>
      </c>
      <c r="R22" s="12">
        <v>429</v>
      </c>
      <c r="S22" s="12">
        <v>839</v>
      </c>
      <c r="T22" s="12">
        <v>844</v>
      </c>
      <c r="U22" s="12">
        <v>457</v>
      </c>
      <c r="V22" s="12">
        <v>886</v>
      </c>
      <c r="W22" s="12">
        <v>437</v>
      </c>
      <c r="X22" s="12">
        <v>891</v>
      </c>
      <c r="Y22" s="12">
        <v>862</v>
      </c>
      <c r="Z22" s="12">
        <v>860</v>
      </c>
      <c r="AA22" s="12">
        <v>887</v>
      </c>
      <c r="AB22" s="12">
        <v>730</v>
      </c>
      <c r="AC22" s="12">
        <v>784</v>
      </c>
      <c r="AD22" s="12">
        <v>902</v>
      </c>
      <c r="AE22" s="12">
        <v>900</v>
      </c>
      <c r="AF22" s="12">
        <v>922</v>
      </c>
    </row>
    <row r="23" spans="1:32" x14ac:dyDescent="0.35">
      <c r="A23" s="31"/>
      <c r="B23" s="13" t="s">
        <v>596</v>
      </c>
      <c r="C23" s="14">
        <v>0.85</v>
      </c>
      <c r="D23" s="14">
        <v>0.85</v>
      </c>
      <c r="E23" s="14">
        <v>0.81</v>
      </c>
      <c r="F23" s="14">
        <v>0.8</v>
      </c>
      <c r="G23" s="14">
        <v>0.9</v>
      </c>
      <c r="H23" s="14">
        <v>0.81</v>
      </c>
      <c r="I23" s="14">
        <v>0.81</v>
      </c>
      <c r="J23" s="14">
        <v>0.83000000000000007</v>
      </c>
      <c r="K23" s="14">
        <v>0.82000000000000006</v>
      </c>
      <c r="L23" s="14">
        <v>0.92</v>
      </c>
      <c r="M23" s="14">
        <v>0.95000000000000007</v>
      </c>
      <c r="N23" s="14">
        <v>0.91</v>
      </c>
      <c r="O23" s="14">
        <v>0.79</v>
      </c>
      <c r="P23" s="14">
        <v>0.83000000000000007</v>
      </c>
      <c r="Q23" s="14">
        <v>0.85</v>
      </c>
      <c r="R23" s="14">
        <v>0.86</v>
      </c>
      <c r="S23" s="14">
        <v>0.82000000000000006</v>
      </c>
      <c r="T23" s="14">
        <v>0.83000000000000007</v>
      </c>
      <c r="U23" s="14">
        <v>0.89</v>
      </c>
      <c r="V23" s="14">
        <v>0.87</v>
      </c>
      <c r="W23" s="14">
        <v>0.87</v>
      </c>
      <c r="X23" s="14">
        <v>0.88</v>
      </c>
      <c r="Y23" s="14">
        <v>0.86</v>
      </c>
      <c r="Z23" s="14">
        <v>0.85</v>
      </c>
      <c r="AA23" s="14">
        <v>0.86</v>
      </c>
      <c r="AB23" s="14">
        <v>0.69000000000000006</v>
      </c>
      <c r="AC23" s="14">
        <v>0.78</v>
      </c>
      <c r="AD23" s="14">
        <v>0.9</v>
      </c>
      <c r="AE23" s="14">
        <v>0.89</v>
      </c>
      <c r="AF23" s="14">
        <v>0.9</v>
      </c>
    </row>
    <row r="24" spans="1:32" x14ac:dyDescent="0.35">
      <c r="A24" s="31"/>
      <c r="B24" s="11" t="s">
        <v>597</v>
      </c>
      <c r="C24" s="12">
        <v>2891</v>
      </c>
      <c r="D24" s="12">
        <v>126</v>
      </c>
      <c r="E24" s="12">
        <v>120</v>
      </c>
      <c r="F24" s="12">
        <v>166</v>
      </c>
      <c r="G24" s="12">
        <v>57</v>
      </c>
      <c r="H24" s="12">
        <v>141</v>
      </c>
      <c r="I24" s="12">
        <v>181</v>
      </c>
      <c r="J24" s="12">
        <v>39</v>
      </c>
      <c r="K24" s="12">
        <v>125</v>
      </c>
      <c r="L24" s="12">
        <v>55</v>
      </c>
      <c r="M24" s="12">
        <v>31</v>
      </c>
      <c r="N24" s="12">
        <v>41</v>
      </c>
      <c r="O24" s="12">
        <v>126</v>
      </c>
      <c r="P24" s="12">
        <v>120</v>
      </c>
      <c r="Q24" s="12">
        <v>111</v>
      </c>
      <c r="R24" s="12">
        <v>52</v>
      </c>
      <c r="S24" s="12">
        <v>105</v>
      </c>
      <c r="T24" s="12">
        <v>79</v>
      </c>
      <c r="U24" s="12">
        <v>37</v>
      </c>
      <c r="V24" s="12">
        <v>108</v>
      </c>
      <c r="W24" s="12">
        <v>38</v>
      </c>
      <c r="X24" s="12">
        <v>108</v>
      </c>
      <c r="Y24" s="12">
        <v>100</v>
      </c>
      <c r="Z24" s="12">
        <v>139</v>
      </c>
      <c r="AA24" s="12">
        <v>49</v>
      </c>
      <c r="AB24" s="12">
        <v>272</v>
      </c>
      <c r="AC24" s="12">
        <v>179</v>
      </c>
      <c r="AD24" s="12">
        <v>81</v>
      </c>
      <c r="AE24" s="12">
        <v>65</v>
      </c>
      <c r="AF24" s="12">
        <v>88</v>
      </c>
    </row>
    <row r="25" spans="1:32" x14ac:dyDescent="0.35">
      <c r="A25" s="31"/>
      <c r="B25" s="13" t="s">
        <v>598</v>
      </c>
      <c r="C25" s="14">
        <v>0.1</v>
      </c>
      <c r="D25" s="14">
        <v>0.13</v>
      </c>
      <c r="E25" s="14">
        <v>0.11</v>
      </c>
      <c r="F25" s="14">
        <v>0.17</v>
      </c>
      <c r="G25" s="14">
        <v>0.06</v>
      </c>
      <c r="H25" s="14">
        <v>0.12</v>
      </c>
      <c r="I25" s="14">
        <v>0.12</v>
      </c>
      <c r="J25" s="14">
        <v>0.13</v>
      </c>
      <c r="K25" s="14">
        <v>0.13</v>
      </c>
      <c r="L25" s="14">
        <v>0.06</v>
      </c>
      <c r="M25" s="14">
        <v>0.03</v>
      </c>
      <c r="N25" s="14">
        <v>0.04</v>
      </c>
      <c r="O25" s="14">
        <v>0.13</v>
      </c>
      <c r="P25" s="14">
        <v>0.12</v>
      </c>
      <c r="Q25" s="14">
        <v>0.11</v>
      </c>
      <c r="R25" s="14">
        <v>0.1</v>
      </c>
      <c r="S25" s="14">
        <v>0.11</v>
      </c>
      <c r="T25" s="14">
        <v>0.08</v>
      </c>
      <c r="U25" s="14">
        <v>0.08</v>
      </c>
      <c r="V25" s="14">
        <v>0.11</v>
      </c>
      <c r="W25" s="14">
        <v>0.08</v>
      </c>
      <c r="X25" s="14">
        <v>0.11</v>
      </c>
      <c r="Y25" s="14">
        <v>0.1</v>
      </c>
      <c r="Z25" s="14">
        <v>0.13</v>
      </c>
      <c r="AA25" s="14">
        <v>0.05</v>
      </c>
      <c r="AB25" s="14">
        <v>0.26</v>
      </c>
      <c r="AC25" s="14">
        <v>0.17</v>
      </c>
      <c r="AD25" s="14">
        <v>0.08</v>
      </c>
      <c r="AE25" s="14">
        <v>7.0000000000000007E-2</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970</v>
      </c>
      <c r="C3" s="30"/>
      <c r="D3" s="30"/>
      <c r="E3" s="30"/>
      <c r="F3" s="30"/>
      <c r="H3" s="30" t="s">
        <v>971</v>
      </c>
      <c r="I3" s="30"/>
      <c r="J3" s="30"/>
      <c r="K3" s="30"/>
      <c r="L3" s="30"/>
    </row>
    <row r="4" spans="1:32" ht="27" customHeight="1" x14ac:dyDescent="0.35">
      <c r="B4" s="30" t="s">
        <v>972</v>
      </c>
      <c r="C4" s="30"/>
      <c r="D4" s="30"/>
      <c r="E4" s="30"/>
      <c r="F4" s="30"/>
      <c r="H4" s="30" t="s">
        <v>973</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588</v>
      </c>
      <c r="C12" s="12">
        <v>11374</v>
      </c>
      <c r="D12" s="12">
        <v>393</v>
      </c>
      <c r="E12" s="12">
        <v>462</v>
      </c>
      <c r="F12" s="12">
        <v>339</v>
      </c>
      <c r="G12" s="12">
        <v>680</v>
      </c>
      <c r="H12" s="12">
        <v>604</v>
      </c>
      <c r="I12" s="12">
        <v>747</v>
      </c>
      <c r="J12" s="12">
        <v>144</v>
      </c>
      <c r="K12" s="12">
        <v>317</v>
      </c>
      <c r="L12" s="12">
        <v>648</v>
      </c>
      <c r="M12" s="12">
        <v>671</v>
      </c>
      <c r="N12" s="12">
        <v>523</v>
      </c>
      <c r="O12" s="12">
        <v>349</v>
      </c>
      <c r="P12" s="12">
        <v>329</v>
      </c>
      <c r="Q12" s="12">
        <v>369</v>
      </c>
      <c r="R12" s="12">
        <v>271</v>
      </c>
      <c r="S12" s="12">
        <v>332</v>
      </c>
      <c r="T12" s="12">
        <v>444</v>
      </c>
      <c r="U12" s="12">
        <v>221</v>
      </c>
      <c r="V12" s="12">
        <v>437</v>
      </c>
      <c r="W12" s="12">
        <v>257</v>
      </c>
      <c r="X12" s="12">
        <v>464</v>
      </c>
      <c r="Y12" s="12">
        <v>538</v>
      </c>
      <c r="Z12" s="12">
        <v>278</v>
      </c>
      <c r="AA12" s="12">
        <v>509</v>
      </c>
      <c r="AB12" s="12">
        <v>288</v>
      </c>
      <c r="AC12" s="12">
        <v>345</v>
      </c>
      <c r="AD12" s="12">
        <v>428</v>
      </c>
      <c r="AE12" s="12">
        <v>673</v>
      </c>
      <c r="AF12" s="12">
        <v>736</v>
      </c>
    </row>
    <row r="13" spans="1:32" x14ac:dyDescent="0.35">
      <c r="A13" s="31"/>
      <c r="B13" s="13" t="s">
        <v>589</v>
      </c>
      <c r="C13" s="14">
        <v>0.43</v>
      </c>
      <c r="D13" s="14">
        <v>0.38</v>
      </c>
      <c r="E13" s="14">
        <v>0.44</v>
      </c>
      <c r="F13" s="14">
        <v>0.33</v>
      </c>
      <c r="G13" s="14">
        <v>0.67</v>
      </c>
      <c r="H13" s="14">
        <v>0.49</v>
      </c>
      <c r="I13" s="14">
        <v>0.49</v>
      </c>
      <c r="J13" s="14">
        <v>0.48</v>
      </c>
      <c r="K13" s="14">
        <v>0.31</v>
      </c>
      <c r="L13" s="14">
        <v>0.64</v>
      </c>
      <c r="M13" s="14">
        <v>0.67</v>
      </c>
      <c r="N13" s="14">
        <v>0.52</v>
      </c>
      <c r="O13" s="14">
        <v>0.35</v>
      </c>
      <c r="P13" s="14">
        <v>0.33</v>
      </c>
      <c r="Q13" s="14">
        <v>0.36</v>
      </c>
      <c r="R13" s="14">
        <v>0.54</v>
      </c>
      <c r="S13" s="14">
        <v>0.33</v>
      </c>
      <c r="T13" s="14">
        <v>0.44</v>
      </c>
      <c r="U13" s="14">
        <v>0.43</v>
      </c>
      <c r="V13" s="14">
        <v>0.43</v>
      </c>
      <c r="W13" s="14">
        <v>0.51</v>
      </c>
      <c r="X13" s="14">
        <v>0.46</v>
      </c>
      <c r="Y13" s="14">
        <v>0.54</v>
      </c>
      <c r="Z13" s="14">
        <v>0.27</v>
      </c>
      <c r="AA13" s="14">
        <v>0.5</v>
      </c>
      <c r="AB13" s="14">
        <v>0.27</v>
      </c>
      <c r="AC13" s="14">
        <v>0.34</v>
      </c>
      <c r="AD13" s="14">
        <v>0.43</v>
      </c>
      <c r="AE13" s="14">
        <v>0.67</v>
      </c>
      <c r="AF13" s="14">
        <v>0.72</v>
      </c>
    </row>
    <row r="14" spans="1:32" x14ac:dyDescent="0.35">
      <c r="A14" s="31"/>
      <c r="B14" s="11" t="s">
        <v>590</v>
      </c>
      <c r="C14" s="12">
        <v>11008</v>
      </c>
      <c r="D14" s="12">
        <v>461</v>
      </c>
      <c r="E14" s="12">
        <v>401</v>
      </c>
      <c r="F14" s="12">
        <v>476</v>
      </c>
      <c r="G14" s="12">
        <v>262</v>
      </c>
      <c r="H14" s="12">
        <v>445</v>
      </c>
      <c r="I14" s="12">
        <v>560</v>
      </c>
      <c r="J14" s="12">
        <v>115</v>
      </c>
      <c r="K14" s="12">
        <v>475</v>
      </c>
      <c r="L14" s="12">
        <v>277</v>
      </c>
      <c r="M14" s="12">
        <v>300</v>
      </c>
      <c r="N14" s="12">
        <v>384</v>
      </c>
      <c r="O14" s="12">
        <v>438</v>
      </c>
      <c r="P14" s="12">
        <v>525</v>
      </c>
      <c r="Q14" s="12">
        <v>501</v>
      </c>
      <c r="R14" s="12">
        <v>161</v>
      </c>
      <c r="S14" s="12">
        <v>492</v>
      </c>
      <c r="T14" s="12">
        <v>402</v>
      </c>
      <c r="U14" s="12">
        <v>226</v>
      </c>
      <c r="V14" s="12">
        <v>444</v>
      </c>
      <c r="W14" s="12">
        <v>176</v>
      </c>
      <c r="X14" s="12">
        <v>434</v>
      </c>
      <c r="Y14" s="12">
        <v>343</v>
      </c>
      <c r="Z14" s="12">
        <v>565</v>
      </c>
      <c r="AA14" s="12">
        <v>394</v>
      </c>
      <c r="AB14" s="12">
        <v>439</v>
      </c>
      <c r="AC14" s="12">
        <v>443</v>
      </c>
      <c r="AD14" s="12">
        <v>481</v>
      </c>
      <c r="AE14" s="12">
        <v>262</v>
      </c>
      <c r="AF14" s="12">
        <v>254</v>
      </c>
    </row>
    <row r="15" spans="1:32" x14ac:dyDescent="0.35">
      <c r="A15" s="31"/>
      <c r="B15" s="13" t="s">
        <v>591</v>
      </c>
      <c r="C15" s="14">
        <v>0.42</v>
      </c>
      <c r="D15" s="14">
        <v>0.45</v>
      </c>
      <c r="E15" s="14">
        <v>0.39</v>
      </c>
      <c r="F15" s="14">
        <v>0.47</v>
      </c>
      <c r="G15" s="14">
        <v>0.26</v>
      </c>
      <c r="H15" s="14">
        <v>0.36</v>
      </c>
      <c r="I15" s="14">
        <v>0.37</v>
      </c>
      <c r="J15" s="14">
        <v>0.39</v>
      </c>
      <c r="K15" s="14">
        <v>0.47</v>
      </c>
      <c r="L15" s="14">
        <v>0.28000000000000003</v>
      </c>
      <c r="M15" s="14">
        <v>0.3</v>
      </c>
      <c r="N15" s="14">
        <v>0.38</v>
      </c>
      <c r="O15" s="14">
        <v>0.44</v>
      </c>
      <c r="P15" s="14">
        <v>0.52</v>
      </c>
      <c r="Q15" s="14">
        <v>0.48</v>
      </c>
      <c r="R15" s="14">
        <v>0.32</v>
      </c>
      <c r="S15" s="14">
        <v>0.48</v>
      </c>
      <c r="T15" s="14">
        <v>0.39</v>
      </c>
      <c r="U15" s="14">
        <v>0.44</v>
      </c>
      <c r="V15" s="14">
        <v>0.44</v>
      </c>
      <c r="W15" s="14">
        <v>0.35</v>
      </c>
      <c r="X15" s="14">
        <v>0.43</v>
      </c>
      <c r="Y15" s="14">
        <v>0.34</v>
      </c>
      <c r="Z15" s="14">
        <v>0.56000000000000005</v>
      </c>
      <c r="AA15" s="14">
        <v>0.38</v>
      </c>
      <c r="AB15" s="14">
        <v>0.42</v>
      </c>
      <c r="AC15" s="14">
        <v>0.44</v>
      </c>
      <c r="AD15" s="14">
        <v>0.48</v>
      </c>
      <c r="AE15" s="14">
        <v>0.26</v>
      </c>
      <c r="AF15" s="14">
        <v>0.25</v>
      </c>
    </row>
    <row r="16" spans="1:32" x14ac:dyDescent="0.35">
      <c r="A16" s="31"/>
      <c r="B16" s="11" t="s">
        <v>592</v>
      </c>
      <c r="C16" s="12">
        <v>2188</v>
      </c>
      <c r="D16" s="12">
        <v>120</v>
      </c>
      <c r="E16" s="12">
        <v>82</v>
      </c>
      <c r="F16" s="12">
        <v>144</v>
      </c>
      <c r="G16" s="12">
        <v>33</v>
      </c>
      <c r="H16" s="12">
        <v>80</v>
      </c>
      <c r="I16" s="12">
        <v>105</v>
      </c>
      <c r="J16" s="12">
        <v>25</v>
      </c>
      <c r="K16" s="12">
        <v>110</v>
      </c>
      <c r="L16" s="12">
        <v>46</v>
      </c>
      <c r="M16" s="12">
        <v>21</v>
      </c>
      <c r="N16" s="12">
        <v>27</v>
      </c>
      <c r="O16" s="12">
        <v>96</v>
      </c>
      <c r="P16" s="12">
        <v>88</v>
      </c>
      <c r="Q16" s="12">
        <v>104</v>
      </c>
      <c r="R16" s="12">
        <v>38</v>
      </c>
      <c r="S16" s="12">
        <v>96</v>
      </c>
      <c r="T16" s="12">
        <v>61</v>
      </c>
      <c r="U16" s="12">
        <v>28</v>
      </c>
      <c r="V16" s="12">
        <v>99</v>
      </c>
      <c r="W16" s="12">
        <v>34</v>
      </c>
      <c r="X16" s="12">
        <v>88</v>
      </c>
      <c r="Y16" s="12">
        <v>70</v>
      </c>
      <c r="Z16" s="12">
        <v>123</v>
      </c>
      <c r="AA16" s="12">
        <v>45</v>
      </c>
      <c r="AB16" s="12">
        <v>207</v>
      </c>
      <c r="AC16" s="12">
        <v>110</v>
      </c>
      <c r="AD16" s="12">
        <v>58</v>
      </c>
      <c r="AE16" s="12">
        <v>32</v>
      </c>
      <c r="AF16" s="12">
        <v>23</v>
      </c>
    </row>
    <row r="17" spans="1:32" x14ac:dyDescent="0.35">
      <c r="A17" s="31"/>
      <c r="B17" s="13" t="s">
        <v>593</v>
      </c>
      <c r="C17" s="14">
        <v>0.08</v>
      </c>
      <c r="D17" s="14">
        <v>0.12</v>
      </c>
      <c r="E17" s="14">
        <v>0.08</v>
      </c>
      <c r="F17" s="14">
        <v>0.14000000000000001</v>
      </c>
      <c r="G17" s="14">
        <v>0.03</v>
      </c>
      <c r="H17" s="14">
        <v>7.0000000000000007E-2</v>
      </c>
      <c r="I17" s="14">
        <v>7.0000000000000007E-2</v>
      </c>
      <c r="J17" s="14">
        <v>0.08</v>
      </c>
      <c r="K17" s="14">
        <v>0.11</v>
      </c>
      <c r="L17" s="14">
        <v>0.05</v>
      </c>
      <c r="M17" s="14">
        <v>0.02</v>
      </c>
      <c r="N17" s="14">
        <v>0.03</v>
      </c>
      <c r="O17" s="14">
        <v>0.1</v>
      </c>
      <c r="P17" s="14">
        <v>0.09</v>
      </c>
      <c r="Q17" s="14">
        <v>0.1</v>
      </c>
      <c r="R17" s="14">
        <v>0.08</v>
      </c>
      <c r="S17" s="14">
        <v>0.09</v>
      </c>
      <c r="T17" s="14">
        <v>0.06</v>
      </c>
      <c r="U17" s="14">
        <v>0.06</v>
      </c>
      <c r="V17" s="14">
        <v>0.1</v>
      </c>
      <c r="W17" s="14">
        <v>7.0000000000000007E-2</v>
      </c>
      <c r="X17" s="14">
        <v>0.09</v>
      </c>
      <c r="Y17" s="14">
        <v>7.0000000000000007E-2</v>
      </c>
      <c r="Z17" s="14">
        <v>0.12</v>
      </c>
      <c r="AA17" s="14">
        <v>0.04</v>
      </c>
      <c r="AB17" s="14">
        <v>0.2</v>
      </c>
      <c r="AC17" s="14">
        <v>0.11</v>
      </c>
      <c r="AD17" s="14">
        <v>0.06</v>
      </c>
      <c r="AE17" s="14">
        <v>0.03</v>
      </c>
      <c r="AF17" s="14">
        <v>0.02</v>
      </c>
    </row>
    <row r="18" spans="1:32" x14ac:dyDescent="0.35">
      <c r="A18" s="31"/>
      <c r="B18" s="11" t="s">
        <v>594</v>
      </c>
      <c r="C18" s="12">
        <v>619</v>
      </c>
      <c r="D18" s="12">
        <v>27</v>
      </c>
      <c r="E18" s="12">
        <v>28</v>
      </c>
      <c r="F18" s="12">
        <v>26</v>
      </c>
      <c r="G18" s="12">
        <v>5</v>
      </c>
      <c r="H18" s="12">
        <v>24</v>
      </c>
      <c r="I18" s="12">
        <v>32</v>
      </c>
      <c r="J18" s="12">
        <v>8</v>
      </c>
      <c r="K18" s="12">
        <v>37</v>
      </c>
      <c r="L18" s="12">
        <v>11</v>
      </c>
      <c r="M18" s="12">
        <v>2</v>
      </c>
      <c r="N18" s="12">
        <v>8</v>
      </c>
      <c r="O18" s="12">
        <v>45</v>
      </c>
      <c r="P18" s="12">
        <v>6</v>
      </c>
      <c r="Q18" s="12">
        <v>21</v>
      </c>
      <c r="R18" s="12">
        <v>12</v>
      </c>
      <c r="S18" s="12">
        <v>16</v>
      </c>
      <c r="T18" s="12">
        <v>18</v>
      </c>
      <c r="U18" s="12">
        <v>10</v>
      </c>
      <c r="V18" s="12">
        <v>17</v>
      </c>
      <c r="W18" s="12">
        <v>8</v>
      </c>
      <c r="X18" s="12">
        <v>8</v>
      </c>
      <c r="Y18" s="12">
        <v>21</v>
      </c>
      <c r="Z18" s="12">
        <v>31</v>
      </c>
      <c r="AA18" s="12">
        <v>7</v>
      </c>
      <c r="AB18" s="12">
        <v>69</v>
      </c>
      <c r="AC18" s="12">
        <v>64</v>
      </c>
      <c r="AD18" s="12">
        <v>15</v>
      </c>
      <c r="AE18" s="12">
        <v>6</v>
      </c>
      <c r="AF18" s="12">
        <v>2</v>
      </c>
    </row>
    <row r="19" spans="1:32" x14ac:dyDescent="0.35">
      <c r="A19" s="31"/>
      <c r="B19" s="13" t="s">
        <v>595</v>
      </c>
      <c r="C19" s="14">
        <v>0.02</v>
      </c>
      <c r="D19" s="14">
        <v>0.03</v>
      </c>
      <c r="E19" s="14">
        <v>0.03</v>
      </c>
      <c r="F19" s="14">
        <v>0.03</v>
      </c>
      <c r="G19" s="15" t="s">
        <v>333</v>
      </c>
      <c r="H19" s="14">
        <v>0.02</v>
      </c>
      <c r="I19" s="14">
        <v>0.02</v>
      </c>
      <c r="J19" s="14">
        <v>0.03</v>
      </c>
      <c r="K19" s="14">
        <v>0.04</v>
      </c>
      <c r="L19" s="14">
        <v>0.01</v>
      </c>
      <c r="M19" s="15" t="s">
        <v>333</v>
      </c>
      <c r="N19" s="14">
        <v>0.01</v>
      </c>
      <c r="O19" s="14">
        <v>0.04</v>
      </c>
      <c r="P19" s="15" t="s">
        <v>333</v>
      </c>
      <c r="Q19" s="14">
        <v>0.02</v>
      </c>
      <c r="R19" s="14">
        <v>0.02</v>
      </c>
      <c r="S19" s="14">
        <v>0.02</v>
      </c>
      <c r="T19" s="14">
        <v>0.02</v>
      </c>
      <c r="U19" s="14">
        <v>0.02</v>
      </c>
      <c r="V19" s="14">
        <v>0.01</v>
      </c>
      <c r="W19" s="14">
        <v>0.02</v>
      </c>
      <c r="X19" s="14">
        <v>0.01</v>
      </c>
      <c r="Y19" s="14">
        <v>0.02</v>
      </c>
      <c r="Z19" s="14">
        <v>0.03</v>
      </c>
      <c r="AA19" s="14">
        <v>0.01</v>
      </c>
      <c r="AB19" s="14">
        <v>0.06</v>
      </c>
      <c r="AC19" s="14">
        <v>0.06</v>
      </c>
      <c r="AD19" s="14">
        <v>0.01</v>
      </c>
      <c r="AE19" s="14">
        <v>0.01</v>
      </c>
      <c r="AF19" s="15" t="s">
        <v>333</v>
      </c>
    </row>
    <row r="20" spans="1:32" x14ac:dyDescent="0.35">
      <c r="A20" s="31"/>
      <c r="B20" s="11" t="s">
        <v>344</v>
      </c>
      <c r="C20" s="12">
        <v>1220</v>
      </c>
      <c r="D20" s="12">
        <v>24</v>
      </c>
      <c r="E20" s="12">
        <v>66</v>
      </c>
      <c r="F20" s="12">
        <v>33</v>
      </c>
      <c r="G20" s="12">
        <v>36</v>
      </c>
      <c r="H20" s="12">
        <v>79</v>
      </c>
      <c r="I20" s="12">
        <v>86</v>
      </c>
      <c r="J20" s="12">
        <v>6</v>
      </c>
      <c r="K20" s="12">
        <v>70</v>
      </c>
      <c r="L20" s="12">
        <v>23</v>
      </c>
      <c r="M20" s="12">
        <v>10</v>
      </c>
      <c r="N20" s="12">
        <v>58</v>
      </c>
      <c r="O20" s="12">
        <v>73</v>
      </c>
      <c r="P20" s="12">
        <v>56</v>
      </c>
      <c r="Q20" s="12">
        <v>40</v>
      </c>
      <c r="R20" s="12">
        <v>18</v>
      </c>
      <c r="S20" s="12">
        <v>85</v>
      </c>
      <c r="T20" s="12">
        <v>92</v>
      </c>
      <c r="U20" s="12">
        <v>23</v>
      </c>
      <c r="V20" s="12">
        <v>18</v>
      </c>
      <c r="W20" s="12">
        <v>26</v>
      </c>
      <c r="X20" s="12">
        <v>16</v>
      </c>
      <c r="Y20" s="12">
        <v>31</v>
      </c>
      <c r="Z20" s="12">
        <v>23</v>
      </c>
      <c r="AA20" s="12">
        <v>75</v>
      </c>
      <c r="AB20" s="12">
        <v>53</v>
      </c>
      <c r="AC20" s="12">
        <v>51</v>
      </c>
      <c r="AD20" s="12">
        <v>22</v>
      </c>
      <c r="AE20" s="12">
        <v>34</v>
      </c>
      <c r="AF20" s="12">
        <v>5</v>
      </c>
    </row>
    <row r="21" spans="1:32" x14ac:dyDescent="0.35">
      <c r="A21" s="31"/>
      <c r="B21" s="13" t="s">
        <v>357</v>
      </c>
      <c r="C21" s="14">
        <v>0.05</v>
      </c>
      <c r="D21" s="14">
        <v>0.02</v>
      </c>
      <c r="E21" s="14">
        <v>0.06</v>
      </c>
      <c r="F21" s="14">
        <v>0.03</v>
      </c>
      <c r="G21" s="14">
        <v>0.04</v>
      </c>
      <c r="H21" s="14">
        <v>0.06</v>
      </c>
      <c r="I21" s="14">
        <v>0.05</v>
      </c>
      <c r="J21" s="14">
        <v>0.02</v>
      </c>
      <c r="K21" s="14">
        <v>7.0000000000000007E-2</v>
      </c>
      <c r="L21" s="14">
        <v>0.02</v>
      </c>
      <c r="M21" s="14">
        <v>0.01</v>
      </c>
      <c r="N21" s="14">
        <v>0.06</v>
      </c>
      <c r="O21" s="14">
        <v>7.0000000000000007E-2</v>
      </c>
      <c r="P21" s="14">
        <v>0.06</v>
      </c>
      <c r="Q21" s="14">
        <v>0.04</v>
      </c>
      <c r="R21" s="14">
        <v>0.04</v>
      </c>
      <c r="S21" s="14">
        <v>0.08</v>
      </c>
      <c r="T21" s="14">
        <v>0.09</v>
      </c>
      <c r="U21" s="14">
        <v>0.05</v>
      </c>
      <c r="V21" s="14">
        <v>0.02</v>
      </c>
      <c r="W21" s="14">
        <v>0.05</v>
      </c>
      <c r="X21" s="14">
        <v>0.01</v>
      </c>
      <c r="Y21" s="14">
        <v>0.03</v>
      </c>
      <c r="Z21" s="14">
        <v>0.02</v>
      </c>
      <c r="AA21" s="14">
        <v>7.0000000000000007E-2</v>
      </c>
      <c r="AB21" s="14">
        <v>0.05</v>
      </c>
      <c r="AC21" s="14">
        <v>0.05</v>
      </c>
      <c r="AD21" s="14">
        <v>0.02</v>
      </c>
      <c r="AE21" s="14">
        <v>0.03</v>
      </c>
      <c r="AF21" s="14">
        <v>0.01</v>
      </c>
    </row>
    <row r="22" spans="1:32" x14ac:dyDescent="0.35">
      <c r="A22" s="31"/>
      <c r="B22" s="11" t="s">
        <v>596</v>
      </c>
      <c r="C22" s="12">
        <v>22382</v>
      </c>
      <c r="D22" s="12">
        <v>854</v>
      </c>
      <c r="E22" s="12">
        <v>863</v>
      </c>
      <c r="F22" s="12">
        <v>815</v>
      </c>
      <c r="G22" s="12">
        <v>942</v>
      </c>
      <c r="H22" s="12">
        <v>1049</v>
      </c>
      <c r="I22" s="12">
        <v>1307</v>
      </c>
      <c r="J22" s="12">
        <v>259</v>
      </c>
      <c r="K22" s="12">
        <v>792</v>
      </c>
      <c r="L22" s="12">
        <v>925</v>
      </c>
      <c r="M22" s="12">
        <v>971</v>
      </c>
      <c r="N22" s="12">
        <v>907</v>
      </c>
      <c r="O22" s="12">
        <v>787</v>
      </c>
      <c r="P22" s="12">
        <v>854</v>
      </c>
      <c r="Q22" s="12">
        <v>870</v>
      </c>
      <c r="R22" s="12">
        <v>432</v>
      </c>
      <c r="S22" s="12">
        <v>824</v>
      </c>
      <c r="T22" s="12">
        <v>846</v>
      </c>
      <c r="U22" s="12">
        <v>447</v>
      </c>
      <c r="V22" s="12">
        <v>881</v>
      </c>
      <c r="W22" s="12">
        <v>433</v>
      </c>
      <c r="X22" s="12">
        <v>898</v>
      </c>
      <c r="Y22" s="12">
        <v>881</v>
      </c>
      <c r="Z22" s="12">
        <v>843</v>
      </c>
      <c r="AA22" s="12">
        <v>903</v>
      </c>
      <c r="AB22" s="12">
        <v>727</v>
      </c>
      <c r="AC22" s="12">
        <v>788</v>
      </c>
      <c r="AD22" s="12">
        <v>909</v>
      </c>
      <c r="AE22" s="12">
        <v>935</v>
      </c>
      <c r="AF22" s="12">
        <v>990</v>
      </c>
    </row>
    <row r="23" spans="1:32" x14ac:dyDescent="0.35">
      <c r="A23" s="31"/>
      <c r="B23" s="13" t="s">
        <v>596</v>
      </c>
      <c r="C23" s="14">
        <v>0.85</v>
      </c>
      <c r="D23" s="14">
        <v>0.83000000000000007</v>
      </c>
      <c r="E23" s="14">
        <v>0.83000000000000007</v>
      </c>
      <c r="F23" s="14">
        <v>0.8</v>
      </c>
      <c r="G23" s="14">
        <v>0.93</v>
      </c>
      <c r="H23" s="14">
        <v>0.85</v>
      </c>
      <c r="I23" s="14">
        <v>0.86</v>
      </c>
      <c r="J23" s="14">
        <v>0.87</v>
      </c>
      <c r="K23" s="14">
        <v>0.78</v>
      </c>
      <c r="L23" s="14">
        <v>0.92</v>
      </c>
      <c r="M23" s="14">
        <v>0.97</v>
      </c>
      <c r="N23" s="14">
        <v>0.9</v>
      </c>
      <c r="O23" s="14">
        <v>0.79</v>
      </c>
      <c r="P23" s="14">
        <v>0.85</v>
      </c>
      <c r="Q23" s="14">
        <v>0.84</v>
      </c>
      <c r="R23" s="14">
        <v>0.86</v>
      </c>
      <c r="S23" s="14">
        <v>0.81</v>
      </c>
      <c r="T23" s="14">
        <v>0.83000000000000007</v>
      </c>
      <c r="U23" s="14">
        <v>0.87</v>
      </c>
      <c r="V23" s="14">
        <v>0.87</v>
      </c>
      <c r="W23" s="14">
        <v>0.86</v>
      </c>
      <c r="X23" s="14">
        <v>0.89</v>
      </c>
      <c r="Y23" s="14">
        <v>0.88</v>
      </c>
      <c r="Z23" s="14">
        <v>0.83000000000000007</v>
      </c>
      <c r="AA23" s="14">
        <v>0.88</v>
      </c>
      <c r="AB23" s="14">
        <v>0.69000000000000006</v>
      </c>
      <c r="AC23" s="14">
        <v>0.78</v>
      </c>
      <c r="AD23" s="14">
        <v>0.91</v>
      </c>
      <c r="AE23" s="14">
        <v>0.93</v>
      </c>
      <c r="AF23" s="14">
        <v>0.97</v>
      </c>
    </row>
    <row r="24" spans="1:32" x14ac:dyDescent="0.35">
      <c r="A24" s="31"/>
      <c r="B24" s="11" t="s">
        <v>597</v>
      </c>
      <c r="C24" s="12">
        <v>2807</v>
      </c>
      <c r="D24" s="12">
        <v>147</v>
      </c>
      <c r="E24" s="12">
        <v>110</v>
      </c>
      <c r="F24" s="12">
        <v>170</v>
      </c>
      <c r="G24" s="12">
        <v>38</v>
      </c>
      <c r="H24" s="12">
        <v>104</v>
      </c>
      <c r="I24" s="12">
        <v>137</v>
      </c>
      <c r="J24" s="12">
        <v>33</v>
      </c>
      <c r="K24" s="12">
        <v>147</v>
      </c>
      <c r="L24" s="12">
        <v>57</v>
      </c>
      <c r="M24" s="12">
        <v>23</v>
      </c>
      <c r="N24" s="12">
        <v>35</v>
      </c>
      <c r="O24" s="12">
        <v>141</v>
      </c>
      <c r="P24" s="12">
        <v>94</v>
      </c>
      <c r="Q24" s="12">
        <v>125</v>
      </c>
      <c r="R24" s="12">
        <v>50</v>
      </c>
      <c r="S24" s="12">
        <v>112</v>
      </c>
      <c r="T24" s="12">
        <v>79</v>
      </c>
      <c r="U24" s="12">
        <v>38</v>
      </c>
      <c r="V24" s="12">
        <v>116</v>
      </c>
      <c r="W24" s="12">
        <v>42</v>
      </c>
      <c r="X24" s="12">
        <v>96</v>
      </c>
      <c r="Y24" s="12">
        <v>91</v>
      </c>
      <c r="Z24" s="12">
        <v>154</v>
      </c>
      <c r="AA24" s="12">
        <v>52</v>
      </c>
      <c r="AB24" s="12">
        <v>276</v>
      </c>
      <c r="AC24" s="12">
        <v>174</v>
      </c>
      <c r="AD24" s="12">
        <v>73</v>
      </c>
      <c r="AE24" s="12">
        <v>38</v>
      </c>
      <c r="AF24" s="12">
        <v>25</v>
      </c>
    </row>
    <row r="25" spans="1:32" x14ac:dyDescent="0.35">
      <c r="A25" s="31"/>
      <c r="B25" s="13" t="s">
        <v>598</v>
      </c>
      <c r="C25" s="14">
        <v>0.1</v>
      </c>
      <c r="D25" s="14">
        <v>0.15</v>
      </c>
      <c r="E25" s="14">
        <v>0.11</v>
      </c>
      <c r="F25" s="14">
        <v>0.17</v>
      </c>
      <c r="G25" s="14">
        <v>0.03</v>
      </c>
      <c r="H25" s="14">
        <v>0.09</v>
      </c>
      <c r="I25" s="14">
        <v>0.09</v>
      </c>
      <c r="J25" s="14">
        <v>0.11</v>
      </c>
      <c r="K25" s="14">
        <v>0.15</v>
      </c>
      <c r="L25" s="14">
        <v>0.06</v>
      </c>
      <c r="M25" s="14">
        <v>0.02</v>
      </c>
      <c r="N25" s="14">
        <v>0.04</v>
      </c>
      <c r="O25" s="14">
        <v>0.14000000000000001</v>
      </c>
      <c r="P25" s="14">
        <v>0.09</v>
      </c>
      <c r="Q25" s="14">
        <v>0.12</v>
      </c>
      <c r="R25" s="14">
        <v>0.1</v>
      </c>
      <c r="S25" s="14">
        <v>0.11</v>
      </c>
      <c r="T25" s="14">
        <v>0.08</v>
      </c>
      <c r="U25" s="14">
        <v>0.08</v>
      </c>
      <c r="V25" s="14">
        <v>0.11</v>
      </c>
      <c r="W25" s="14">
        <v>0.09</v>
      </c>
      <c r="X25" s="14">
        <v>0.1</v>
      </c>
      <c r="Y25" s="14">
        <v>0.09</v>
      </c>
      <c r="Z25" s="14">
        <v>0.15</v>
      </c>
      <c r="AA25" s="14">
        <v>0.05</v>
      </c>
      <c r="AB25" s="14">
        <v>0.26</v>
      </c>
      <c r="AC25" s="14">
        <v>0.17</v>
      </c>
      <c r="AD25" s="14">
        <v>7.0000000000000007E-2</v>
      </c>
      <c r="AE25" s="14">
        <v>0.04</v>
      </c>
      <c r="AF25" s="14">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60" customHeight="1" x14ac:dyDescent="0.35">
      <c r="B3" s="30" t="s">
        <v>173</v>
      </c>
      <c r="C3" s="30"/>
      <c r="D3" s="30"/>
      <c r="E3" s="30"/>
      <c r="F3" s="30"/>
      <c r="H3" s="30" t="s">
        <v>174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886</v>
      </c>
      <c r="C12" s="12">
        <v>1046</v>
      </c>
      <c r="D12" s="12">
        <v>49</v>
      </c>
      <c r="E12" s="12">
        <v>21</v>
      </c>
      <c r="F12" s="12">
        <v>24</v>
      </c>
      <c r="G12" s="12">
        <v>49</v>
      </c>
      <c r="H12" s="12">
        <v>68</v>
      </c>
      <c r="I12" s="12">
        <v>75</v>
      </c>
      <c r="J12" s="12">
        <v>7</v>
      </c>
      <c r="K12" s="12">
        <v>20</v>
      </c>
      <c r="L12" s="12">
        <v>86</v>
      </c>
      <c r="M12" s="12">
        <v>27</v>
      </c>
      <c r="N12" s="12">
        <v>37</v>
      </c>
      <c r="O12" s="12">
        <v>18</v>
      </c>
      <c r="P12" s="12">
        <v>62</v>
      </c>
      <c r="Q12" s="12">
        <v>19</v>
      </c>
      <c r="R12" s="12">
        <v>24</v>
      </c>
      <c r="S12" s="12">
        <v>39</v>
      </c>
      <c r="T12" s="12">
        <v>26</v>
      </c>
      <c r="U12" s="12">
        <v>22</v>
      </c>
      <c r="V12" s="12">
        <v>15</v>
      </c>
      <c r="W12" s="12">
        <v>55</v>
      </c>
      <c r="X12" s="12">
        <v>94</v>
      </c>
      <c r="Y12" s="12">
        <v>105</v>
      </c>
      <c r="Z12" s="12">
        <v>58</v>
      </c>
      <c r="AA12" s="12">
        <v>24</v>
      </c>
      <c r="AB12" s="12">
        <v>26</v>
      </c>
      <c r="AC12" s="12">
        <v>59</v>
      </c>
      <c r="AD12" s="12">
        <v>50</v>
      </c>
      <c r="AE12" s="12">
        <v>38</v>
      </c>
      <c r="AF12" s="12">
        <v>89</v>
      </c>
    </row>
    <row r="13" spans="1:32" x14ac:dyDescent="0.35">
      <c r="A13" s="31"/>
      <c r="B13" s="13" t="s">
        <v>887</v>
      </c>
      <c r="C13" s="14">
        <v>0.04</v>
      </c>
      <c r="D13" s="14">
        <v>0.05</v>
      </c>
      <c r="E13" s="14">
        <v>0.02</v>
      </c>
      <c r="F13" s="14">
        <v>0.02</v>
      </c>
      <c r="G13" s="14">
        <v>0.05</v>
      </c>
      <c r="H13" s="14">
        <v>0.06</v>
      </c>
      <c r="I13" s="14">
        <v>0.05</v>
      </c>
      <c r="J13" s="14">
        <v>0.02</v>
      </c>
      <c r="K13" s="14">
        <v>0.02</v>
      </c>
      <c r="L13" s="14">
        <v>0.09</v>
      </c>
      <c r="M13" s="14">
        <v>0.03</v>
      </c>
      <c r="N13" s="14">
        <v>0.04</v>
      </c>
      <c r="O13" s="14">
        <v>0.02</v>
      </c>
      <c r="P13" s="14">
        <v>0.06</v>
      </c>
      <c r="Q13" s="14">
        <v>0.02</v>
      </c>
      <c r="R13" s="14">
        <v>0.05</v>
      </c>
      <c r="S13" s="14">
        <v>0.04</v>
      </c>
      <c r="T13" s="14">
        <v>0.02</v>
      </c>
      <c r="U13" s="14">
        <v>0.04</v>
      </c>
      <c r="V13" s="14">
        <v>0.02</v>
      </c>
      <c r="W13" s="14">
        <v>0.11</v>
      </c>
      <c r="X13" s="14">
        <v>0.09</v>
      </c>
      <c r="Y13" s="14">
        <v>0.11</v>
      </c>
      <c r="Z13" s="14">
        <v>0.06</v>
      </c>
      <c r="AA13" s="14">
        <v>0.02</v>
      </c>
      <c r="AB13" s="14">
        <v>0.03</v>
      </c>
      <c r="AC13" s="14">
        <v>0.06</v>
      </c>
      <c r="AD13" s="14">
        <v>0.05</v>
      </c>
      <c r="AE13" s="14">
        <v>0.04</v>
      </c>
      <c r="AF13" s="14">
        <v>0.09</v>
      </c>
    </row>
    <row r="14" spans="1:32" ht="21.5" x14ac:dyDescent="0.35">
      <c r="A14" s="31"/>
      <c r="B14" s="11" t="s">
        <v>888</v>
      </c>
      <c r="C14" s="12">
        <v>7334</v>
      </c>
      <c r="D14" s="12">
        <v>355</v>
      </c>
      <c r="E14" s="12">
        <v>225</v>
      </c>
      <c r="F14" s="12">
        <v>239</v>
      </c>
      <c r="G14" s="12">
        <v>329</v>
      </c>
      <c r="H14" s="12">
        <v>372</v>
      </c>
      <c r="I14" s="12">
        <v>432</v>
      </c>
      <c r="J14" s="12">
        <v>61</v>
      </c>
      <c r="K14" s="12">
        <v>226</v>
      </c>
      <c r="L14" s="12">
        <v>323</v>
      </c>
      <c r="M14" s="12">
        <v>125</v>
      </c>
      <c r="N14" s="12">
        <v>180</v>
      </c>
      <c r="O14" s="12">
        <v>198</v>
      </c>
      <c r="P14" s="12">
        <v>338</v>
      </c>
      <c r="Q14" s="12">
        <v>236</v>
      </c>
      <c r="R14" s="12">
        <v>97</v>
      </c>
      <c r="S14" s="12">
        <v>280</v>
      </c>
      <c r="T14" s="12">
        <v>334</v>
      </c>
      <c r="U14" s="12">
        <v>155</v>
      </c>
      <c r="V14" s="12">
        <v>346</v>
      </c>
      <c r="W14" s="12">
        <v>249</v>
      </c>
      <c r="X14" s="12">
        <v>482</v>
      </c>
      <c r="Y14" s="12">
        <v>363</v>
      </c>
      <c r="Z14" s="12">
        <v>440</v>
      </c>
      <c r="AA14" s="12">
        <v>304</v>
      </c>
      <c r="AB14" s="12">
        <v>266</v>
      </c>
      <c r="AC14" s="12">
        <v>327</v>
      </c>
      <c r="AD14" s="12">
        <v>298</v>
      </c>
      <c r="AE14" s="12">
        <v>411</v>
      </c>
      <c r="AF14" s="12">
        <v>518</v>
      </c>
    </row>
    <row r="15" spans="1:32" x14ac:dyDescent="0.35">
      <c r="A15" s="31"/>
      <c r="B15" s="13" t="s">
        <v>889</v>
      </c>
      <c r="C15" s="14">
        <v>0.28000000000000003</v>
      </c>
      <c r="D15" s="14">
        <v>0.35</v>
      </c>
      <c r="E15" s="14">
        <v>0.22</v>
      </c>
      <c r="F15" s="14">
        <v>0.24</v>
      </c>
      <c r="G15" s="14">
        <v>0.32</v>
      </c>
      <c r="H15" s="14">
        <v>0.3</v>
      </c>
      <c r="I15" s="14">
        <v>0.28000000000000003</v>
      </c>
      <c r="J15" s="14">
        <v>0.21</v>
      </c>
      <c r="K15" s="14">
        <v>0.22</v>
      </c>
      <c r="L15" s="14">
        <v>0.32</v>
      </c>
      <c r="M15" s="14">
        <v>0.12</v>
      </c>
      <c r="N15" s="14">
        <v>0.18</v>
      </c>
      <c r="O15" s="14">
        <v>0.2</v>
      </c>
      <c r="P15" s="14">
        <v>0.34</v>
      </c>
      <c r="Q15" s="14">
        <v>0.23</v>
      </c>
      <c r="R15" s="14">
        <v>0.19</v>
      </c>
      <c r="S15" s="14">
        <v>0.27</v>
      </c>
      <c r="T15" s="14">
        <v>0.33</v>
      </c>
      <c r="U15" s="14">
        <v>0.3</v>
      </c>
      <c r="V15" s="14">
        <v>0.34</v>
      </c>
      <c r="W15" s="14">
        <v>0.5</v>
      </c>
      <c r="X15" s="14">
        <v>0.48</v>
      </c>
      <c r="Y15" s="14">
        <v>0.36</v>
      </c>
      <c r="Z15" s="14">
        <v>0.43</v>
      </c>
      <c r="AA15" s="14">
        <v>0.3</v>
      </c>
      <c r="AB15" s="14">
        <v>0.25</v>
      </c>
      <c r="AC15" s="14">
        <v>0.32</v>
      </c>
      <c r="AD15" s="14">
        <v>0.3</v>
      </c>
      <c r="AE15" s="14">
        <v>0.41</v>
      </c>
      <c r="AF15" s="14">
        <v>0.51</v>
      </c>
    </row>
    <row r="16" spans="1:32" x14ac:dyDescent="0.35">
      <c r="A16" s="31"/>
      <c r="B16" s="11" t="s">
        <v>890</v>
      </c>
      <c r="C16" s="12">
        <v>10837</v>
      </c>
      <c r="D16" s="12">
        <v>400</v>
      </c>
      <c r="E16" s="12">
        <v>394</v>
      </c>
      <c r="F16" s="12">
        <v>486</v>
      </c>
      <c r="G16" s="12">
        <v>392</v>
      </c>
      <c r="H16" s="12">
        <v>492</v>
      </c>
      <c r="I16" s="12">
        <v>636</v>
      </c>
      <c r="J16" s="12">
        <v>144</v>
      </c>
      <c r="K16" s="12">
        <v>410</v>
      </c>
      <c r="L16" s="12">
        <v>279</v>
      </c>
      <c r="M16" s="12">
        <v>371</v>
      </c>
      <c r="N16" s="12">
        <v>397</v>
      </c>
      <c r="O16" s="12">
        <v>510</v>
      </c>
      <c r="P16" s="12">
        <v>414</v>
      </c>
      <c r="Q16" s="12">
        <v>398</v>
      </c>
      <c r="R16" s="12">
        <v>224</v>
      </c>
      <c r="S16" s="12">
        <v>410</v>
      </c>
      <c r="T16" s="12">
        <v>386</v>
      </c>
      <c r="U16" s="12">
        <v>229</v>
      </c>
      <c r="V16" s="12">
        <v>409</v>
      </c>
      <c r="W16" s="12">
        <v>144</v>
      </c>
      <c r="X16" s="12">
        <v>355</v>
      </c>
      <c r="Y16" s="12">
        <v>301</v>
      </c>
      <c r="Z16" s="12">
        <v>400</v>
      </c>
      <c r="AA16" s="12">
        <v>331</v>
      </c>
      <c r="AB16" s="12">
        <v>466</v>
      </c>
      <c r="AC16" s="12">
        <v>428</v>
      </c>
      <c r="AD16" s="12">
        <v>410</v>
      </c>
      <c r="AE16" s="12">
        <v>446</v>
      </c>
      <c r="AF16" s="12">
        <v>342</v>
      </c>
    </row>
    <row r="17" spans="1:32" x14ac:dyDescent="0.35">
      <c r="A17" s="31"/>
      <c r="B17" s="13" t="s">
        <v>891</v>
      </c>
      <c r="C17" s="14">
        <v>0.41</v>
      </c>
      <c r="D17" s="14">
        <v>0.39</v>
      </c>
      <c r="E17" s="14">
        <v>0.38</v>
      </c>
      <c r="F17" s="14">
        <v>0.48</v>
      </c>
      <c r="G17" s="14">
        <v>0.38</v>
      </c>
      <c r="H17" s="14">
        <v>0.4</v>
      </c>
      <c r="I17" s="14">
        <v>0.42</v>
      </c>
      <c r="J17" s="14">
        <v>0.48</v>
      </c>
      <c r="K17" s="14">
        <v>0.41</v>
      </c>
      <c r="L17" s="14">
        <v>0.28000000000000003</v>
      </c>
      <c r="M17" s="14">
        <v>0.37</v>
      </c>
      <c r="N17" s="14">
        <v>0.4</v>
      </c>
      <c r="O17" s="14">
        <v>0.51</v>
      </c>
      <c r="P17" s="14">
        <v>0.41</v>
      </c>
      <c r="Q17" s="14">
        <v>0.38</v>
      </c>
      <c r="R17" s="14">
        <v>0.45</v>
      </c>
      <c r="S17" s="14">
        <v>0.4</v>
      </c>
      <c r="T17" s="14">
        <v>0.38</v>
      </c>
      <c r="U17" s="14">
        <v>0.45</v>
      </c>
      <c r="V17" s="14">
        <v>0.4</v>
      </c>
      <c r="W17" s="14">
        <v>0.28000000000000003</v>
      </c>
      <c r="X17" s="14">
        <v>0.35</v>
      </c>
      <c r="Y17" s="14">
        <v>0.3</v>
      </c>
      <c r="Z17" s="14">
        <v>0.39</v>
      </c>
      <c r="AA17" s="14">
        <v>0.32</v>
      </c>
      <c r="AB17" s="14">
        <v>0.44</v>
      </c>
      <c r="AC17" s="14">
        <v>0.42</v>
      </c>
      <c r="AD17" s="14">
        <v>0.41</v>
      </c>
      <c r="AE17" s="14">
        <v>0.44</v>
      </c>
      <c r="AF17" s="14">
        <v>0.34</v>
      </c>
    </row>
    <row r="18" spans="1:32" x14ac:dyDescent="0.35">
      <c r="A18" s="31"/>
      <c r="B18" s="11" t="s">
        <v>892</v>
      </c>
      <c r="C18" s="12">
        <v>6983</v>
      </c>
      <c r="D18" s="12">
        <v>217</v>
      </c>
      <c r="E18" s="12">
        <v>388</v>
      </c>
      <c r="F18" s="12">
        <v>269</v>
      </c>
      <c r="G18" s="12">
        <v>221</v>
      </c>
      <c r="H18" s="12">
        <v>285</v>
      </c>
      <c r="I18" s="12">
        <v>372</v>
      </c>
      <c r="J18" s="12">
        <v>86</v>
      </c>
      <c r="K18" s="12">
        <v>334</v>
      </c>
      <c r="L18" s="12">
        <v>312</v>
      </c>
      <c r="M18" s="12">
        <v>479</v>
      </c>
      <c r="N18" s="12">
        <v>381</v>
      </c>
      <c r="O18" s="12">
        <v>269</v>
      </c>
      <c r="P18" s="12">
        <v>180</v>
      </c>
      <c r="Q18" s="12">
        <v>380</v>
      </c>
      <c r="R18" s="12">
        <v>151</v>
      </c>
      <c r="S18" s="12">
        <v>281</v>
      </c>
      <c r="T18" s="12">
        <v>251</v>
      </c>
      <c r="U18" s="12">
        <v>101</v>
      </c>
      <c r="V18" s="12">
        <v>243</v>
      </c>
      <c r="W18" s="12">
        <v>44</v>
      </c>
      <c r="X18" s="12">
        <v>76</v>
      </c>
      <c r="Y18" s="12">
        <v>221</v>
      </c>
      <c r="Z18" s="12">
        <v>96</v>
      </c>
      <c r="AA18" s="12">
        <v>353</v>
      </c>
      <c r="AB18" s="12">
        <v>287</v>
      </c>
      <c r="AC18" s="12">
        <v>198</v>
      </c>
      <c r="AD18" s="12">
        <v>245</v>
      </c>
      <c r="AE18" s="12">
        <v>100</v>
      </c>
      <c r="AF18" s="12">
        <v>67</v>
      </c>
    </row>
    <row r="19" spans="1:32" x14ac:dyDescent="0.35">
      <c r="A19" s="31"/>
      <c r="B19" s="13" t="s">
        <v>893</v>
      </c>
      <c r="C19" s="14">
        <v>0.26</v>
      </c>
      <c r="D19" s="14">
        <v>0.21</v>
      </c>
      <c r="E19" s="14">
        <v>0.37</v>
      </c>
      <c r="F19" s="14">
        <v>0.26</v>
      </c>
      <c r="G19" s="14">
        <v>0.22</v>
      </c>
      <c r="H19" s="14">
        <v>0.23</v>
      </c>
      <c r="I19" s="14">
        <v>0.24</v>
      </c>
      <c r="J19" s="14">
        <v>0.28999999999999998</v>
      </c>
      <c r="K19" s="14">
        <v>0.33</v>
      </c>
      <c r="L19" s="14">
        <v>0.31</v>
      </c>
      <c r="M19" s="14">
        <v>0.48</v>
      </c>
      <c r="N19" s="14">
        <v>0.38</v>
      </c>
      <c r="O19" s="14">
        <v>0.27</v>
      </c>
      <c r="P19" s="14">
        <v>0.18</v>
      </c>
      <c r="Q19" s="14">
        <v>0.37</v>
      </c>
      <c r="R19" s="14">
        <v>0.3</v>
      </c>
      <c r="S19" s="14">
        <v>0.28000000000000003</v>
      </c>
      <c r="T19" s="14">
        <v>0.25</v>
      </c>
      <c r="U19" s="14">
        <v>0.2</v>
      </c>
      <c r="V19" s="14">
        <v>0.24</v>
      </c>
      <c r="W19" s="14">
        <v>0.09</v>
      </c>
      <c r="X19" s="14">
        <v>0.08</v>
      </c>
      <c r="Y19" s="14">
        <v>0.22</v>
      </c>
      <c r="Z19" s="14">
        <v>0.09</v>
      </c>
      <c r="AA19" s="14">
        <v>0.34</v>
      </c>
      <c r="AB19" s="14">
        <v>0.27</v>
      </c>
      <c r="AC19" s="14">
        <v>0.2</v>
      </c>
      <c r="AD19" s="14">
        <v>0.24</v>
      </c>
      <c r="AE19" s="14">
        <v>0.1</v>
      </c>
      <c r="AF19" s="14">
        <v>0.06</v>
      </c>
    </row>
    <row r="20" spans="1:32" x14ac:dyDescent="0.35">
      <c r="A20" s="31"/>
      <c r="B20" s="11" t="s">
        <v>344</v>
      </c>
      <c r="C20" s="12">
        <v>210</v>
      </c>
      <c r="D20" s="12">
        <v>4</v>
      </c>
      <c r="E20" s="12">
        <v>11</v>
      </c>
      <c r="F20" s="12">
        <v>0</v>
      </c>
      <c r="G20" s="12">
        <v>26</v>
      </c>
      <c r="H20" s="12">
        <v>15</v>
      </c>
      <c r="I20" s="12">
        <v>15</v>
      </c>
      <c r="J20" s="12">
        <v>0</v>
      </c>
      <c r="K20" s="12">
        <v>19</v>
      </c>
      <c r="L20" s="12">
        <v>4</v>
      </c>
      <c r="M20" s="12">
        <v>2</v>
      </c>
      <c r="N20" s="12">
        <v>5</v>
      </c>
      <c r="O20" s="12">
        <v>6</v>
      </c>
      <c r="P20" s="12">
        <v>10</v>
      </c>
      <c r="Q20" s="12">
        <v>2</v>
      </c>
      <c r="R20" s="12">
        <v>5</v>
      </c>
      <c r="S20" s="12">
        <v>11</v>
      </c>
      <c r="T20" s="12">
        <v>20</v>
      </c>
      <c r="U20" s="12">
        <v>3</v>
      </c>
      <c r="V20" s="12">
        <v>1</v>
      </c>
      <c r="W20" s="12">
        <v>9</v>
      </c>
      <c r="X20" s="12">
        <v>2</v>
      </c>
      <c r="Y20" s="12">
        <v>12</v>
      </c>
      <c r="Z20" s="12">
        <v>25</v>
      </c>
      <c r="AA20" s="12">
        <v>18</v>
      </c>
      <c r="AB20" s="12">
        <v>11</v>
      </c>
      <c r="AC20" s="12">
        <v>1</v>
      </c>
      <c r="AD20" s="12">
        <v>1</v>
      </c>
      <c r="AE20" s="12">
        <v>12</v>
      </c>
      <c r="AF20" s="12">
        <v>4</v>
      </c>
    </row>
    <row r="21" spans="1:32" x14ac:dyDescent="0.35">
      <c r="A21" s="31"/>
      <c r="B21" s="13" t="s">
        <v>357</v>
      </c>
      <c r="C21" s="14">
        <v>0.01</v>
      </c>
      <c r="D21" s="15" t="s">
        <v>333</v>
      </c>
      <c r="E21" s="14">
        <v>0.01</v>
      </c>
      <c r="F21" s="15" t="s">
        <v>333</v>
      </c>
      <c r="G21" s="14">
        <v>0.03</v>
      </c>
      <c r="H21" s="14">
        <v>0.01</v>
      </c>
      <c r="I21" s="14">
        <v>0.01</v>
      </c>
      <c r="J21" s="15" t="s">
        <v>333</v>
      </c>
      <c r="K21" s="14">
        <v>0.02</v>
      </c>
      <c r="L21" s="15" t="s">
        <v>333</v>
      </c>
      <c r="M21" s="15" t="s">
        <v>333</v>
      </c>
      <c r="N21" s="15" t="s">
        <v>333</v>
      </c>
      <c r="O21" s="15" t="s">
        <v>333</v>
      </c>
      <c r="P21" s="14">
        <v>0.01</v>
      </c>
      <c r="Q21" s="15" t="s">
        <v>333</v>
      </c>
      <c r="R21" s="14">
        <v>0.01</v>
      </c>
      <c r="S21" s="14">
        <v>0.01</v>
      </c>
      <c r="T21" s="14">
        <v>0.02</v>
      </c>
      <c r="U21" s="14">
        <v>0.01</v>
      </c>
      <c r="V21" s="15" t="s">
        <v>333</v>
      </c>
      <c r="W21" s="14">
        <v>0.02</v>
      </c>
      <c r="X21" s="15" t="s">
        <v>333</v>
      </c>
      <c r="Y21" s="14">
        <v>0.01</v>
      </c>
      <c r="Z21" s="14">
        <v>0.03</v>
      </c>
      <c r="AA21" s="14">
        <v>0.02</v>
      </c>
      <c r="AB21" s="14">
        <v>0.01</v>
      </c>
      <c r="AC21" s="15" t="s">
        <v>333</v>
      </c>
      <c r="AD21" s="15" t="s">
        <v>333</v>
      </c>
      <c r="AE21" s="14">
        <v>0.01</v>
      </c>
      <c r="AF21" s="15" t="s">
        <v>333</v>
      </c>
    </row>
    <row r="22" spans="1:32" ht="21.5" x14ac:dyDescent="0.35">
      <c r="A22" s="31"/>
      <c r="B22" s="11" t="s">
        <v>894</v>
      </c>
      <c r="C22" s="12">
        <v>8380</v>
      </c>
      <c r="D22" s="12">
        <v>404</v>
      </c>
      <c r="E22" s="12">
        <v>246</v>
      </c>
      <c r="F22" s="12">
        <v>263</v>
      </c>
      <c r="G22" s="12">
        <v>378</v>
      </c>
      <c r="H22" s="12">
        <v>440</v>
      </c>
      <c r="I22" s="12">
        <v>507</v>
      </c>
      <c r="J22" s="12">
        <v>68</v>
      </c>
      <c r="K22" s="12">
        <v>246</v>
      </c>
      <c r="L22" s="12">
        <v>409</v>
      </c>
      <c r="M22" s="12">
        <v>152</v>
      </c>
      <c r="N22" s="12">
        <v>217</v>
      </c>
      <c r="O22" s="12">
        <v>216</v>
      </c>
      <c r="P22" s="12">
        <v>400</v>
      </c>
      <c r="Q22" s="12">
        <v>255</v>
      </c>
      <c r="R22" s="12">
        <v>121</v>
      </c>
      <c r="S22" s="12">
        <v>319</v>
      </c>
      <c r="T22" s="12">
        <v>360</v>
      </c>
      <c r="U22" s="12">
        <v>177</v>
      </c>
      <c r="V22" s="12">
        <v>361</v>
      </c>
      <c r="W22" s="12">
        <v>304</v>
      </c>
      <c r="X22" s="12">
        <v>576</v>
      </c>
      <c r="Y22" s="12">
        <v>468</v>
      </c>
      <c r="Z22" s="12">
        <v>498</v>
      </c>
      <c r="AA22" s="12">
        <v>328</v>
      </c>
      <c r="AB22" s="12">
        <v>292</v>
      </c>
      <c r="AC22" s="12">
        <v>386</v>
      </c>
      <c r="AD22" s="12">
        <v>348</v>
      </c>
      <c r="AE22" s="12">
        <v>449</v>
      </c>
      <c r="AF22" s="12">
        <v>607</v>
      </c>
    </row>
    <row r="23" spans="1:32" x14ac:dyDescent="0.35">
      <c r="A23" s="31"/>
      <c r="B23" s="13" t="s">
        <v>895</v>
      </c>
      <c r="C23" s="14">
        <v>0.32</v>
      </c>
      <c r="D23" s="14">
        <v>0.4</v>
      </c>
      <c r="E23" s="14">
        <v>0.24</v>
      </c>
      <c r="F23" s="14">
        <v>0.26</v>
      </c>
      <c r="G23" s="14">
        <v>0.37</v>
      </c>
      <c r="H23" s="14">
        <v>0.36</v>
      </c>
      <c r="I23" s="14">
        <v>0.33</v>
      </c>
      <c r="J23" s="14">
        <v>0.23</v>
      </c>
      <c r="K23" s="14">
        <v>0.24</v>
      </c>
      <c r="L23" s="14">
        <v>0.41</v>
      </c>
      <c r="M23" s="14">
        <v>0.15</v>
      </c>
      <c r="N23" s="14">
        <v>0.22</v>
      </c>
      <c r="O23" s="14">
        <v>0.22</v>
      </c>
      <c r="P23" s="14">
        <v>0.4</v>
      </c>
      <c r="Q23" s="14">
        <v>0.25</v>
      </c>
      <c r="R23" s="14">
        <v>0.24</v>
      </c>
      <c r="S23" s="14">
        <v>0.31</v>
      </c>
      <c r="T23" s="14">
        <v>0.35</v>
      </c>
      <c r="U23" s="14">
        <v>0.34</v>
      </c>
      <c r="V23" s="14">
        <v>0.36</v>
      </c>
      <c r="W23" s="14">
        <v>0.61</v>
      </c>
      <c r="X23" s="14">
        <v>0.57000000000000006</v>
      </c>
      <c r="Y23" s="14">
        <v>0.47</v>
      </c>
      <c r="Z23" s="14">
        <v>0.49</v>
      </c>
      <c r="AA23" s="14">
        <v>0.32</v>
      </c>
      <c r="AB23" s="14">
        <v>0.28000000000000003</v>
      </c>
      <c r="AC23" s="14">
        <v>0.38</v>
      </c>
      <c r="AD23" s="14">
        <v>0.35</v>
      </c>
      <c r="AE23" s="14">
        <v>0.45</v>
      </c>
      <c r="AF23" s="14">
        <v>0.6</v>
      </c>
    </row>
    <row r="24" spans="1:32" ht="21.5" x14ac:dyDescent="0.35">
      <c r="A24" s="31"/>
      <c r="B24" s="11" t="s">
        <v>896</v>
      </c>
      <c r="C24" s="12">
        <v>17820</v>
      </c>
      <c r="D24" s="12">
        <v>617</v>
      </c>
      <c r="E24" s="12">
        <v>782</v>
      </c>
      <c r="F24" s="12">
        <v>755</v>
      </c>
      <c r="G24" s="12">
        <v>613</v>
      </c>
      <c r="H24" s="12">
        <v>777</v>
      </c>
      <c r="I24" s="12">
        <v>1008</v>
      </c>
      <c r="J24" s="12">
        <v>230</v>
      </c>
      <c r="K24" s="12">
        <v>744</v>
      </c>
      <c r="L24" s="12">
        <v>591</v>
      </c>
      <c r="M24" s="12">
        <v>850</v>
      </c>
      <c r="N24" s="12">
        <v>778</v>
      </c>
      <c r="O24" s="12">
        <v>779</v>
      </c>
      <c r="P24" s="12">
        <v>594</v>
      </c>
      <c r="Q24" s="12">
        <v>778</v>
      </c>
      <c r="R24" s="12">
        <v>375</v>
      </c>
      <c r="S24" s="12">
        <v>691</v>
      </c>
      <c r="T24" s="12">
        <v>637</v>
      </c>
      <c r="U24" s="12">
        <v>330</v>
      </c>
      <c r="V24" s="12">
        <v>652</v>
      </c>
      <c r="W24" s="12">
        <v>188</v>
      </c>
      <c r="X24" s="12">
        <v>431</v>
      </c>
      <c r="Y24" s="12">
        <v>522</v>
      </c>
      <c r="Z24" s="12">
        <v>496</v>
      </c>
      <c r="AA24" s="12">
        <v>684</v>
      </c>
      <c r="AB24" s="12">
        <v>753</v>
      </c>
      <c r="AC24" s="12">
        <v>626</v>
      </c>
      <c r="AD24" s="12">
        <v>655</v>
      </c>
      <c r="AE24" s="12">
        <v>546</v>
      </c>
      <c r="AF24" s="12">
        <v>409</v>
      </c>
    </row>
    <row r="25" spans="1:32" x14ac:dyDescent="0.35">
      <c r="A25" s="31"/>
      <c r="B25" s="13" t="s">
        <v>897</v>
      </c>
      <c r="C25" s="14">
        <v>0.67</v>
      </c>
      <c r="D25" s="14">
        <v>0.6</v>
      </c>
      <c r="E25" s="14">
        <v>0.75</v>
      </c>
      <c r="F25" s="14">
        <v>0.74</v>
      </c>
      <c r="G25" s="14">
        <v>0.6</v>
      </c>
      <c r="H25" s="14">
        <v>0.63</v>
      </c>
      <c r="I25" s="14">
        <v>0.66</v>
      </c>
      <c r="J25" s="14">
        <v>0.77</v>
      </c>
      <c r="K25" s="14">
        <v>0.74</v>
      </c>
      <c r="L25" s="14">
        <v>0.59</v>
      </c>
      <c r="M25" s="14">
        <v>0.85</v>
      </c>
      <c r="N25" s="14">
        <v>0.78</v>
      </c>
      <c r="O25" s="14">
        <v>0.78</v>
      </c>
      <c r="P25" s="14">
        <v>0.59</v>
      </c>
      <c r="Q25" s="14">
        <v>0.75</v>
      </c>
      <c r="R25" s="14">
        <v>0.75</v>
      </c>
      <c r="S25" s="14">
        <v>0.68</v>
      </c>
      <c r="T25" s="14">
        <v>0.63</v>
      </c>
      <c r="U25" s="14">
        <v>0.65</v>
      </c>
      <c r="V25" s="14">
        <v>0.64</v>
      </c>
      <c r="W25" s="14">
        <v>0.37</v>
      </c>
      <c r="X25" s="14">
        <v>0.43</v>
      </c>
      <c r="Y25" s="14">
        <v>0.52</v>
      </c>
      <c r="Z25" s="14">
        <v>0.48</v>
      </c>
      <c r="AA25" s="14">
        <v>0.66</v>
      </c>
      <c r="AB25" s="14">
        <v>0.71</v>
      </c>
      <c r="AC25" s="14">
        <v>0.62</v>
      </c>
      <c r="AD25" s="14">
        <v>0.65</v>
      </c>
      <c r="AE25" s="14">
        <v>0.54</v>
      </c>
      <c r="AF25" s="14">
        <v>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175</v>
      </c>
      <c r="C3" s="30"/>
      <c r="D3" s="30"/>
      <c r="E3" s="30"/>
      <c r="F3" s="30"/>
      <c r="H3" s="30" t="s">
        <v>176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HYPERLINK("#Content!A89","&lt;&lt;Back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974</v>
      </c>
      <c r="C12" s="12">
        <v>2429</v>
      </c>
      <c r="D12" s="12">
        <v>129</v>
      </c>
      <c r="E12" s="12">
        <v>34</v>
      </c>
      <c r="F12" s="12">
        <v>58</v>
      </c>
      <c r="G12" s="12">
        <v>206</v>
      </c>
      <c r="H12" s="12">
        <v>150</v>
      </c>
      <c r="I12" s="12">
        <v>176</v>
      </c>
      <c r="J12" s="12">
        <v>25</v>
      </c>
      <c r="K12" s="12">
        <v>98</v>
      </c>
      <c r="L12" s="12">
        <v>148</v>
      </c>
      <c r="M12" s="12">
        <v>35</v>
      </c>
      <c r="N12" s="12">
        <v>95</v>
      </c>
      <c r="O12" s="12">
        <v>93</v>
      </c>
      <c r="P12" s="12">
        <v>66</v>
      </c>
      <c r="Q12" s="12">
        <v>67</v>
      </c>
      <c r="R12" s="12">
        <v>74</v>
      </c>
      <c r="S12" s="12">
        <v>71</v>
      </c>
      <c r="T12" s="12">
        <v>41</v>
      </c>
      <c r="U12" s="12">
        <v>80</v>
      </c>
      <c r="V12" s="12">
        <v>37</v>
      </c>
      <c r="W12" s="12">
        <v>81</v>
      </c>
      <c r="X12" s="12">
        <v>300</v>
      </c>
      <c r="Y12" s="12">
        <v>78</v>
      </c>
      <c r="Z12" s="12">
        <v>25</v>
      </c>
      <c r="AA12" s="12">
        <v>29</v>
      </c>
      <c r="AB12" s="12">
        <v>16</v>
      </c>
      <c r="AC12" s="12">
        <v>110</v>
      </c>
      <c r="AD12" s="12">
        <v>93</v>
      </c>
      <c r="AE12" s="12">
        <v>172</v>
      </c>
      <c r="AF12" s="12">
        <v>174</v>
      </c>
    </row>
    <row r="13" spans="1:32" x14ac:dyDescent="0.35">
      <c r="A13" s="31"/>
      <c r="B13" s="13" t="s">
        <v>975</v>
      </c>
      <c r="C13" s="14">
        <v>0.09</v>
      </c>
      <c r="D13" s="14">
        <v>0.13</v>
      </c>
      <c r="E13" s="14">
        <v>0.03</v>
      </c>
      <c r="F13" s="14">
        <v>0.06</v>
      </c>
      <c r="G13" s="14">
        <v>0.2</v>
      </c>
      <c r="H13" s="14">
        <v>0.12</v>
      </c>
      <c r="I13" s="14">
        <v>0.11</v>
      </c>
      <c r="J13" s="14">
        <v>0.08</v>
      </c>
      <c r="K13" s="14">
        <v>0.1</v>
      </c>
      <c r="L13" s="14">
        <v>0.15</v>
      </c>
      <c r="M13" s="14">
        <v>0.04</v>
      </c>
      <c r="N13" s="14">
        <v>0.09</v>
      </c>
      <c r="O13" s="14">
        <v>0.09</v>
      </c>
      <c r="P13" s="14">
        <v>7.0000000000000007E-2</v>
      </c>
      <c r="Q13" s="14">
        <v>0.06</v>
      </c>
      <c r="R13" s="14">
        <v>0.15</v>
      </c>
      <c r="S13" s="14">
        <v>7.0000000000000007E-2</v>
      </c>
      <c r="T13" s="14">
        <v>0.04</v>
      </c>
      <c r="U13" s="14">
        <v>0.16</v>
      </c>
      <c r="V13" s="14">
        <v>0.04</v>
      </c>
      <c r="W13" s="14">
        <v>0.16</v>
      </c>
      <c r="X13" s="14">
        <v>0.3</v>
      </c>
      <c r="Y13" s="14">
        <v>0.08</v>
      </c>
      <c r="Z13" s="14">
        <v>0.02</v>
      </c>
      <c r="AA13" s="14">
        <v>0.03</v>
      </c>
      <c r="AB13" s="14">
        <v>0.02</v>
      </c>
      <c r="AC13" s="14">
        <v>0.11</v>
      </c>
      <c r="AD13" s="14">
        <v>0.09</v>
      </c>
      <c r="AE13" s="14">
        <v>0.17</v>
      </c>
      <c r="AF13" s="14">
        <v>0.17</v>
      </c>
    </row>
    <row r="14" spans="1:32" ht="21.5" x14ac:dyDescent="0.35">
      <c r="A14" s="31"/>
      <c r="B14" s="11" t="s">
        <v>976</v>
      </c>
      <c r="C14" s="12">
        <v>1608</v>
      </c>
      <c r="D14" s="12">
        <v>87</v>
      </c>
      <c r="E14" s="12">
        <v>56</v>
      </c>
      <c r="F14" s="12">
        <v>49</v>
      </c>
      <c r="G14" s="12">
        <v>120</v>
      </c>
      <c r="H14" s="12">
        <v>88</v>
      </c>
      <c r="I14" s="12">
        <v>101</v>
      </c>
      <c r="J14" s="12">
        <v>12</v>
      </c>
      <c r="K14" s="12">
        <v>72</v>
      </c>
      <c r="L14" s="12">
        <v>57</v>
      </c>
      <c r="M14" s="12">
        <v>8</v>
      </c>
      <c r="N14" s="12">
        <v>48</v>
      </c>
      <c r="O14" s="12">
        <v>43</v>
      </c>
      <c r="P14" s="12">
        <v>56</v>
      </c>
      <c r="Q14" s="12">
        <v>46</v>
      </c>
      <c r="R14" s="12">
        <v>19</v>
      </c>
      <c r="S14" s="12">
        <v>89</v>
      </c>
      <c r="T14" s="12">
        <v>46</v>
      </c>
      <c r="U14" s="12">
        <v>40</v>
      </c>
      <c r="V14" s="12">
        <v>44</v>
      </c>
      <c r="W14" s="12">
        <v>61</v>
      </c>
      <c r="X14" s="12">
        <v>185</v>
      </c>
      <c r="Y14" s="12">
        <v>115</v>
      </c>
      <c r="Z14" s="12">
        <v>45</v>
      </c>
      <c r="AA14" s="12">
        <v>32</v>
      </c>
      <c r="AB14" s="12">
        <v>28</v>
      </c>
      <c r="AC14" s="12">
        <v>43</v>
      </c>
      <c r="AD14" s="12">
        <v>35</v>
      </c>
      <c r="AE14" s="12">
        <v>153</v>
      </c>
      <c r="AF14" s="12">
        <v>185</v>
      </c>
    </row>
    <row r="15" spans="1:32" ht="21.5" x14ac:dyDescent="0.35">
      <c r="A15" s="31"/>
      <c r="B15" s="13" t="s">
        <v>977</v>
      </c>
      <c r="C15" s="14">
        <v>0.06</v>
      </c>
      <c r="D15" s="14">
        <v>0.09</v>
      </c>
      <c r="E15" s="14">
        <v>0.05</v>
      </c>
      <c r="F15" s="14">
        <v>0.05</v>
      </c>
      <c r="G15" s="14">
        <v>0.12</v>
      </c>
      <c r="H15" s="14">
        <v>7.0000000000000007E-2</v>
      </c>
      <c r="I15" s="14">
        <v>7.0000000000000007E-2</v>
      </c>
      <c r="J15" s="14">
        <v>0.04</v>
      </c>
      <c r="K15" s="14">
        <v>7.0000000000000007E-2</v>
      </c>
      <c r="L15" s="14">
        <v>0.06</v>
      </c>
      <c r="M15" s="14">
        <v>0.01</v>
      </c>
      <c r="N15" s="14">
        <v>0.05</v>
      </c>
      <c r="O15" s="14">
        <v>0.04</v>
      </c>
      <c r="P15" s="14">
        <v>0.06</v>
      </c>
      <c r="Q15" s="14">
        <v>0.04</v>
      </c>
      <c r="R15" s="14">
        <v>0.04</v>
      </c>
      <c r="S15" s="14">
        <v>0.09</v>
      </c>
      <c r="T15" s="14">
        <v>0.05</v>
      </c>
      <c r="U15" s="14">
        <v>0.08</v>
      </c>
      <c r="V15" s="14">
        <v>0.04</v>
      </c>
      <c r="W15" s="14">
        <v>0.12</v>
      </c>
      <c r="X15" s="14">
        <v>0.18</v>
      </c>
      <c r="Y15" s="14">
        <v>0.11</v>
      </c>
      <c r="Z15" s="14">
        <v>0.04</v>
      </c>
      <c r="AA15" s="14">
        <v>0.03</v>
      </c>
      <c r="AB15" s="14">
        <v>0.03</v>
      </c>
      <c r="AC15" s="14">
        <v>0.04</v>
      </c>
      <c r="AD15" s="14">
        <v>0.03</v>
      </c>
      <c r="AE15" s="14">
        <v>0.15</v>
      </c>
      <c r="AF15" s="14">
        <v>0.18</v>
      </c>
    </row>
    <row r="16" spans="1:32" ht="21.5" x14ac:dyDescent="0.35">
      <c r="A16" s="31"/>
      <c r="B16" s="11" t="s">
        <v>978</v>
      </c>
      <c r="C16" s="12">
        <v>2213</v>
      </c>
      <c r="D16" s="12">
        <v>60</v>
      </c>
      <c r="E16" s="12">
        <v>17</v>
      </c>
      <c r="F16" s="12">
        <v>108</v>
      </c>
      <c r="G16" s="12">
        <v>137</v>
      </c>
      <c r="H16" s="12">
        <v>159</v>
      </c>
      <c r="I16" s="12">
        <v>187</v>
      </c>
      <c r="J16" s="12">
        <v>28</v>
      </c>
      <c r="K16" s="12">
        <v>117</v>
      </c>
      <c r="L16" s="12">
        <v>69</v>
      </c>
      <c r="M16" s="12">
        <v>5</v>
      </c>
      <c r="N16" s="12">
        <v>76</v>
      </c>
      <c r="O16" s="12">
        <v>47</v>
      </c>
      <c r="P16" s="12">
        <v>94</v>
      </c>
      <c r="Q16" s="12">
        <v>52</v>
      </c>
      <c r="R16" s="12">
        <v>3</v>
      </c>
      <c r="S16" s="12">
        <v>112</v>
      </c>
      <c r="T16" s="12">
        <v>46</v>
      </c>
      <c r="U16" s="12">
        <v>42</v>
      </c>
      <c r="V16" s="12">
        <v>114</v>
      </c>
      <c r="W16" s="12">
        <v>53</v>
      </c>
      <c r="X16" s="12">
        <v>160</v>
      </c>
      <c r="Y16" s="12">
        <v>183</v>
      </c>
      <c r="Z16" s="12">
        <v>91</v>
      </c>
      <c r="AA16" s="12">
        <v>39</v>
      </c>
      <c r="AB16" s="12">
        <v>32</v>
      </c>
      <c r="AC16" s="12">
        <v>63</v>
      </c>
      <c r="AD16" s="12">
        <v>131</v>
      </c>
      <c r="AE16" s="12">
        <v>151</v>
      </c>
      <c r="AF16" s="12">
        <v>189</v>
      </c>
    </row>
    <row r="17" spans="1:32" x14ac:dyDescent="0.35">
      <c r="A17" s="31"/>
      <c r="B17" s="13" t="s">
        <v>979</v>
      </c>
      <c r="C17" s="14">
        <v>0.08</v>
      </c>
      <c r="D17" s="14">
        <v>0.06</v>
      </c>
      <c r="E17" s="14">
        <v>0.02</v>
      </c>
      <c r="F17" s="14">
        <v>0.11</v>
      </c>
      <c r="G17" s="14">
        <v>0.13</v>
      </c>
      <c r="H17" s="14">
        <v>0.13</v>
      </c>
      <c r="I17" s="14">
        <v>0.12</v>
      </c>
      <c r="J17" s="14">
        <v>0.09</v>
      </c>
      <c r="K17" s="14">
        <v>0.12</v>
      </c>
      <c r="L17" s="14">
        <v>7.0000000000000007E-2</v>
      </c>
      <c r="M17" s="15" t="s">
        <v>333</v>
      </c>
      <c r="N17" s="14">
        <v>0.08</v>
      </c>
      <c r="O17" s="14">
        <v>0.05</v>
      </c>
      <c r="P17" s="14">
        <v>0.09</v>
      </c>
      <c r="Q17" s="14">
        <v>0.05</v>
      </c>
      <c r="R17" s="14">
        <v>0.01</v>
      </c>
      <c r="S17" s="14">
        <v>0.11</v>
      </c>
      <c r="T17" s="14">
        <v>0.05</v>
      </c>
      <c r="U17" s="14">
        <v>0.08</v>
      </c>
      <c r="V17" s="14">
        <v>0.11</v>
      </c>
      <c r="W17" s="14">
        <v>0.11</v>
      </c>
      <c r="X17" s="14">
        <v>0.16</v>
      </c>
      <c r="Y17" s="14">
        <v>0.18</v>
      </c>
      <c r="Z17" s="14">
        <v>0.09</v>
      </c>
      <c r="AA17" s="14">
        <v>0.04</v>
      </c>
      <c r="AB17" s="14">
        <v>0.03</v>
      </c>
      <c r="AC17" s="14">
        <v>0.06</v>
      </c>
      <c r="AD17" s="14">
        <v>0.13</v>
      </c>
      <c r="AE17" s="14">
        <v>0.15</v>
      </c>
      <c r="AF17" s="14">
        <v>0.19</v>
      </c>
    </row>
    <row r="18" spans="1:32" x14ac:dyDescent="0.35">
      <c r="A18" s="31"/>
      <c r="B18" s="11" t="s">
        <v>980</v>
      </c>
      <c r="C18" s="12">
        <v>796</v>
      </c>
      <c r="D18" s="12">
        <v>37</v>
      </c>
      <c r="E18" s="12">
        <v>19</v>
      </c>
      <c r="F18" s="12">
        <v>46</v>
      </c>
      <c r="G18" s="12">
        <v>28</v>
      </c>
      <c r="H18" s="12">
        <v>11</v>
      </c>
      <c r="I18" s="12">
        <v>20</v>
      </c>
      <c r="J18" s="12">
        <v>8</v>
      </c>
      <c r="K18" s="12">
        <v>40</v>
      </c>
      <c r="L18" s="12">
        <v>11</v>
      </c>
      <c r="M18" s="12">
        <v>14</v>
      </c>
      <c r="N18" s="12">
        <v>21</v>
      </c>
      <c r="O18" s="12">
        <v>41</v>
      </c>
      <c r="P18" s="12">
        <v>74</v>
      </c>
      <c r="Q18" s="12">
        <v>37</v>
      </c>
      <c r="R18" s="12">
        <v>12</v>
      </c>
      <c r="S18" s="12">
        <v>10</v>
      </c>
      <c r="T18" s="12">
        <v>12</v>
      </c>
      <c r="U18" s="12">
        <v>9</v>
      </c>
      <c r="V18" s="12">
        <v>41</v>
      </c>
      <c r="W18" s="12">
        <v>24</v>
      </c>
      <c r="X18" s="12">
        <v>67</v>
      </c>
      <c r="Y18" s="12">
        <v>37</v>
      </c>
      <c r="Z18" s="12">
        <v>47</v>
      </c>
      <c r="AA18" s="12">
        <v>17</v>
      </c>
      <c r="AB18" s="12">
        <v>30</v>
      </c>
      <c r="AC18" s="12">
        <v>13</v>
      </c>
      <c r="AD18" s="12">
        <v>17</v>
      </c>
      <c r="AE18" s="12">
        <v>25</v>
      </c>
      <c r="AF18" s="12">
        <v>15</v>
      </c>
    </row>
    <row r="19" spans="1:32" x14ac:dyDescent="0.35">
      <c r="A19" s="31"/>
      <c r="B19" s="13" t="s">
        <v>981</v>
      </c>
      <c r="C19" s="14">
        <v>0.03</v>
      </c>
      <c r="D19" s="14">
        <v>0.04</v>
      </c>
      <c r="E19" s="14">
        <v>0.02</v>
      </c>
      <c r="F19" s="14">
        <v>0.05</v>
      </c>
      <c r="G19" s="14">
        <v>0.03</v>
      </c>
      <c r="H19" s="14">
        <v>0.01</v>
      </c>
      <c r="I19" s="14">
        <v>0.01</v>
      </c>
      <c r="J19" s="14">
        <v>0.03</v>
      </c>
      <c r="K19" s="14">
        <v>0.04</v>
      </c>
      <c r="L19" s="14">
        <v>0.01</v>
      </c>
      <c r="M19" s="14">
        <v>0.01</v>
      </c>
      <c r="N19" s="14">
        <v>0.02</v>
      </c>
      <c r="O19" s="14">
        <v>0.04</v>
      </c>
      <c r="P19" s="14">
        <v>7.0000000000000007E-2</v>
      </c>
      <c r="Q19" s="14">
        <v>0.04</v>
      </c>
      <c r="R19" s="14">
        <v>0.02</v>
      </c>
      <c r="S19" s="14">
        <v>0.01</v>
      </c>
      <c r="T19" s="14">
        <v>0.01</v>
      </c>
      <c r="U19" s="14">
        <v>0.02</v>
      </c>
      <c r="V19" s="14">
        <v>0.04</v>
      </c>
      <c r="W19" s="14">
        <v>0.05</v>
      </c>
      <c r="X19" s="14">
        <v>7.0000000000000007E-2</v>
      </c>
      <c r="Y19" s="14">
        <v>0.04</v>
      </c>
      <c r="Z19" s="14">
        <v>0.05</v>
      </c>
      <c r="AA19" s="14">
        <v>0.02</v>
      </c>
      <c r="AB19" s="14">
        <v>0.03</v>
      </c>
      <c r="AC19" s="14">
        <v>0.01</v>
      </c>
      <c r="AD19" s="14">
        <v>0.02</v>
      </c>
      <c r="AE19" s="14">
        <v>0.03</v>
      </c>
      <c r="AF19" s="14">
        <v>0.01</v>
      </c>
    </row>
    <row r="20" spans="1:32" ht="51.5" x14ac:dyDescent="0.35">
      <c r="A20" s="31"/>
      <c r="B20" s="11" t="s">
        <v>982</v>
      </c>
      <c r="C20" s="12">
        <v>20491</v>
      </c>
      <c r="D20" s="12">
        <v>756</v>
      </c>
      <c r="E20" s="12">
        <v>911</v>
      </c>
      <c r="F20" s="12">
        <v>787</v>
      </c>
      <c r="G20" s="12">
        <v>649</v>
      </c>
      <c r="H20" s="12">
        <v>903</v>
      </c>
      <c r="I20" s="12">
        <v>1143</v>
      </c>
      <c r="J20" s="12">
        <v>240</v>
      </c>
      <c r="K20" s="12">
        <v>739</v>
      </c>
      <c r="L20" s="12">
        <v>761</v>
      </c>
      <c r="M20" s="12">
        <v>944</v>
      </c>
      <c r="N20" s="12">
        <v>782</v>
      </c>
      <c r="O20" s="12">
        <v>802</v>
      </c>
      <c r="P20" s="12">
        <v>761</v>
      </c>
      <c r="Q20" s="12">
        <v>859</v>
      </c>
      <c r="R20" s="12">
        <v>388</v>
      </c>
      <c r="S20" s="12">
        <v>771</v>
      </c>
      <c r="T20" s="12">
        <v>891</v>
      </c>
      <c r="U20" s="12">
        <v>363</v>
      </c>
      <c r="V20" s="12">
        <v>818</v>
      </c>
      <c r="W20" s="12">
        <v>328</v>
      </c>
      <c r="X20" s="12">
        <v>489</v>
      </c>
      <c r="Y20" s="12">
        <v>656</v>
      </c>
      <c r="Z20" s="12">
        <v>821</v>
      </c>
      <c r="AA20" s="12">
        <v>897</v>
      </c>
      <c r="AB20" s="12">
        <v>951</v>
      </c>
      <c r="AC20" s="12">
        <v>819</v>
      </c>
      <c r="AD20" s="12">
        <v>770</v>
      </c>
      <c r="AE20" s="12">
        <v>655</v>
      </c>
      <c r="AF20" s="12">
        <v>628</v>
      </c>
    </row>
    <row r="21" spans="1:32" ht="31.5" x14ac:dyDescent="0.35">
      <c r="A21" s="31"/>
      <c r="B21" s="13" t="s">
        <v>983</v>
      </c>
      <c r="C21" s="14">
        <v>0.78</v>
      </c>
      <c r="D21" s="14">
        <v>0.74</v>
      </c>
      <c r="E21" s="14">
        <v>0.88</v>
      </c>
      <c r="F21" s="14">
        <v>0.77</v>
      </c>
      <c r="G21" s="14">
        <v>0.64</v>
      </c>
      <c r="H21" s="14">
        <v>0.73</v>
      </c>
      <c r="I21" s="14">
        <v>0.75</v>
      </c>
      <c r="J21" s="14">
        <v>0.8</v>
      </c>
      <c r="K21" s="14">
        <v>0.73</v>
      </c>
      <c r="L21" s="14">
        <v>0.76</v>
      </c>
      <c r="M21" s="14">
        <v>0.94000000000000006</v>
      </c>
      <c r="N21" s="14">
        <v>0.78</v>
      </c>
      <c r="O21" s="14">
        <v>0.8</v>
      </c>
      <c r="P21" s="14">
        <v>0.76</v>
      </c>
      <c r="Q21" s="14">
        <v>0.83000000000000007</v>
      </c>
      <c r="R21" s="14">
        <v>0.78</v>
      </c>
      <c r="S21" s="14">
        <v>0.75</v>
      </c>
      <c r="T21" s="14">
        <v>0.88</v>
      </c>
      <c r="U21" s="14">
        <v>0.71</v>
      </c>
      <c r="V21" s="14">
        <v>0.81</v>
      </c>
      <c r="W21" s="14">
        <v>0.65</v>
      </c>
      <c r="X21" s="14">
        <v>0.48</v>
      </c>
      <c r="Y21" s="14">
        <v>0.65</v>
      </c>
      <c r="Z21" s="14">
        <v>0.81</v>
      </c>
      <c r="AA21" s="14">
        <v>0.87</v>
      </c>
      <c r="AB21" s="14">
        <v>0.9</v>
      </c>
      <c r="AC21" s="14">
        <v>0.81</v>
      </c>
      <c r="AD21" s="14">
        <v>0.77</v>
      </c>
      <c r="AE21" s="14">
        <v>0.65</v>
      </c>
      <c r="AF21" s="14">
        <v>0.62</v>
      </c>
    </row>
    <row r="22" spans="1:32" x14ac:dyDescent="0.35">
      <c r="A22" s="31"/>
      <c r="B22" s="11" t="s">
        <v>344</v>
      </c>
      <c r="C22" s="12">
        <v>177</v>
      </c>
      <c r="D22" s="12">
        <v>4</v>
      </c>
      <c r="E22" s="12">
        <v>11</v>
      </c>
      <c r="F22" s="12">
        <v>11</v>
      </c>
      <c r="G22" s="12">
        <v>22</v>
      </c>
      <c r="H22" s="12">
        <v>7</v>
      </c>
      <c r="I22" s="12">
        <v>7</v>
      </c>
      <c r="J22" s="12">
        <v>1</v>
      </c>
      <c r="K22" s="12">
        <v>10</v>
      </c>
      <c r="L22" s="12">
        <v>8</v>
      </c>
      <c r="M22" s="12">
        <v>0</v>
      </c>
      <c r="N22" s="12">
        <v>7</v>
      </c>
      <c r="O22" s="12">
        <v>10</v>
      </c>
      <c r="P22" s="12">
        <v>7</v>
      </c>
      <c r="Q22" s="12">
        <v>4</v>
      </c>
      <c r="R22" s="12">
        <v>12</v>
      </c>
      <c r="S22" s="12">
        <v>12</v>
      </c>
      <c r="T22" s="12">
        <v>3</v>
      </c>
      <c r="U22" s="12">
        <v>6</v>
      </c>
      <c r="V22" s="12">
        <v>2</v>
      </c>
      <c r="W22" s="12">
        <v>6</v>
      </c>
      <c r="X22" s="12">
        <v>3</v>
      </c>
      <c r="Y22" s="12">
        <v>4</v>
      </c>
      <c r="Z22" s="12">
        <v>5</v>
      </c>
      <c r="AA22" s="12">
        <v>23</v>
      </c>
      <c r="AB22" s="12">
        <v>11</v>
      </c>
      <c r="AC22" s="12">
        <v>4</v>
      </c>
      <c r="AD22" s="12">
        <v>3</v>
      </c>
      <c r="AE22" s="12">
        <v>20</v>
      </c>
      <c r="AF22" s="12">
        <v>4</v>
      </c>
    </row>
    <row r="23" spans="1:32" x14ac:dyDescent="0.35">
      <c r="A23" s="31"/>
      <c r="B23" s="13" t="s">
        <v>357</v>
      </c>
      <c r="C23" s="14">
        <v>0.01</v>
      </c>
      <c r="D23" s="15" t="s">
        <v>333</v>
      </c>
      <c r="E23" s="14">
        <v>0.01</v>
      </c>
      <c r="F23" s="14">
        <v>0.01</v>
      </c>
      <c r="G23" s="14">
        <v>0.02</v>
      </c>
      <c r="H23" s="14">
        <v>0.01</v>
      </c>
      <c r="I23" s="15" t="s">
        <v>333</v>
      </c>
      <c r="J23" s="15" t="s">
        <v>333</v>
      </c>
      <c r="K23" s="14">
        <v>0.01</v>
      </c>
      <c r="L23" s="14">
        <v>0.01</v>
      </c>
      <c r="M23" s="15" t="s">
        <v>333</v>
      </c>
      <c r="N23" s="14">
        <v>0.01</v>
      </c>
      <c r="O23" s="14">
        <v>0.01</v>
      </c>
      <c r="P23" s="14">
        <v>0.01</v>
      </c>
      <c r="Q23" s="15" t="s">
        <v>333</v>
      </c>
      <c r="R23" s="14">
        <v>0.02</v>
      </c>
      <c r="S23" s="14">
        <v>0.01</v>
      </c>
      <c r="T23" s="15" t="s">
        <v>333</v>
      </c>
      <c r="U23" s="14">
        <v>0.01</v>
      </c>
      <c r="V23" s="15" t="s">
        <v>333</v>
      </c>
      <c r="W23" s="14">
        <v>0.01</v>
      </c>
      <c r="X23" s="15" t="s">
        <v>333</v>
      </c>
      <c r="Y23" s="15" t="s">
        <v>333</v>
      </c>
      <c r="Z23" s="15" t="s">
        <v>333</v>
      </c>
      <c r="AA23" s="14">
        <v>0.02</v>
      </c>
      <c r="AB23" s="14">
        <v>0.01</v>
      </c>
      <c r="AC23" s="15" t="s">
        <v>333</v>
      </c>
      <c r="AD23" s="15" t="s">
        <v>333</v>
      </c>
      <c r="AE23" s="14">
        <v>0.02</v>
      </c>
      <c r="AF23" s="15" t="s">
        <v>333</v>
      </c>
    </row>
    <row r="24" spans="1:32" x14ac:dyDescent="0.35">
      <c r="A24" s="31"/>
      <c r="B24" s="11" t="s">
        <v>366</v>
      </c>
      <c r="C24" s="12">
        <v>5742</v>
      </c>
      <c r="D24" s="12">
        <v>265</v>
      </c>
      <c r="E24" s="12">
        <v>117</v>
      </c>
      <c r="F24" s="12">
        <v>221</v>
      </c>
      <c r="G24" s="12">
        <v>346</v>
      </c>
      <c r="H24" s="12">
        <v>322</v>
      </c>
      <c r="I24" s="12">
        <v>380</v>
      </c>
      <c r="J24" s="12">
        <v>58</v>
      </c>
      <c r="K24" s="12">
        <v>261</v>
      </c>
      <c r="L24" s="12">
        <v>235</v>
      </c>
      <c r="M24" s="12">
        <v>60</v>
      </c>
      <c r="N24" s="12">
        <v>211</v>
      </c>
      <c r="O24" s="12">
        <v>189</v>
      </c>
      <c r="P24" s="12">
        <v>236</v>
      </c>
      <c r="Q24" s="12">
        <v>173</v>
      </c>
      <c r="R24" s="12">
        <v>100</v>
      </c>
      <c r="S24" s="12">
        <v>238</v>
      </c>
      <c r="T24" s="12">
        <v>123</v>
      </c>
      <c r="U24" s="12">
        <v>140</v>
      </c>
      <c r="V24" s="12">
        <v>195</v>
      </c>
      <c r="W24" s="12">
        <v>167</v>
      </c>
      <c r="X24" s="12">
        <v>518</v>
      </c>
      <c r="Y24" s="12">
        <v>343</v>
      </c>
      <c r="Z24" s="12">
        <v>193</v>
      </c>
      <c r="AA24" s="12">
        <v>110</v>
      </c>
      <c r="AB24" s="12">
        <v>94</v>
      </c>
      <c r="AC24" s="12">
        <v>190</v>
      </c>
      <c r="AD24" s="12">
        <v>231</v>
      </c>
      <c r="AE24" s="12">
        <v>332</v>
      </c>
      <c r="AF24" s="12">
        <v>387</v>
      </c>
    </row>
    <row r="25" spans="1:32" x14ac:dyDescent="0.35">
      <c r="A25" s="31"/>
      <c r="B25" s="13" t="s">
        <v>367</v>
      </c>
      <c r="C25" s="14">
        <v>0.22</v>
      </c>
      <c r="D25" s="14">
        <v>0.26</v>
      </c>
      <c r="E25" s="14">
        <v>0.11</v>
      </c>
      <c r="F25" s="14">
        <v>0.22</v>
      </c>
      <c r="G25" s="14">
        <v>0.34</v>
      </c>
      <c r="H25" s="14">
        <v>0.26</v>
      </c>
      <c r="I25" s="14">
        <v>0.25</v>
      </c>
      <c r="J25" s="14">
        <v>0.19</v>
      </c>
      <c r="K25" s="14">
        <v>0.26</v>
      </c>
      <c r="L25" s="14">
        <v>0.23</v>
      </c>
      <c r="M25" s="14">
        <v>0.06</v>
      </c>
      <c r="N25" s="14">
        <v>0.21</v>
      </c>
      <c r="O25" s="14">
        <v>0.19</v>
      </c>
      <c r="P25" s="14">
        <v>0.23</v>
      </c>
      <c r="Q25" s="14">
        <v>0.17</v>
      </c>
      <c r="R25" s="14">
        <v>0.2</v>
      </c>
      <c r="S25" s="14">
        <v>0.23</v>
      </c>
      <c r="T25" s="14">
        <v>0.12</v>
      </c>
      <c r="U25" s="14">
        <v>0.28000000000000003</v>
      </c>
      <c r="V25" s="14">
        <v>0.19</v>
      </c>
      <c r="W25" s="14">
        <v>0.33</v>
      </c>
      <c r="X25" s="14">
        <v>0.51</v>
      </c>
      <c r="Y25" s="14">
        <v>0.34</v>
      </c>
      <c r="Z25" s="14">
        <v>0.19</v>
      </c>
      <c r="AA25" s="14">
        <v>0.11</v>
      </c>
      <c r="AB25" s="14">
        <v>0.09</v>
      </c>
      <c r="AC25" s="14">
        <v>0.19</v>
      </c>
      <c r="AD25" s="14">
        <v>0.23</v>
      </c>
      <c r="AE25" s="14">
        <v>0.33</v>
      </c>
      <c r="AF25" s="14">
        <v>0.38</v>
      </c>
    </row>
    <row r="26" spans="1:32" x14ac:dyDescent="0.35">
      <c r="A26" s="31"/>
      <c r="B26" s="11" t="s">
        <v>368</v>
      </c>
      <c r="C26" s="12">
        <v>20491</v>
      </c>
      <c r="D26" s="12">
        <v>756</v>
      </c>
      <c r="E26" s="12">
        <v>911</v>
      </c>
      <c r="F26" s="12">
        <v>787</v>
      </c>
      <c r="G26" s="12">
        <v>649</v>
      </c>
      <c r="H26" s="12">
        <v>903</v>
      </c>
      <c r="I26" s="12">
        <v>1143</v>
      </c>
      <c r="J26" s="12">
        <v>240</v>
      </c>
      <c r="K26" s="12">
        <v>739</v>
      </c>
      <c r="L26" s="12">
        <v>761</v>
      </c>
      <c r="M26" s="12">
        <v>944</v>
      </c>
      <c r="N26" s="12">
        <v>782</v>
      </c>
      <c r="O26" s="12">
        <v>802</v>
      </c>
      <c r="P26" s="12">
        <v>761</v>
      </c>
      <c r="Q26" s="12">
        <v>859</v>
      </c>
      <c r="R26" s="12">
        <v>388</v>
      </c>
      <c r="S26" s="12">
        <v>771</v>
      </c>
      <c r="T26" s="12">
        <v>891</v>
      </c>
      <c r="U26" s="12">
        <v>363</v>
      </c>
      <c r="V26" s="12">
        <v>818</v>
      </c>
      <c r="W26" s="12">
        <v>328</v>
      </c>
      <c r="X26" s="12">
        <v>489</v>
      </c>
      <c r="Y26" s="12">
        <v>656</v>
      </c>
      <c r="Z26" s="12">
        <v>821</v>
      </c>
      <c r="AA26" s="12">
        <v>897</v>
      </c>
      <c r="AB26" s="12">
        <v>951</v>
      </c>
      <c r="AC26" s="12">
        <v>819</v>
      </c>
      <c r="AD26" s="12">
        <v>770</v>
      </c>
      <c r="AE26" s="12">
        <v>655</v>
      </c>
      <c r="AF26" s="12">
        <v>628</v>
      </c>
    </row>
    <row r="27" spans="1:32" x14ac:dyDescent="0.35">
      <c r="A27" s="31"/>
      <c r="B27" s="13" t="s">
        <v>369</v>
      </c>
      <c r="C27" s="14">
        <v>0.77</v>
      </c>
      <c r="D27" s="14">
        <v>0.74</v>
      </c>
      <c r="E27" s="14">
        <v>0.88</v>
      </c>
      <c r="F27" s="14">
        <v>0.77</v>
      </c>
      <c r="G27" s="14">
        <v>0.64</v>
      </c>
      <c r="H27" s="14">
        <v>0.73</v>
      </c>
      <c r="I27" s="14">
        <v>0.75</v>
      </c>
      <c r="J27" s="14">
        <v>0.81</v>
      </c>
      <c r="K27" s="14">
        <v>0.73</v>
      </c>
      <c r="L27" s="14">
        <v>0.76</v>
      </c>
      <c r="M27" s="14">
        <v>0.94000000000000006</v>
      </c>
      <c r="N27" s="14">
        <v>0.78</v>
      </c>
      <c r="O27" s="14">
        <v>0.8</v>
      </c>
      <c r="P27" s="14">
        <v>0.76</v>
      </c>
      <c r="Q27" s="14">
        <v>0.83000000000000007</v>
      </c>
      <c r="R27" s="14">
        <v>0.78</v>
      </c>
      <c r="S27" s="14">
        <v>0.76</v>
      </c>
      <c r="T27" s="14">
        <v>0.88</v>
      </c>
      <c r="U27" s="14">
        <v>0.71</v>
      </c>
      <c r="V27" s="14">
        <v>0.81</v>
      </c>
      <c r="W27" s="14">
        <v>0.66</v>
      </c>
      <c r="X27" s="14">
        <v>0.49</v>
      </c>
      <c r="Y27" s="14">
        <v>0.66</v>
      </c>
      <c r="Z27" s="14">
        <v>0.81</v>
      </c>
      <c r="AA27" s="14">
        <v>0.87</v>
      </c>
      <c r="AB27" s="14">
        <v>0.9</v>
      </c>
      <c r="AC27" s="14">
        <v>0.81</v>
      </c>
      <c r="AD27" s="14">
        <v>0.77</v>
      </c>
      <c r="AE27" s="14">
        <v>0.65</v>
      </c>
      <c r="AF27" s="14">
        <v>0.62</v>
      </c>
    </row>
    <row r="28" spans="1:32" x14ac:dyDescent="0.35">
      <c r="A28" s="32"/>
    </row>
    <row r="29" spans="1:32" x14ac:dyDescent="0.35">
      <c r="A29" s="32"/>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3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177</v>
      </c>
      <c r="C3" s="30"/>
      <c r="D3" s="30"/>
      <c r="E3" s="30"/>
      <c r="F3" s="30"/>
      <c r="H3" s="30" t="s">
        <v>178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984</v>
      </c>
      <c r="C12" s="12">
        <v>10312</v>
      </c>
      <c r="D12" s="12">
        <v>456</v>
      </c>
      <c r="E12" s="12">
        <v>336</v>
      </c>
      <c r="F12" s="12">
        <v>444</v>
      </c>
      <c r="G12" s="12">
        <v>352</v>
      </c>
      <c r="H12" s="12">
        <v>415</v>
      </c>
      <c r="I12" s="12">
        <v>521</v>
      </c>
      <c r="J12" s="12">
        <v>107</v>
      </c>
      <c r="K12" s="12">
        <v>390</v>
      </c>
      <c r="L12" s="12">
        <v>386</v>
      </c>
      <c r="M12" s="12">
        <v>458</v>
      </c>
      <c r="N12" s="12">
        <v>410</v>
      </c>
      <c r="O12" s="12">
        <v>436</v>
      </c>
      <c r="P12" s="12">
        <v>360</v>
      </c>
      <c r="Q12" s="12">
        <v>400</v>
      </c>
      <c r="R12" s="12">
        <v>232</v>
      </c>
      <c r="S12" s="12">
        <v>389</v>
      </c>
      <c r="T12" s="12">
        <v>421</v>
      </c>
      <c r="U12" s="12">
        <v>204</v>
      </c>
      <c r="V12" s="12">
        <v>364</v>
      </c>
      <c r="W12" s="12">
        <v>217</v>
      </c>
      <c r="X12" s="12">
        <v>536</v>
      </c>
      <c r="Y12" s="12">
        <v>350</v>
      </c>
      <c r="Z12" s="12">
        <v>284</v>
      </c>
      <c r="AA12" s="12">
        <v>490</v>
      </c>
      <c r="AB12" s="12">
        <v>303</v>
      </c>
      <c r="AC12" s="12">
        <v>381</v>
      </c>
      <c r="AD12" s="12">
        <v>449</v>
      </c>
      <c r="AE12" s="12">
        <v>586</v>
      </c>
      <c r="AF12" s="12">
        <v>523</v>
      </c>
    </row>
    <row r="13" spans="1:32" ht="21.5" x14ac:dyDescent="0.35">
      <c r="A13" s="31"/>
      <c r="B13" s="13" t="s">
        <v>985</v>
      </c>
      <c r="C13" s="14">
        <v>0.39</v>
      </c>
      <c r="D13" s="14">
        <v>0.44</v>
      </c>
      <c r="E13" s="14">
        <v>0.32</v>
      </c>
      <c r="F13" s="14">
        <v>0.44</v>
      </c>
      <c r="G13" s="14">
        <v>0.35</v>
      </c>
      <c r="H13" s="14">
        <v>0.34</v>
      </c>
      <c r="I13" s="14">
        <v>0.34</v>
      </c>
      <c r="J13" s="14">
        <v>0.36</v>
      </c>
      <c r="K13" s="14">
        <v>0.39</v>
      </c>
      <c r="L13" s="14">
        <v>0.38</v>
      </c>
      <c r="M13" s="14">
        <v>0.46</v>
      </c>
      <c r="N13" s="14">
        <v>0.41</v>
      </c>
      <c r="O13" s="14">
        <v>0.44</v>
      </c>
      <c r="P13" s="14">
        <v>0.36</v>
      </c>
      <c r="Q13" s="14">
        <v>0.39</v>
      </c>
      <c r="R13" s="14">
        <v>0.46</v>
      </c>
      <c r="S13" s="14">
        <v>0.38</v>
      </c>
      <c r="T13" s="14">
        <v>0.41</v>
      </c>
      <c r="U13" s="14">
        <v>0.4</v>
      </c>
      <c r="V13" s="14">
        <v>0.36</v>
      </c>
      <c r="W13" s="14">
        <v>0.43</v>
      </c>
      <c r="X13" s="14">
        <v>0.53</v>
      </c>
      <c r="Y13" s="14">
        <v>0.35</v>
      </c>
      <c r="Z13" s="14">
        <v>0.28000000000000003</v>
      </c>
      <c r="AA13" s="14">
        <v>0.48</v>
      </c>
      <c r="AB13" s="14">
        <v>0.28999999999999998</v>
      </c>
      <c r="AC13" s="14">
        <v>0.38</v>
      </c>
      <c r="AD13" s="14">
        <v>0.45</v>
      </c>
      <c r="AE13" s="14">
        <v>0.57999999999999996</v>
      </c>
      <c r="AF13" s="14">
        <v>0.51</v>
      </c>
    </row>
    <row r="14" spans="1:32" ht="21.5" x14ac:dyDescent="0.35">
      <c r="A14" s="31"/>
      <c r="B14" s="11" t="s">
        <v>986</v>
      </c>
      <c r="C14" s="12">
        <v>6182</v>
      </c>
      <c r="D14" s="12">
        <v>255</v>
      </c>
      <c r="E14" s="12">
        <v>180</v>
      </c>
      <c r="F14" s="12">
        <v>174</v>
      </c>
      <c r="G14" s="12">
        <v>354</v>
      </c>
      <c r="H14" s="12">
        <v>305</v>
      </c>
      <c r="I14" s="12">
        <v>384</v>
      </c>
      <c r="J14" s="12">
        <v>80</v>
      </c>
      <c r="K14" s="12">
        <v>222</v>
      </c>
      <c r="L14" s="12">
        <v>337</v>
      </c>
      <c r="M14" s="12">
        <v>307</v>
      </c>
      <c r="N14" s="12">
        <v>162</v>
      </c>
      <c r="O14" s="12">
        <v>172</v>
      </c>
      <c r="P14" s="12">
        <v>286</v>
      </c>
      <c r="Q14" s="12">
        <v>296</v>
      </c>
      <c r="R14" s="12">
        <v>156</v>
      </c>
      <c r="S14" s="12">
        <v>131</v>
      </c>
      <c r="T14" s="12">
        <v>276</v>
      </c>
      <c r="U14" s="12">
        <v>113</v>
      </c>
      <c r="V14" s="12">
        <v>224</v>
      </c>
      <c r="W14" s="12">
        <v>91</v>
      </c>
      <c r="X14" s="12">
        <v>290</v>
      </c>
      <c r="Y14" s="12">
        <v>318</v>
      </c>
      <c r="Z14" s="12">
        <v>225</v>
      </c>
      <c r="AA14" s="12">
        <v>281</v>
      </c>
      <c r="AB14" s="12">
        <v>207</v>
      </c>
      <c r="AC14" s="12">
        <v>243</v>
      </c>
      <c r="AD14" s="12">
        <v>175</v>
      </c>
      <c r="AE14" s="12">
        <v>244</v>
      </c>
      <c r="AF14" s="12">
        <v>375</v>
      </c>
    </row>
    <row r="15" spans="1:32" ht="21.5" x14ac:dyDescent="0.35">
      <c r="A15" s="31"/>
      <c r="B15" s="13" t="s">
        <v>987</v>
      </c>
      <c r="C15" s="14">
        <v>0.23</v>
      </c>
      <c r="D15" s="14">
        <v>0.25</v>
      </c>
      <c r="E15" s="14">
        <v>0.17</v>
      </c>
      <c r="F15" s="14">
        <v>0.17</v>
      </c>
      <c r="G15" s="14">
        <v>0.35</v>
      </c>
      <c r="H15" s="14">
        <v>0.25</v>
      </c>
      <c r="I15" s="14">
        <v>0.25</v>
      </c>
      <c r="J15" s="14">
        <v>0.27</v>
      </c>
      <c r="K15" s="14">
        <v>0.22</v>
      </c>
      <c r="L15" s="14">
        <v>0.34</v>
      </c>
      <c r="M15" s="14">
        <v>0.31</v>
      </c>
      <c r="N15" s="14">
        <v>0.16</v>
      </c>
      <c r="O15" s="14">
        <v>0.17</v>
      </c>
      <c r="P15" s="14">
        <v>0.28000000000000003</v>
      </c>
      <c r="Q15" s="14">
        <v>0.28999999999999998</v>
      </c>
      <c r="R15" s="14">
        <v>0.31</v>
      </c>
      <c r="S15" s="14">
        <v>0.13</v>
      </c>
      <c r="T15" s="14">
        <v>0.27</v>
      </c>
      <c r="U15" s="14">
        <v>0.22</v>
      </c>
      <c r="V15" s="14">
        <v>0.22</v>
      </c>
      <c r="W15" s="14">
        <v>0.18</v>
      </c>
      <c r="X15" s="14">
        <v>0.28999999999999998</v>
      </c>
      <c r="Y15" s="14">
        <v>0.32</v>
      </c>
      <c r="Z15" s="14">
        <v>0.22</v>
      </c>
      <c r="AA15" s="14">
        <v>0.27</v>
      </c>
      <c r="AB15" s="14">
        <v>0.2</v>
      </c>
      <c r="AC15" s="14">
        <v>0.24</v>
      </c>
      <c r="AD15" s="14">
        <v>0.17</v>
      </c>
      <c r="AE15" s="14">
        <v>0.24</v>
      </c>
      <c r="AF15" s="14">
        <v>0.37</v>
      </c>
    </row>
    <row r="16" spans="1:32" ht="21.5" x14ac:dyDescent="0.35">
      <c r="A16" s="31"/>
      <c r="B16" s="11" t="s">
        <v>988</v>
      </c>
      <c r="C16" s="12">
        <v>3299</v>
      </c>
      <c r="D16" s="12">
        <v>105</v>
      </c>
      <c r="E16" s="12">
        <v>93</v>
      </c>
      <c r="F16" s="12">
        <v>90</v>
      </c>
      <c r="G16" s="12">
        <v>107</v>
      </c>
      <c r="H16" s="12">
        <v>209</v>
      </c>
      <c r="I16" s="12">
        <v>254</v>
      </c>
      <c r="J16" s="12">
        <v>45</v>
      </c>
      <c r="K16" s="12">
        <v>95</v>
      </c>
      <c r="L16" s="12">
        <v>138</v>
      </c>
      <c r="M16" s="12">
        <v>192</v>
      </c>
      <c r="N16" s="12">
        <v>95</v>
      </c>
      <c r="O16" s="12">
        <v>82</v>
      </c>
      <c r="P16" s="12">
        <v>137</v>
      </c>
      <c r="Q16" s="12">
        <v>111</v>
      </c>
      <c r="R16" s="12">
        <v>70</v>
      </c>
      <c r="S16" s="12">
        <v>103</v>
      </c>
      <c r="T16" s="12">
        <v>148</v>
      </c>
      <c r="U16" s="12">
        <v>46</v>
      </c>
      <c r="V16" s="12">
        <v>222</v>
      </c>
      <c r="W16" s="12">
        <v>78</v>
      </c>
      <c r="X16" s="12">
        <v>120</v>
      </c>
      <c r="Y16" s="12">
        <v>229</v>
      </c>
      <c r="Z16" s="12">
        <v>125</v>
      </c>
      <c r="AA16" s="12">
        <v>77</v>
      </c>
      <c r="AB16" s="12">
        <v>147</v>
      </c>
      <c r="AC16" s="12">
        <v>74</v>
      </c>
      <c r="AD16" s="12">
        <v>151</v>
      </c>
      <c r="AE16" s="12">
        <v>202</v>
      </c>
      <c r="AF16" s="12">
        <v>159</v>
      </c>
    </row>
    <row r="17" spans="1:32" ht="21.5" x14ac:dyDescent="0.35">
      <c r="A17" s="31"/>
      <c r="B17" s="13" t="s">
        <v>989</v>
      </c>
      <c r="C17" s="14">
        <v>0.12</v>
      </c>
      <c r="D17" s="14">
        <v>0.1</v>
      </c>
      <c r="E17" s="14">
        <v>0.09</v>
      </c>
      <c r="F17" s="14">
        <v>0.09</v>
      </c>
      <c r="G17" s="14">
        <v>0.11</v>
      </c>
      <c r="H17" s="14">
        <v>0.17</v>
      </c>
      <c r="I17" s="14">
        <v>0.17</v>
      </c>
      <c r="J17" s="14">
        <v>0.15</v>
      </c>
      <c r="K17" s="14">
        <v>0.09</v>
      </c>
      <c r="L17" s="14">
        <v>0.14000000000000001</v>
      </c>
      <c r="M17" s="14">
        <v>0.19</v>
      </c>
      <c r="N17" s="14">
        <v>0.09</v>
      </c>
      <c r="O17" s="14">
        <v>0.08</v>
      </c>
      <c r="P17" s="14">
        <v>0.14000000000000001</v>
      </c>
      <c r="Q17" s="14">
        <v>0.11</v>
      </c>
      <c r="R17" s="14">
        <v>0.14000000000000001</v>
      </c>
      <c r="S17" s="14">
        <v>0.1</v>
      </c>
      <c r="T17" s="14">
        <v>0.15</v>
      </c>
      <c r="U17" s="14">
        <v>0.09</v>
      </c>
      <c r="V17" s="14">
        <v>0.22</v>
      </c>
      <c r="W17" s="14">
        <v>0.16</v>
      </c>
      <c r="X17" s="14">
        <v>0.12</v>
      </c>
      <c r="Y17" s="14">
        <v>0.23</v>
      </c>
      <c r="Z17" s="14">
        <v>0.12</v>
      </c>
      <c r="AA17" s="14">
        <v>7.0000000000000007E-2</v>
      </c>
      <c r="AB17" s="14">
        <v>0.14000000000000001</v>
      </c>
      <c r="AC17" s="14">
        <v>7.0000000000000007E-2</v>
      </c>
      <c r="AD17" s="14">
        <v>0.15</v>
      </c>
      <c r="AE17" s="14">
        <v>0.2</v>
      </c>
      <c r="AF17" s="14">
        <v>0.16</v>
      </c>
    </row>
    <row r="18" spans="1:32" ht="21.5" x14ac:dyDescent="0.35">
      <c r="A18" s="31"/>
      <c r="B18" s="11" t="s">
        <v>990</v>
      </c>
      <c r="C18" s="12">
        <v>7412</v>
      </c>
      <c r="D18" s="12">
        <v>276</v>
      </c>
      <c r="E18" s="12">
        <v>296</v>
      </c>
      <c r="F18" s="12">
        <v>172</v>
      </c>
      <c r="G18" s="12">
        <v>366</v>
      </c>
      <c r="H18" s="12">
        <v>493</v>
      </c>
      <c r="I18" s="12">
        <v>625</v>
      </c>
      <c r="J18" s="12">
        <v>131</v>
      </c>
      <c r="K18" s="12">
        <v>208</v>
      </c>
      <c r="L18" s="12">
        <v>230</v>
      </c>
      <c r="M18" s="12">
        <v>253</v>
      </c>
      <c r="N18" s="12">
        <v>198</v>
      </c>
      <c r="O18" s="12">
        <v>313</v>
      </c>
      <c r="P18" s="12">
        <v>207</v>
      </c>
      <c r="Q18" s="12">
        <v>272</v>
      </c>
      <c r="R18" s="12">
        <v>72</v>
      </c>
      <c r="S18" s="12">
        <v>226</v>
      </c>
      <c r="T18" s="12">
        <v>202</v>
      </c>
      <c r="U18" s="12">
        <v>122</v>
      </c>
      <c r="V18" s="12">
        <v>281</v>
      </c>
      <c r="W18" s="12">
        <v>205</v>
      </c>
      <c r="X18" s="12">
        <v>236</v>
      </c>
      <c r="Y18" s="12">
        <v>372</v>
      </c>
      <c r="Z18" s="12">
        <v>273</v>
      </c>
      <c r="AA18" s="12">
        <v>184</v>
      </c>
      <c r="AB18" s="12">
        <v>189</v>
      </c>
      <c r="AC18" s="12">
        <v>200</v>
      </c>
      <c r="AD18" s="12">
        <v>255</v>
      </c>
      <c r="AE18" s="12">
        <v>215</v>
      </c>
      <c r="AF18" s="12">
        <v>166</v>
      </c>
    </row>
    <row r="19" spans="1:32" ht="21.5" x14ac:dyDescent="0.35">
      <c r="A19" s="31"/>
      <c r="B19" s="13" t="s">
        <v>991</v>
      </c>
      <c r="C19" s="14">
        <v>0.28000000000000003</v>
      </c>
      <c r="D19" s="14">
        <v>0.27</v>
      </c>
      <c r="E19" s="14">
        <v>0.28000000000000003</v>
      </c>
      <c r="F19" s="14">
        <v>0.17</v>
      </c>
      <c r="G19" s="14">
        <v>0.36</v>
      </c>
      <c r="H19" s="14">
        <v>0.4</v>
      </c>
      <c r="I19" s="14">
        <v>0.41</v>
      </c>
      <c r="J19" s="14">
        <v>0.44</v>
      </c>
      <c r="K19" s="14">
        <v>0.21</v>
      </c>
      <c r="L19" s="14">
        <v>0.23</v>
      </c>
      <c r="M19" s="14">
        <v>0.25</v>
      </c>
      <c r="N19" s="14">
        <v>0.2</v>
      </c>
      <c r="O19" s="14">
        <v>0.31</v>
      </c>
      <c r="P19" s="14">
        <v>0.21</v>
      </c>
      <c r="Q19" s="14">
        <v>0.26</v>
      </c>
      <c r="R19" s="14">
        <v>0.14000000000000001</v>
      </c>
      <c r="S19" s="14">
        <v>0.22</v>
      </c>
      <c r="T19" s="14">
        <v>0.2</v>
      </c>
      <c r="U19" s="14">
        <v>0.24</v>
      </c>
      <c r="V19" s="14">
        <v>0.28000000000000003</v>
      </c>
      <c r="W19" s="14">
        <v>0.41</v>
      </c>
      <c r="X19" s="14">
        <v>0.23</v>
      </c>
      <c r="Y19" s="14">
        <v>0.37</v>
      </c>
      <c r="Z19" s="14">
        <v>0.27</v>
      </c>
      <c r="AA19" s="14">
        <v>0.18</v>
      </c>
      <c r="AB19" s="14">
        <v>0.18</v>
      </c>
      <c r="AC19" s="14">
        <v>0.2</v>
      </c>
      <c r="AD19" s="14">
        <v>0.25</v>
      </c>
      <c r="AE19" s="14">
        <v>0.21</v>
      </c>
      <c r="AF19" s="14">
        <v>0.16</v>
      </c>
    </row>
    <row r="20" spans="1:32" ht="21.5" x14ac:dyDescent="0.35">
      <c r="A20" s="31"/>
      <c r="B20" s="11" t="s">
        <v>992</v>
      </c>
      <c r="C20" s="12">
        <v>10762</v>
      </c>
      <c r="D20" s="12">
        <v>404</v>
      </c>
      <c r="E20" s="12">
        <v>468</v>
      </c>
      <c r="F20" s="12">
        <v>398</v>
      </c>
      <c r="G20" s="12">
        <v>421</v>
      </c>
      <c r="H20" s="12">
        <v>461</v>
      </c>
      <c r="I20" s="12">
        <v>569</v>
      </c>
      <c r="J20" s="12">
        <v>108</v>
      </c>
      <c r="K20" s="12">
        <v>326</v>
      </c>
      <c r="L20" s="12">
        <v>369</v>
      </c>
      <c r="M20" s="12">
        <v>431</v>
      </c>
      <c r="N20" s="12">
        <v>471</v>
      </c>
      <c r="O20" s="12">
        <v>543</v>
      </c>
      <c r="P20" s="12">
        <v>383</v>
      </c>
      <c r="Q20" s="12">
        <v>450</v>
      </c>
      <c r="R20" s="12">
        <v>200</v>
      </c>
      <c r="S20" s="12">
        <v>342</v>
      </c>
      <c r="T20" s="12">
        <v>305</v>
      </c>
      <c r="U20" s="12">
        <v>252</v>
      </c>
      <c r="V20" s="12">
        <v>332</v>
      </c>
      <c r="W20" s="12">
        <v>173</v>
      </c>
      <c r="X20" s="12">
        <v>400</v>
      </c>
      <c r="Y20" s="12">
        <v>346</v>
      </c>
      <c r="Z20" s="12">
        <v>223</v>
      </c>
      <c r="AA20" s="12">
        <v>354</v>
      </c>
      <c r="AB20" s="12">
        <v>325</v>
      </c>
      <c r="AC20" s="12">
        <v>450</v>
      </c>
      <c r="AD20" s="12">
        <v>303</v>
      </c>
      <c r="AE20" s="12">
        <v>335</v>
      </c>
      <c r="AF20" s="12">
        <v>578</v>
      </c>
    </row>
    <row r="21" spans="1:32" ht="21.5" x14ac:dyDescent="0.35">
      <c r="A21" s="31"/>
      <c r="B21" s="13" t="s">
        <v>993</v>
      </c>
      <c r="C21" s="14">
        <v>0.41</v>
      </c>
      <c r="D21" s="14">
        <v>0.39</v>
      </c>
      <c r="E21" s="14">
        <v>0.45</v>
      </c>
      <c r="F21" s="14">
        <v>0.39</v>
      </c>
      <c r="G21" s="14">
        <v>0.41</v>
      </c>
      <c r="H21" s="14">
        <v>0.37</v>
      </c>
      <c r="I21" s="14">
        <v>0.37</v>
      </c>
      <c r="J21" s="14">
        <v>0.36</v>
      </c>
      <c r="K21" s="14">
        <v>0.32</v>
      </c>
      <c r="L21" s="14">
        <v>0.37</v>
      </c>
      <c r="M21" s="14">
        <v>0.43</v>
      </c>
      <c r="N21" s="14">
        <v>0.47</v>
      </c>
      <c r="O21" s="14">
        <v>0.54</v>
      </c>
      <c r="P21" s="14">
        <v>0.38</v>
      </c>
      <c r="Q21" s="14">
        <v>0.44</v>
      </c>
      <c r="R21" s="14">
        <v>0.4</v>
      </c>
      <c r="S21" s="14">
        <v>0.33</v>
      </c>
      <c r="T21" s="14">
        <v>0.3</v>
      </c>
      <c r="U21" s="14">
        <v>0.5</v>
      </c>
      <c r="V21" s="14">
        <v>0.33</v>
      </c>
      <c r="W21" s="14">
        <v>0.34</v>
      </c>
      <c r="X21" s="14">
        <v>0.4</v>
      </c>
      <c r="Y21" s="14">
        <v>0.34</v>
      </c>
      <c r="Z21" s="14">
        <v>0.22</v>
      </c>
      <c r="AA21" s="14">
        <v>0.34</v>
      </c>
      <c r="AB21" s="14">
        <v>0.31</v>
      </c>
      <c r="AC21" s="14">
        <v>0.44</v>
      </c>
      <c r="AD21" s="14">
        <v>0.3</v>
      </c>
      <c r="AE21" s="14">
        <v>0.33</v>
      </c>
      <c r="AF21" s="14">
        <v>0.57000000000000006</v>
      </c>
    </row>
    <row r="22" spans="1:32" ht="21.5" x14ac:dyDescent="0.35">
      <c r="A22" s="31"/>
      <c r="B22" s="11" t="s">
        <v>994</v>
      </c>
      <c r="C22" s="12">
        <v>11038</v>
      </c>
      <c r="D22" s="12">
        <v>400</v>
      </c>
      <c r="E22" s="12">
        <v>516</v>
      </c>
      <c r="F22" s="12">
        <v>477</v>
      </c>
      <c r="G22" s="12">
        <v>520</v>
      </c>
      <c r="H22" s="12">
        <v>601</v>
      </c>
      <c r="I22" s="12">
        <v>775</v>
      </c>
      <c r="J22" s="12">
        <v>174</v>
      </c>
      <c r="K22" s="12">
        <v>291</v>
      </c>
      <c r="L22" s="12">
        <v>375</v>
      </c>
      <c r="M22" s="12">
        <v>447</v>
      </c>
      <c r="N22" s="12">
        <v>383</v>
      </c>
      <c r="O22" s="12">
        <v>413</v>
      </c>
      <c r="P22" s="12">
        <v>459</v>
      </c>
      <c r="Q22" s="12">
        <v>437</v>
      </c>
      <c r="R22" s="12">
        <v>227</v>
      </c>
      <c r="S22" s="12">
        <v>386</v>
      </c>
      <c r="T22" s="12">
        <v>472</v>
      </c>
      <c r="U22" s="12">
        <v>238</v>
      </c>
      <c r="V22" s="12">
        <v>416</v>
      </c>
      <c r="W22" s="12">
        <v>240</v>
      </c>
      <c r="X22" s="12">
        <v>329</v>
      </c>
      <c r="Y22" s="12">
        <v>384</v>
      </c>
      <c r="Z22" s="12">
        <v>337</v>
      </c>
      <c r="AA22" s="12">
        <v>276</v>
      </c>
      <c r="AB22" s="12">
        <v>392</v>
      </c>
      <c r="AC22" s="12">
        <v>519</v>
      </c>
      <c r="AD22" s="12">
        <v>508</v>
      </c>
      <c r="AE22" s="12">
        <v>239</v>
      </c>
      <c r="AF22" s="12">
        <v>516</v>
      </c>
    </row>
    <row r="23" spans="1:32" x14ac:dyDescent="0.35">
      <c r="A23" s="31"/>
      <c r="B23" s="13" t="s">
        <v>995</v>
      </c>
      <c r="C23" s="14">
        <v>0.42</v>
      </c>
      <c r="D23" s="14">
        <v>0.39</v>
      </c>
      <c r="E23" s="14">
        <v>0.5</v>
      </c>
      <c r="F23" s="14">
        <v>0.47</v>
      </c>
      <c r="G23" s="14">
        <v>0.51</v>
      </c>
      <c r="H23" s="14">
        <v>0.49</v>
      </c>
      <c r="I23" s="14">
        <v>0.51</v>
      </c>
      <c r="J23" s="14">
        <v>0.57999999999999996</v>
      </c>
      <c r="K23" s="14">
        <v>0.28999999999999998</v>
      </c>
      <c r="L23" s="14">
        <v>0.37</v>
      </c>
      <c r="M23" s="14">
        <v>0.45</v>
      </c>
      <c r="N23" s="14">
        <v>0.38</v>
      </c>
      <c r="O23" s="14">
        <v>0.41</v>
      </c>
      <c r="P23" s="14">
        <v>0.46</v>
      </c>
      <c r="Q23" s="14">
        <v>0.42</v>
      </c>
      <c r="R23" s="14">
        <v>0.45</v>
      </c>
      <c r="S23" s="14">
        <v>0.38</v>
      </c>
      <c r="T23" s="14">
        <v>0.46</v>
      </c>
      <c r="U23" s="14">
        <v>0.47</v>
      </c>
      <c r="V23" s="14">
        <v>0.41</v>
      </c>
      <c r="W23" s="14">
        <v>0.48</v>
      </c>
      <c r="X23" s="14">
        <v>0.33</v>
      </c>
      <c r="Y23" s="14">
        <v>0.38</v>
      </c>
      <c r="Z23" s="14">
        <v>0.33</v>
      </c>
      <c r="AA23" s="14">
        <v>0.27</v>
      </c>
      <c r="AB23" s="14">
        <v>0.37</v>
      </c>
      <c r="AC23" s="14">
        <v>0.51</v>
      </c>
      <c r="AD23" s="14">
        <v>0.51</v>
      </c>
      <c r="AE23" s="14">
        <v>0.24</v>
      </c>
      <c r="AF23" s="14">
        <v>0.51</v>
      </c>
    </row>
    <row r="24" spans="1:32" ht="21.5" x14ac:dyDescent="0.35">
      <c r="A24" s="31"/>
      <c r="B24" s="11" t="s">
        <v>996</v>
      </c>
      <c r="C24" s="12">
        <v>7220</v>
      </c>
      <c r="D24" s="12">
        <v>296</v>
      </c>
      <c r="E24" s="12">
        <v>344</v>
      </c>
      <c r="F24" s="12">
        <v>239</v>
      </c>
      <c r="G24" s="12">
        <v>358</v>
      </c>
      <c r="H24" s="12">
        <v>245</v>
      </c>
      <c r="I24" s="12">
        <v>308</v>
      </c>
      <c r="J24" s="12">
        <v>63</v>
      </c>
      <c r="K24" s="12">
        <v>298</v>
      </c>
      <c r="L24" s="12">
        <v>195</v>
      </c>
      <c r="M24" s="12">
        <v>385</v>
      </c>
      <c r="N24" s="12">
        <v>188</v>
      </c>
      <c r="O24" s="12">
        <v>292</v>
      </c>
      <c r="P24" s="12">
        <v>353</v>
      </c>
      <c r="Q24" s="12">
        <v>356</v>
      </c>
      <c r="R24" s="12">
        <v>162</v>
      </c>
      <c r="S24" s="12">
        <v>166</v>
      </c>
      <c r="T24" s="12">
        <v>277</v>
      </c>
      <c r="U24" s="12">
        <v>158</v>
      </c>
      <c r="V24" s="12">
        <v>323</v>
      </c>
      <c r="W24" s="12">
        <v>93</v>
      </c>
      <c r="X24" s="12">
        <v>425</v>
      </c>
      <c r="Y24" s="12">
        <v>257</v>
      </c>
      <c r="Z24" s="12">
        <v>280</v>
      </c>
      <c r="AA24" s="12">
        <v>251</v>
      </c>
      <c r="AB24" s="12">
        <v>278</v>
      </c>
      <c r="AC24" s="12">
        <v>310</v>
      </c>
      <c r="AD24" s="12">
        <v>307</v>
      </c>
      <c r="AE24" s="12">
        <v>246</v>
      </c>
      <c r="AF24" s="12">
        <v>351</v>
      </c>
    </row>
    <row r="25" spans="1:32" ht="21.5" x14ac:dyDescent="0.35">
      <c r="A25" s="31"/>
      <c r="B25" s="13" t="s">
        <v>997</v>
      </c>
      <c r="C25" s="14">
        <v>0.27</v>
      </c>
      <c r="D25" s="14">
        <v>0.28999999999999998</v>
      </c>
      <c r="E25" s="14">
        <v>0.33</v>
      </c>
      <c r="F25" s="14">
        <v>0.24</v>
      </c>
      <c r="G25" s="14">
        <v>0.35</v>
      </c>
      <c r="H25" s="14">
        <v>0.2</v>
      </c>
      <c r="I25" s="14">
        <v>0.2</v>
      </c>
      <c r="J25" s="14">
        <v>0.21</v>
      </c>
      <c r="K25" s="14">
        <v>0.3</v>
      </c>
      <c r="L25" s="14">
        <v>0.19</v>
      </c>
      <c r="M25" s="14">
        <v>0.38</v>
      </c>
      <c r="N25" s="14">
        <v>0.19</v>
      </c>
      <c r="O25" s="14">
        <v>0.28999999999999998</v>
      </c>
      <c r="P25" s="14">
        <v>0.35</v>
      </c>
      <c r="Q25" s="14">
        <v>0.34</v>
      </c>
      <c r="R25" s="14">
        <v>0.32</v>
      </c>
      <c r="S25" s="14">
        <v>0.16</v>
      </c>
      <c r="T25" s="14">
        <v>0.27</v>
      </c>
      <c r="U25" s="14">
        <v>0.31</v>
      </c>
      <c r="V25" s="14">
        <v>0.32</v>
      </c>
      <c r="W25" s="14">
        <v>0.19</v>
      </c>
      <c r="X25" s="14">
        <v>0.42</v>
      </c>
      <c r="Y25" s="14">
        <v>0.26</v>
      </c>
      <c r="Z25" s="14">
        <v>0.27</v>
      </c>
      <c r="AA25" s="14">
        <v>0.24</v>
      </c>
      <c r="AB25" s="14">
        <v>0.26</v>
      </c>
      <c r="AC25" s="14">
        <v>0.31</v>
      </c>
      <c r="AD25" s="14">
        <v>0.31</v>
      </c>
      <c r="AE25" s="14">
        <v>0.24</v>
      </c>
      <c r="AF25" s="14">
        <v>0.34</v>
      </c>
    </row>
    <row r="26" spans="1:32" x14ac:dyDescent="0.35">
      <c r="A26" s="31"/>
      <c r="B26" s="11" t="s">
        <v>407</v>
      </c>
      <c r="C26" s="12">
        <v>110</v>
      </c>
      <c r="D26" s="12">
        <v>3</v>
      </c>
      <c r="E26" s="12">
        <v>0</v>
      </c>
      <c r="F26" s="12">
        <v>0</v>
      </c>
      <c r="G26" s="12">
        <v>1</v>
      </c>
      <c r="H26" s="12">
        <v>4</v>
      </c>
      <c r="I26" s="12">
        <v>4</v>
      </c>
      <c r="J26" s="12">
        <v>0</v>
      </c>
      <c r="K26" s="12">
        <v>16</v>
      </c>
      <c r="L26" s="12">
        <v>1</v>
      </c>
      <c r="M26" s="12">
        <v>3</v>
      </c>
      <c r="N26" s="12">
        <v>2</v>
      </c>
      <c r="O26" s="12">
        <v>8</v>
      </c>
      <c r="P26" s="12">
        <v>3</v>
      </c>
      <c r="Q26" s="12">
        <v>6</v>
      </c>
      <c r="R26" s="12">
        <v>2</v>
      </c>
      <c r="S26" s="12">
        <v>12</v>
      </c>
      <c r="T26" s="12">
        <v>3</v>
      </c>
      <c r="U26" s="12">
        <v>0</v>
      </c>
      <c r="V26" s="12">
        <v>1</v>
      </c>
      <c r="W26" s="12">
        <v>0</v>
      </c>
      <c r="X26" s="12">
        <v>3</v>
      </c>
      <c r="Y26" s="12">
        <v>8</v>
      </c>
      <c r="Z26" s="12">
        <v>1</v>
      </c>
      <c r="AA26" s="12">
        <v>17</v>
      </c>
      <c r="AB26" s="12">
        <v>10</v>
      </c>
      <c r="AC26" s="12">
        <v>2</v>
      </c>
      <c r="AD26" s="12">
        <v>3</v>
      </c>
      <c r="AE26" s="12">
        <v>3</v>
      </c>
      <c r="AF26" s="12">
        <v>0</v>
      </c>
    </row>
    <row r="27" spans="1:32" x14ac:dyDescent="0.35">
      <c r="A27" s="31"/>
      <c r="B27" s="13" t="s">
        <v>408</v>
      </c>
      <c r="C27" s="15" t="s">
        <v>333</v>
      </c>
      <c r="D27" s="15" t="s">
        <v>333</v>
      </c>
      <c r="E27" s="15" t="s">
        <v>333</v>
      </c>
      <c r="F27" s="15" t="s">
        <v>333</v>
      </c>
      <c r="G27" s="15" t="s">
        <v>333</v>
      </c>
      <c r="H27" s="15" t="s">
        <v>333</v>
      </c>
      <c r="I27" s="15" t="s">
        <v>333</v>
      </c>
      <c r="J27" s="15" t="s">
        <v>333</v>
      </c>
      <c r="K27" s="14">
        <v>0.02</v>
      </c>
      <c r="L27" s="15" t="s">
        <v>333</v>
      </c>
      <c r="M27" s="15" t="s">
        <v>333</v>
      </c>
      <c r="N27" s="15" t="s">
        <v>333</v>
      </c>
      <c r="O27" s="14">
        <v>0.01</v>
      </c>
      <c r="P27" s="15" t="s">
        <v>333</v>
      </c>
      <c r="Q27" s="14">
        <v>0.01</v>
      </c>
      <c r="R27" s="15" t="s">
        <v>333</v>
      </c>
      <c r="S27" s="14">
        <v>0.01</v>
      </c>
      <c r="T27" s="15" t="s">
        <v>333</v>
      </c>
      <c r="U27" s="15" t="s">
        <v>333</v>
      </c>
      <c r="V27" s="15" t="s">
        <v>333</v>
      </c>
      <c r="W27" s="15" t="s">
        <v>333</v>
      </c>
      <c r="X27" s="15" t="s">
        <v>333</v>
      </c>
      <c r="Y27" s="14">
        <v>0.01</v>
      </c>
      <c r="Z27" s="15" t="s">
        <v>333</v>
      </c>
      <c r="AA27" s="14">
        <v>0.02</v>
      </c>
      <c r="AB27" s="14">
        <v>0.01</v>
      </c>
      <c r="AC27" s="15" t="s">
        <v>333</v>
      </c>
      <c r="AD27" s="15" t="s">
        <v>333</v>
      </c>
      <c r="AE27" s="15" t="s">
        <v>333</v>
      </c>
      <c r="AF27" s="15" t="s">
        <v>333</v>
      </c>
    </row>
    <row r="28" spans="1:32" ht="21.5" x14ac:dyDescent="0.35">
      <c r="A28" s="31"/>
      <c r="B28" s="11" t="s">
        <v>885</v>
      </c>
      <c r="C28" s="12">
        <v>592</v>
      </c>
      <c r="D28" s="12">
        <v>16</v>
      </c>
      <c r="E28" s="12">
        <v>31</v>
      </c>
      <c r="F28" s="12">
        <v>43</v>
      </c>
      <c r="G28" s="12">
        <v>7</v>
      </c>
      <c r="H28" s="12">
        <v>23</v>
      </c>
      <c r="I28" s="12">
        <v>25</v>
      </c>
      <c r="J28" s="12">
        <v>2</v>
      </c>
      <c r="K28" s="12">
        <v>59</v>
      </c>
      <c r="L28" s="12">
        <v>26</v>
      </c>
      <c r="M28" s="12">
        <v>49</v>
      </c>
      <c r="N28" s="12">
        <v>37</v>
      </c>
      <c r="O28" s="12">
        <v>11</v>
      </c>
      <c r="P28" s="12">
        <v>21</v>
      </c>
      <c r="Q28" s="12">
        <v>17</v>
      </c>
      <c r="R28" s="12">
        <v>20</v>
      </c>
      <c r="S28" s="12">
        <v>59</v>
      </c>
      <c r="T28" s="12">
        <v>33</v>
      </c>
      <c r="U28" s="12">
        <v>2</v>
      </c>
      <c r="V28" s="12">
        <v>22</v>
      </c>
      <c r="W28" s="12">
        <v>19</v>
      </c>
      <c r="X28" s="12">
        <v>2</v>
      </c>
      <c r="Y28" s="12">
        <v>42</v>
      </c>
      <c r="Z28" s="12">
        <v>34</v>
      </c>
      <c r="AA28" s="12">
        <v>43</v>
      </c>
      <c r="AB28" s="12">
        <v>33</v>
      </c>
      <c r="AC28" s="12">
        <v>19</v>
      </c>
      <c r="AD28" s="12">
        <v>27</v>
      </c>
      <c r="AE28" s="12">
        <v>18</v>
      </c>
      <c r="AF28" s="12">
        <v>8</v>
      </c>
    </row>
    <row r="29" spans="1:32" x14ac:dyDescent="0.35">
      <c r="A29" s="31"/>
      <c r="B29" s="13" t="s">
        <v>453</v>
      </c>
      <c r="C29" s="14">
        <v>0.02</v>
      </c>
      <c r="D29" s="14">
        <v>0.02</v>
      </c>
      <c r="E29" s="14">
        <v>0.03</v>
      </c>
      <c r="F29" s="14">
        <v>0.04</v>
      </c>
      <c r="G29" s="14">
        <v>0.01</v>
      </c>
      <c r="H29" s="14">
        <v>0.02</v>
      </c>
      <c r="I29" s="14">
        <v>0.02</v>
      </c>
      <c r="J29" s="14">
        <v>0.01</v>
      </c>
      <c r="K29" s="14">
        <v>0.06</v>
      </c>
      <c r="L29" s="14">
        <v>0.03</v>
      </c>
      <c r="M29" s="14">
        <v>0.05</v>
      </c>
      <c r="N29" s="14">
        <v>0.04</v>
      </c>
      <c r="O29" s="14">
        <v>0.01</v>
      </c>
      <c r="P29" s="14">
        <v>0.02</v>
      </c>
      <c r="Q29" s="14">
        <v>0.02</v>
      </c>
      <c r="R29" s="14">
        <v>0.04</v>
      </c>
      <c r="S29" s="14">
        <v>0.06</v>
      </c>
      <c r="T29" s="14">
        <v>0.03</v>
      </c>
      <c r="U29" s="15" t="s">
        <v>333</v>
      </c>
      <c r="V29" s="14">
        <v>0.02</v>
      </c>
      <c r="W29" s="14">
        <v>0.04</v>
      </c>
      <c r="X29" s="15" t="s">
        <v>333</v>
      </c>
      <c r="Y29" s="14">
        <v>0.04</v>
      </c>
      <c r="Z29" s="14">
        <v>0.03</v>
      </c>
      <c r="AA29" s="14">
        <v>0.04</v>
      </c>
      <c r="AB29" s="14">
        <v>0.03</v>
      </c>
      <c r="AC29" s="14">
        <v>0.02</v>
      </c>
      <c r="AD29" s="14">
        <v>0.03</v>
      </c>
      <c r="AE29" s="14">
        <v>0.02</v>
      </c>
      <c r="AF29" s="14">
        <v>0.01</v>
      </c>
    </row>
    <row r="30" spans="1:32" x14ac:dyDescent="0.35">
      <c r="A30" s="31"/>
      <c r="B30" s="11" t="s">
        <v>344</v>
      </c>
      <c r="C30" s="12">
        <v>804</v>
      </c>
      <c r="D30" s="12">
        <v>13</v>
      </c>
      <c r="E30" s="12">
        <v>26</v>
      </c>
      <c r="F30" s="12">
        <v>26</v>
      </c>
      <c r="G30" s="12">
        <v>39</v>
      </c>
      <c r="H30" s="12">
        <v>34</v>
      </c>
      <c r="I30" s="12">
        <v>40</v>
      </c>
      <c r="J30" s="12">
        <v>6</v>
      </c>
      <c r="K30" s="12">
        <v>41</v>
      </c>
      <c r="L30" s="12">
        <v>26</v>
      </c>
      <c r="M30" s="12">
        <v>37</v>
      </c>
      <c r="N30" s="12">
        <v>61</v>
      </c>
      <c r="O30" s="12">
        <v>26</v>
      </c>
      <c r="P30" s="12">
        <v>27</v>
      </c>
      <c r="Q30" s="12">
        <v>29</v>
      </c>
      <c r="R30" s="12">
        <v>24</v>
      </c>
      <c r="S30" s="12">
        <v>53</v>
      </c>
      <c r="T30" s="12">
        <v>36</v>
      </c>
      <c r="U30" s="12">
        <v>8</v>
      </c>
      <c r="V30" s="12">
        <v>6</v>
      </c>
      <c r="W30" s="12">
        <v>8</v>
      </c>
      <c r="X30" s="12">
        <v>5</v>
      </c>
      <c r="Y30" s="12">
        <v>41</v>
      </c>
      <c r="Z30" s="12">
        <v>28</v>
      </c>
      <c r="AA30" s="12">
        <v>84</v>
      </c>
      <c r="AB30" s="12">
        <v>34</v>
      </c>
      <c r="AC30" s="12">
        <v>5</v>
      </c>
      <c r="AD30" s="12">
        <v>18</v>
      </c>
      <c r="AE30" s="12">
        <v>37</v>
      </c>
      <c r="AF30" s="12">
        <v>6</v>
      </c>
    </row>
    <row r="31" spans="1:32" x14ac:dyDescent="0.35">
      <c r="A31" s="31"/>
      <c r="B31" s="13" t="s">
        <v>345</v>
      </c>
      <c r="C31" s="14">
        <v>0.03</v>
      </c>
      <c r="D31" s="14">
        <v>0.01</v>
      </c>
      <c r="E31" s="14">
        <v>0.02</v>
      </c>
      <c r="F31" s="14">
        <v>0.03</v>
      </c>
      <c r="G31" s="14">
        <v>0.04</v>
      </c>
      <c r="H31" s="14">
        <v>0.03</v>
      </c>
      <c r="I31" s="14">
        <v>0.03</v>
      </c>
      <c r="J31" s="14">
        <v>0.02</v>
      </c>
      <c r="K31" s="14">
        <v>0.04</v>
      </c>
      <c r="L31" s="14">
        <v>0.03</v>
      </c>
      <c r="M31" s="14">
        <v>0.04</v>
      </c>
      <c r="N31" s="14">
        <v>0.06</v>
      </c>
      <c r="O31" s="14">
        <v>0.03</v>
      </c>
      <c r="P31" s="14">
        <v>0.03</v>
      </c>
      <c r="Q31" s="14">
        <v>0.03</v>
      </c>
      <c r="R31" s="14">
        <v>0.05</v>
      </c>
      <c r="S31" s="14">
        <v>0.05</v>
      </c>
      <c r="T31" s="14">
        <v>0.04</v>
      </c>
      <c r="U31" s="14">
        <v>0.02</v>
      </c>
      <c r="V31" s="14">
        <v>0.01</v>
      </c>
      <c r="W31" s="14">
        <v>0.02</v>
      </c>
      <c r="X31" s="15" t="s">
        <v>333</v>
      </c>
      <c r="Y31" s="14">
        <v>0.04</v>
      </c>
      <c r="Z31" s="14">
        <v>0.03</v>
      </c>
      <c r="AA31" s="14">
        <v>0.08</v>
      </c>
      <c r="AB31" s="14">
        <v>0.03</v>
      </c>
      <c r="AC31" s="14">
        <v>0.01</v>
      </c>
      <c r="AD31" s="14">
        <v>0.02</v>
      </c>
      <c r="AE31" s="14">
        <v>0.04</v>
      </c>
      <c r="AF31" s="14">
        <v>0.01</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179</v>
      </c>
      <c r="C3" s="30"/>
      <c r="D3" s="30"/>
      <c r="E3" s="30"/>
      <c r="F3" s="30"/>
      <c r="H3" s="30" t="s">
        <v>180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51.5" x14ac:dyDescent="0.35">
      <c r="A12" s="31"/>
      <c r="B12" s="11" t="s">
        <v>998</v>
      </c>
      <c r="C12" s="12">
        <v>7504</v>
      </c>
      <c r="D12" s="12">
        <v>310</v>
      </c>
      <c r="E12" s="12">
        <v>310</v>
      </c>
      <c r="F12" s="12">
        <v>256</v>
      </c>
      <c r="G12" s="12">
        <v>222</v>
      </c>
      <c r="H12" s="12">
        <v>274</v>
      </c>
      <c r="I12" s="12">
        <v>370</v>
      </c>
      <c r="J12" s="12">
        <v>96</v>
      </c>
      <c r="K12" s="12">
        <v>243</v>
      </c>
      <c r="L12" s="12">
        <v>276</v>
      </c>
      <c r="M12" s="12">
        <v>463</v>
      </c>
      <c r="N12" s="12">
        <v>210</v>
      </c>
      <c r="O12" s="12">
        <v>264</v>
      </c>
      <c r="P12" s="12">
        <v>389</v>
      </c>
      <c r="Q12" s="12">
        <v>419</v>
      </c>
      <c r="R12" s="12">
        <v>183</v>
      </c>
      <c r="S12" s="12">
        <v>193</v>
      </c>
      <c r="T12" s="12">
        <v>228</v>
      </c>
      <c r="U12" s="12">
        <v>96</v>
      </c>
      <c r="V12" s="12">
        <v>424</v>
      </c>
      <c r="W12" s="12">
        <v>183</v>
      </c>
      <c r="X12" s="12">
        <v>271</v>
      </c>
      <c r="Y12" s="12">
        <v>419</v>
      </c>
      <c r="Z12" s="12">
        <v>240</v>
      </c>
      <c r="AA12" s="12">
        <v>286</v>
      </c>
      <c r="AB12" s="12">
        <v>305</v>
      </c>
      <c r="AC12" s="12">
        <v>247</v>
      </c>
      <c r="AD12" s="12">
        <v>292</v>
      </c>
      <c r="AE12" s="12">
        <v>161</v>
      </c>
      <c r="AF12" s="12">
        <v>303</v>
      </c>
    </row>
    <row r="13" spans="1:32" ht="41.5" x14ac:dyDescent="0.35">
      <c r="A13" s="31"/>
      <c r="B13" s="13" t="s">
        <v>999</v>
      </c>
      <c r="C13" s="14">
        <v>0.28000000000000003</v>
      </c>
      <c r="D13" s="14">
        <v>0.3</v>
      </c>
      <c r="E13" s="14">
        <v>0.3</v>
      </c>
      <c r="F13" s="14">
        <v>0.25</v>
      </c>
      <c r="G13" s="14">
        <v>0.22</v>
      </c>
      <c r="H13" s="14">
        <v>0.22</v>
      </c>
      <c r="I13" s="14">
        <v>0.24</v>
      </c>
      <c r="J13" s="14">
        <v>0.32</v>
      </c>
      <c r="K13" s="14">
        <v>0.24</v>
      </c>
      <c r="L13" s="14">
        <v>0.27</v>
      </c>
      <c r="M13" s="14">
        <v>0.46</v>
      </c>
      <c r="N13" s="14">
        <v>0.21</v>
      </c>
      <c r="O13" s="14">
        <v>0.26</v>
      </c>
      <c r="P13" s="14">
        <v>0.39</v>
      </c>
      <c r="Q13" s="14">
        <v>0.4</v>
      </c>
      <c r="R13" s="14">
        <v>0.36</v>
      </c>
      <c r="S13" s="14">
        <v>0.19</v>
      </c>
      <c r="T13" s="14">
        <v>0.22</v>
      </c>
      <c r="U13" s="14">
        <v>0.19</v>
      </c>
      <c r="V13" s="14">
        <v>0.42</v>
      </c>
      <c r="W13" s="14">
        <v>0.36</v>
      </c>
      <c r="X13" s="14">
        <v>0.27</v>
      </c>
      <c r="Y13" s="14">
        <v>0.42</v>
      </c>
      <c r="Z13" s="14">
        <v>0.24</v>
      </c>
      <c r="AA13" s="14">
        <v>0.28000000000000003</v>
      </c>
      <c r="AB13" s="14">
        <v>0.28999999999999998</v>
      </c>
      <c r="AC13" s="14">
        <v>0.24</v>
      </c>
      <c r="AD13" s="14">
        <v>0.28999999999999998</v>
      </c>
      <c r="AE13" s="14">
        <v>0.16</v>
      </c>
      <c r="AF13" s="14">
        <v>0.3</v>
      </c>
    </row>
    <row r="14" spans="1:32" ht="141.5" x14ac:dyDescent="0.35">
      <c r="A14" s="31"/>
      <c r="B14" s="11" t="s">
        <v>1000</v>
      </c>
      <c r="C14" s="12">
        <v>8043</v>
      </c>
      <c r="D14" s="12">
        <v>258</v>
      </c>
      <c r="E14" s="12">
        <v>386</v>
      </c>
      <c r="F14" s="12">
        <v>279</v>
      </c>
      <c r="G14" s="12">
        <v>246</v>
      </c>
      <c r="H14" s="12">
        <v>380</v>
      </c>
      <c r="I14" s="12">
        <v>490</v>
      </c>
      <c r="J14" s="12">
        <v>110</v>
      </c>
      <c r="K14" s="12">
        <v>192</v>
      </c>
      <c r="L14" s="12">
        <v>332</v>
      </c>
      <c r="M14" s="12">
        <v>251</v>
      </c>
      <c r="N14" s="12">
        <v>254</v>
      </c>
      <c r="O14" s="12">
        <v>305</v>
      </c>
      <c r="P14" s="12">
        <v>361</v>
      </c>
      <c r="Q14" s="12">
        <v>360</v>
      </c>
      <c r="R14" s="12">
        <v>105</v>
      </c>
      <c r="S14" s="12">
        <v>209</v>
      </c>
      <c r="T14" s="12">
        <v>338</v>
      </c>
      <c r="U14" s="12">
        <v>119</v>
      </c>
      <c r="V14" s="12">
        <v>448</v>
      </c>
      <c r="W14" s="12">
        <v>196</v>
      </c>
      <c r="X14" s="12">
        <v>359</v>
      </c>
      <c r="Y14" s="12">
        <v>290</v>
      </c>
      <c r="Z14" s="12">
        <v>257</v>
      </c>
      <c r="AA14" s="12">
        <v>272</v>
      </c>
      <c r="AB14" s="12">
        <v>347</v>
      </c>
      <c r="AC14" s="12">
        <v>454</v>
      </c>
      <c r="AD14" s="12">
        <v>341</v>
      </c>
      <c r="AE14" s="12">
        <v>123</v>
      </c>
      <c r="AF14" s="12">
        <v>346</v>
      </c>
    </row>
    <row r="15" spans="1:32" ht="121.5" x14ac:dyDescent="0.35">
      <c r="A15" s="31"/>
      <c r="B15" s="13" t="s">
        <v>1001</v>
      </c>
      <c r="C15" s="14">
        <v>0.3</v>
      </c>
      <c r="D15" s="14">
        <v>0.25</v>
      </c>
      <c r="E15" s="14">
        <v>0.37</v>
      </c>
      <c r="F15" s="14">
        <v>0.27</v>
      </c>
      <c r="G15" s="14">
        <v>0.24</v>
      </c>
      <c r="H15" s="14">
        <v>0.31</v>
      </c>
      <c r="I15" s="14">
        <v>0.32</v>
      </c>
      <c r="J15" s="14">
        <v>0.37</v>
      </c>
      <c r="K15" s="14">
        <v>0.19</v>
      </c>
      <c r="L15" s="14">
        <v>0.33</v>
      </c>
      <c r="M15" s="14">
        <v>0.25</v>
      </c>
      <c r="N15" s="14">
        <v>0.25</v>
      </c>
      <c r="O15" s="14">
        <v>0.3</v>
      </c>
      <c r="P15" s="14">
        <v>0.36</v>
      </c>
      <c r="Q15" s="14">
        <v>0.35</v>
      </c>
      <c r="R15" s="14">
        <v>0.21</v>
      </c>
      <c r="S15" s="14">
        <v>0.2</v>
      </c>
      <c r="T15" s="14">
        <v>0.33</v>
      </c>
      <c r="U15" s="14">
        <v>0.23</v>
      </c>
      <c r="V15" s="14">
        <v>0.44</v>
      </c>
      <c r="W15" s="14">
        <v>0.39</v>
      </c>
      <c r="X15" s="14">
        <v>0.36</v>
      </c>
      <c r="Y15" s="14">
        <v>0.28999999999999998</v>
      </c>
      <c r="Z15" s="14">
        <v>0.25</v>
      </c>
      <c r="AA15" s="14">
        <v>0.26</v>
      </c>
      <c r="AB15" s="14">
        <v>0.33</v>
      </c>
      <c r="AC15" s="14">
        <v>0.45</v>
      </c>
      <c r="AD15" s="14">
        <v>0.34</v>
      </c>
      <c r="AE15" s="14">
        <v>0.12</v>
      </c>
      <c r="AF15" s="14">
        <v>0.34</v>
      </c>
    </row>
    <row r="16" spans="1:32" ht="41.5" x14ac:dyDescent="0.35">
      <c r="A16" s="31"/>
      <c r="B16" s="11" t="s">
        <v>1002</v>
      </c>
      <c r="C16" s="12">
        <v>11154</v>
      </c>
      <c r="D16" s="12">
        <v>481</v>
      </c>
      <c r="E16" s="12">
        <v>421</v>
      </c>
      <c r="F16" s="12">
        <v>356</v>
      </c>
      <c r="G16" s="12">
        <v>505</v>
      </c>
      <c r="H16" s="12">
        <v>621</v>
      </c>
      <c r="I16" s="12">
        <v>782</v>
      </c>
      <c r="J16" s="12">
        <v>161</v>
      </c>
      <c r="K16" s="12">
        <v>288</v>
      </c>
      <c r="L16" s="12">
        <v>366</v>
      </c>
      <c r="M16" s="12">
        <v>514</v>
      </c>
      <c r="N16" s="12">
        <v>379</v>
      </c>
      <c r="O16" s="12">
        <v>426</v>
      </c>
      <c r="P16" s="12">
        <v>446</v>
      </c>
      <c r="Q16" s="12">
        <v>459</v>
      </c>
      <c r="R16" s="12">
        <v>203</v>
      </c>
      <c r="S16" s="12">
        <v>379</v>
      </c>
      <c r="T16" s="12">
        <v>390</v>
      </c>
      <c r="U16" s="12">
        <v>189</v>
      </c>
      <c r="V16" s="12">
        <v>372</v>
      </c>
      <c r="W16" s="12">
        <v>198</v>
      </c>
      <c r="X16" s="12">
        <v>476</v>
      </c>
      <c r="Y16" s="12">
        <v>464</v>
      </c>
      <c r="Z16" s="12">
        <v>345</v>
      </c>
      <c r="AA16" s="12">
        <v>352</v>
      </c>
      <c r="AB16" s="12">
        <v>260</v>
      </c>
      <c r="AC16" s="12">
        <v>308</v>
      </c>
      <c r="AD16" s="12">
        <v>460</v>
      </c>
      <c r="AE16" s="12">
        <v>371</v>
      </c>
      <c r="AF16" s="12">
        <v>407</v>
      </c>
    </row>
    <row r="17" spans="1:32" ht="41.5" x14ac:dyDescent="0.35">
      <c r="A17" s="31"/>
      <c r="B17" s="13" t="s">
        <v>1003</v>
      </c>
      <c r="C17" s="14">
        <v>0.42</v>
      </c>
      <c r="D17" s="14">
        <v>0.47</v>
      </c>
      <c r="E17" s="14">
        <v>0.4</v>
      </c>
      <c r="F17" s="14">
        <v>0.35</v>
      </c>
      <c r="G17" s="14">
        <v>0.5</v>
      </c>
      <c r="H17" s="14">
        <v>0.5</v>
      </c>
      <c r="I17" s="14">
        <v>0.51</v>
      </c>
      <c r="J17" s="14">
        <v>0.54</v>
      </c>
      <c r="K17" s="14">
        <v>0.28999999999999998</v>
      </c>
      <c r="L17" s="14">
        <v>0.36</v>
      </c>
      <c r="M17" s="14">
        <v>0.51</v>
      </c>
      <c r="N17" s="14">
        <v>0.38</v>
      </c>
      <c r="O17" s="14">
        <v>0.43</v>
      </c>
      <c r="P17" s="14">
        <v>0.44</v>
      </c>
      <c r="Q17" s="14">
        <v>0.44</v>
      </c>
      <c r="R17" s="14">
        <v>0.41</v>
      </c>
      <c r="S17" s="14">
        <v>0.37</v>
      </c>
      <c r="T17" s="14">
        <v>0.38</v>
      </c>
      <c r="U17" s="14">
        <v>0.37</v>
      </c>
      <c r="V17" s="14">
        <v>0.37</v>
      </c>
      <c r="W17" s="14">
        <v>0.39</v>
      </c>
      <c r="X17" s="14">
        <v>0.47</v>
      </c>
      <c r="Y17" s="14">
        <v>0.46</v>
      </c>
      <c r="Z17" s="14">
        <v>0.34</v>
      </c>
      <c r="AA17" s="14">
        <v>0.34</v>
      </c>
      <c r="AB17" s="14">
        <v>0.25</v>
      </c>
      <c r="AC17" s="14">
        <v>0.3</v>
      </c>
      <c r="AD17" s="14">
        <v>0.46</v>
      </c>
      <c r="AE17" s="14">
        <v>0.37</v>
      </c>
      <c r="AF17" s="14">
        <v>0.4</v>
      </c>
    </row>
    <row r="18" spans="1:32" ht="71.5" x14ac:dyDescent="0.35">
      <c r="A18" s="31"/>
      <c r="B18" s="11" t="s">
        <v>1004</v>
      </c>
      <c r="C18" s="12">
        <v>9834</v>
      </c>
      <c r="D18" s="12">
        <v>351</v>
      </c>
      <c r="E18" s="12">
        <v>350</v>
      </c>
      <c r="F18" s="12">
        <v>258</v>
      </c>
      <c r="G18" s="12">
        <v>434</v>
      </c>
      <c r="H18" s="12">
        <v>462</v>
      </c>
      <c r="I18" s="12">
        <v>595</v>
      </c>
      <c r="J18" s="12">
        <v>133</v>
      </c>
      <c r="K18" s="12">
        <v>201</v>
      </c>
      <c r="L18" s="12">
        <v>323</v>
      </c>
      <c r="M18" s="12">
        <v>308</v>
      </c>
      <c r="N18" s="12">
        <v>306</v>
      </c>
      <c r="O18" s="12">
        <v>395</v>
      </c>
      <c r="P18" s="12">
        <v>403</v>
      </c>
      <c r="Q18" s="12">
        <v>458</v>
      </c>
      <c r="R18" s="12">
        <v>114</v>
      </c>
      <c r="S18" s="12">
        <v>174</v>
      </c>
      <c r="T18" s="12">
        <v>236</v>
      </c>
      <c r="U18" s="12">
        <v>134</v>
      </c>
      <c r="V18" s="12">
        <v>417</v>
      </c>
      <c r="W18" s="12">
        <v>198</v>
      </c>
      <c r="X18" s="12">
        <v>531</v>
      </c>
      <c r="Y18" s="12">
        <v>349</v>
      </c>
      <c r="Z18" s="12">
        <v>293</v>
      </c>
      <c r="AA18" s="12">
        <v>310</v>
      </c>
      <c r="AB18" s="12">
        <v>333</v>
      </c>
      <c r="AC18" s="12">
        <v>397</v>
      </c>
      <c r="AD18" s="12">
        <v>382</v>
      </c>
      <c r="AE18" s="12">
        <v>311</v>
      </c>
      <c r="AF18" s="12">
        <v>576</v>
      </c>
    </row>
    <row r="19" spans="1:32" ht="61.5" x14ac:dyDescent="0.35">
      <c r="A19" s="31"/>
      <c r="B19" s="13" t="s">
        <v>1005</v>
      </c>
      <c r="C19" s="14">
        <v>0.37</v>
      </c>
      <c r="D19" s="14">
        <v>0.34</v>
      </c>
      <c r="E19" s="14">
        <v>0.34</v>
      </c>
      <c r="F19" s="14">
        <v>0.25</v>
      </c>
      <c r="G19" s="14">
        <v>0.43</v>
      </c>
      <c r="H19" s="14">
        <v>0.38</v>
      </c>
      <c r="I19" s="14">
        <v>0.39</v>
      </c>
      <c r="J19" s="14">
        <v>0.45</v>
      </c>
      <c r="K19" s="14">
        <v>0.2</v>
      </c>
      <c r="L19" s="14">
        <v>0.32</v>
      </c>
      <c r="M19" s="14">
        <v>0.31</v>
      </c>
      <c r="N19" s="14">
        <v>0.31</v>
      </c>
      <c r="O19" s="14">
        <v>0.4</v>
      </c>
      <c r="P19" s="14">
        <v>0.4</v>
      </c>
      <c r="Q19" s="14">
        <v>0.44</v>
      </c>
      <c r="R19" s="14">
        <v>0.23</v>
      </c>
      <c r="S19" s="14">
        <v>0.17</v>
      </c>
      <c r="T19" s="14">
        <v>0.23</v>
      </c>
      <c r="U19" s="14">
        <v>0.26</v>
      </c>
      <c r="V19" s="14">
        <v>0.41</v>
      </c>
      <c r="W19" s="14">
        <v>0.4</v>
      </c>
      <c r="X19" s="14">
        <v>0.53</v>
      </c>
      <c r="Y19" s="14">
        <v>0.35</v>
      </c>
      <c r="Z19" s="14">
        <v>0.28999999999999998</v>
      </c>
      <c r="AA19" s="14">
        <v>0.3</v>
      </c>
      <c r="AB19" s="14">
        <v>0.32</v>
      </c>
      <c r="AC19" s="14">
        <v>0.39</v>
      </c>
      <c r="AD19" s="14">
        <v>0.38</v>
      </c>
      <c r="AE19" s="14">
        <v>0.31</v>
      </c>
      <c r="AF19" s="14">
        <v>0.56000000000000005</v>
      </c>
    </row>
    <row r="20" spans="1:32" x14ac:dyDescent="0.35">
      <c r="A20" s="31"/>
      <c r="B20" s="11" t="s">
        <v>1006</v>
      </c>
      <c r="C20" s="12">
        <v>10887</v>
      </c>
      <c r="D20" s="12">
        <v>494</v>
      </c>
      <c r="E20" s="12">
        <v>370</v>
      </c>
      <c r="F20" s="12">
        <v>510</v>
      </c>
      <c r="G20" s="12">
        <v>407</v>
      </c>
      <c r="H20" s="12">
        <v>583</v>
      </c>
      <c r="I20" s="12">
        <v>730</v>
      </c>
      <c r="J20" s="12">
        <v>147</v>
      </c>
      <c r="K20" s="12">
        <v>448</v>
      </c>
      <c r="L20" s="12">
        <v>450</v>
      </c>
      <c r="M20" s="12">
        <v>480</v>
      </c>
      <c r="N20" s="12">
        <v>362</v>
      </c>
      <c r="O20" s="12">
        <v>375</v>
      </c>
      <c r="P20" s="12">
        <v>512</v>
      </c>
      <c r="Q20" s="12">
        <v>391</v>
      </c>
      <c r="R20" s="12">
        <v>280</v>
      </c>
      <c r="S20" s="12">
        <v>432</v>
      </c>
      <c r="T20" s="12">
        <v>417</v>
      </c>
      <c r="U20" s="12">
        <v>155</v>
      </c>
      <c r="V20" s="12">
        <v>365</v>
      </c>
      <c r="W20" s="12">
        <v>241</v>
      </c>
      <c r="X20" s="12">
        <v>480</v>
      </c>
      <c r="Y20" s="12">
        <v>437</v>
      </c>
      <c r="Z20" s="12">
        <v>405</v>
      </c>
      <c r="AA20" s="12">
        <v>426</v>
      </c>
      <c r="AB20" s="12">
        <v>264</v>
      </c>
      <c r="AC20" s="12">
        <v>381</v>
      </c>
      <c r="AD20" s="12">
        <v>464</v>
      </c>
      <c r="AE20" s="12">
        <v>598</v>
      </c>
      <c r="AF20" s="12">
        <v>456</v>
      </c>
    </row>
    <row r="21" spans="1:32" x14ac:dyDescent="0.35">
      <c r="A21" s="31"/>
      <c r="B21" s="13" t="s">
        <v>1007</v>
      </c>
      <c r="C21" s="14">
        <v>0.41</v>
      </c>
      <c r="D21" s="14">
        <v>0.48</v>
      </c>
      <c r="E21" s="14">
        <v>0.36</v>
      </c>
      <c r="F21" s="14">
        <v>0.5</v>
      </c>
      <c r="G21" s="14">
        <v>0.4</v>
      </c>
      <c r="H21" s="14">
        <v>0.47</v>
      </c>
      <c r="I21" s="14">
        <v>0.48</v>
      </c>
      <c r="J21" s="14">
        <v>0.49</v>
      </c>
      <c r="K21" s="14">
        <v>0.44</v>
      </c>
      <c r="L21" s="14">
        <v>0.45</v>
      </c>
      <c r="M21" s="14">
        <v>0.48</v>
      </c>
      <c r="N21" s="14">
        <v>0.36</v>
      </c>
      <c r="O21" s="14">
        <v>0.37</v>
      </c>
      <c r="P21" s="14">
        <v>0.51</v>
      </c>
      <c r="Q21" s="14">
        <v>0.38</v>
      </c>
      <c r="R21" s="14">
        <v>0.56000000000000005</v>
      </c>
      <c r="S21" s="14">
        <v>0.42</v>
      </c>
      <c r="T21" s="14">
        <v>0.41</v>
      </c>
      <c r="U21" s="14">
        <v>0.3</v>
      </c>
      <c r="V21" s="14">
        <v>0.36</v>
      </c>
      <c r="W21" s="14">
        <v>0.48</v>
      </c>
      <c r="X21" s="14">
        <v>0.48</v>
      </c>
      <c r="Y21" s="14">
        <v>0.44</v>
      </c>
      <c r="Z21" s="14">
        <v>0.4</v>
      </c>
      <c r="AA21" s="14">
        <v>0.41</v>
      </c>
      <c r="AB21" s="14">
        <v>0.25</v>
      </c>
      <c r="AC21" s="14">
        <v>0.38</v>
      </c>
      <c r="AD21" s="14">
        <v>0.46</v>
      </c>
      <c r="AE21" s="14">
        <v>0.59</v>
      </c>
      <c r="AF21" s="14">
        <v>0.45</v>
      </c>
    </row>
    <row r="22" spans="1:32" x14ac:dyDescent="0.35">
      <c r="A22" s="31"/>
      <c r="B22" s="11" t="s">
        <v>407</v>
      </c>
      <c r="C22" s="12">
        <v>147</v>
      </c>
      <c r="D22" s="12">
        <v>5</v>
      </c>
      <c r="E22" s="12">
        <v>6</v>
      </c>
      <c r="F22" s="12">
        <v>3</v>
      </c>
      <c r="G22" s="12">
        <v>4</v>
      </c>
      <c r="H22" s="12">
        <v>6</v>
      </c>
      <c r="I22" s="12">
        <v>7</v>
      </c>
      <c r="J22" s="12">
        <v>1</v>
      </c>
      <c r="K22" s="12">
        <v>36</v>
      </c>
      <c r="L22" s="12">
        <v>4</v>
      </c>
      <c r="M22" s="12">
        <v>2</v>
      </c>
      <c r="N22" s="12">
        <v>9</v>
      </c>
      <c r="O22" s="12">
        <v>6</v>
      </c>
      <c r="P22" s="12">
        <v>9</v>
      </c>
      <c r="Q22" s="12">
        <v>5</v>
      </c>
      <c r="R22" s="12">
        <v>4</v>
      </c>
      <c r="S22" s="12">
        <v>9</v>
      </c>
      <c r="T22" s="12">
        <v>11</v>
      </c>
      <c r="U22" s="12">
        <v>2</v>
      </c>
      <c r="V22" s="12">
        <v>0</v>
      </c>
      <c r="W22" s="12">
        <v>6</v>
      </c>
      <c r="X22" s="12">
        <v>3</v>
      </c>
      <c r="Y22" s="12">
        <v>17</v>
      </c>
      <c r="Z22" s="12">
        <v>0</v>
      </c>
      <c r="AA22" s="12">
        <v>10</v>
      </c>
      <c r="AB22" s="12">
        <v>9</v>
      </c>
      <c r="AC22" s="12">
        <v>8</v>
      </c>
      <c r="AD22" s="12">
        <v>8</v>
      </c>
      <c r="AE22" s="12">
        <v>5</v>
      </c>
      <c r="AF22" s="12">
        <v>4</v>
      </c>
    </row>
    <row r="23" spans="1:32" x14ac:dyDescent="0.35">
      <c r="A23" s="31"/>
      <c r="B23" s="13" t="s">
        <v>408</v>
      </c>
      <c r="C23" s="14">
        <v>0.01</v>
      </c>
      <c r="D23" s="14">
        <v>0.01</v>
      </c>
      <c r="E23" s="14">
        <v>0.01</v>
      </c>
      <c r="F23" s="15" t="s">
        <v>333</v>
      </c>
      <c r="G23" s="15" t="s">
        <v>333</v>
      </c>
      <c r="H23" s="14">
        <v>0.01</v>
      </c>
      <c r="I23" s="15" t="s">
        <v>333</v>
      </c>
      <c r="J23" s="15" t="s">
        <v>333</v>
      </c>
      <c r="K23" s="14">
        <v>0.04</v>
      </c>
      <c r="L23" s="15" t="s">
        <v>333</v>
      </c>
      <c r="M23" s="15" t="s">
        <v>333</v>
      </c>
      <c r="N23" s="14">
        <v>0.01</v>
      </c>
      <c r="O23" s="14">
        <v>0.01</v>
      </c>
      <c r="P23" s="14">
        <v>0.01</v>
      </c>
      <c r="Q23" s="15" t="s">
        <v>333</v>
      </c>
      <c r="R23" s="14">
        <v>0.01</v>
      </c>
      <c r="S23" s="14">
        <v>0.01</v>
      </c>
      <c r="T23" s="14">
        <v>0.01</v>
      </c>
      <c r="U23" s="15" t="s">
        <v>333</v>
      </c>
      <c r="V23" s="15" t="s">
        <v>333</v>
      </c>
      <c r="W23" s="14">
        <v>0.01</v>
      </c>
      <c r="X23" s="15" t="s">
        <v>333</v>
      </c>
      <c r="Y23" s="14">
        <v>0.02</v>
      </c>
      <c r="Z23" s="15" t="s">
        <v>333</v>
      </c>
      <c r="AA23" s="14">
        <v>0.01</v>
      </c>
      <c r="AB23" s="14">
        <v>0.01</v>
      </c>
      <c r="AC23" s="14">
        <v>0.01</v>
      </c>
      <c r="AD23" s="14">
        <v>0.01</v>
      </c>
      <c r="AE23" s="15" t="s">
        <v>333</v>
      </c>
      <c r="AF23" s="15" t="s">
        <v>333</v>
      </c>
    </row>
    <row r="24" spans="1:32" ht="21.5" x14ac:dyDescent="0.35">
      <c r="A24" s="31"/>
      <c r="B24" s="11" t="s">
        <v>885</v>
      </c>
      <c r="C24" s="12">
        <v>496</v>
      </c>
      <c r="D24" s="12">
        <v>8</v>
      </c>
      <c r="E24" s="12">
        <v>21</v>
      </c>
      <c r="F24" s="12">
        <v>26</v>
      </c>
      <c r="G24" s="12">
        <v>20</v>
      </c>
      <c r="H24" s="12">
        <v>20</v>
      </c>
      <c r="I24" s="12">
        <v>24</v>
      </c>
      <c r="J24" s="12">
        <v>4</v>
      </c>
      <c r="K24" s="12">
        <v>47</v>
      </c>
      <c r="L24" s="12">
        <v>12</v>
      </c>
      <c r="M24" s="12">
        <v>29</v>
      </c>
      <c r="N24" s="12">
        <v>22</v>
      </c>
      <c r="O24" s="12">
        <v>12</v>
      </c>
      <c r="P24" s="12">
        <v>9</v>
      </c>
      <c r="Q24" s="12">
        <v>26</v>
      </c>
      <c r="R24" s="12">
        <v>22</v>
      </c>
      <c r="S24" s="12">
        <v>17</v>
      </c>
      <c r="T24" s="12">
        <v>19</v>
      </c>
      <c r="U24" s="12">
        <v>14</v>
      </c>
      <c r="V24" s="12">
        <v>7</v>
      </c>
      <c r="W24" s="12">
        <v>22</v>
      </c>
      <c r="X24" s="12">
        <v>2</v>
      </c>
      <c r="Y24" s="12">
        <v>29</v>
      </c>
      <c r="Z24" s="12">
        <v>25</v>
      </c>
      <c r="AA24" s="12">
        <v>20</v>
      </c>
      <c r="AB24" s="12">
        <v>35</v>
      </c>
      <c r="AC24" s="12">
        <v>20</v>
      </c>
      <c r="AD24" s="12">
        <v>11</v>
      </c>
      <c r="AE24" s="12">
        <v>26</v>
      </c>
      <c r="AF24" s="12">
        <v>12</v>
      </c>
    </row>
    <row r="25" spans="1:32" x14ac:dyDescent="0.35">
      <c r="A25" s="31"/>
      <c r="B25" s="13" t="s">
        <v>453</v>
      </c>
      <c r="C25" s="14">
        <v>0.02</v>
      </c>
      <c r="D25" s="14">
        <v>0.01</v>
      </c>
      <c r="E25" s="14">
        <v>0.02</v>
      </c>
      <c r="F25" s="14">
        <v>0.03</v>
      </c>
      <c r="G25" s="14">
        <v>0.02</v>
      </c>
      <c r="H25" s="14">
        <v>0.02</v>
      </c>
      <c r="I25" s="14">
        <v>0.02</v>
      </c>
      <c r="J25" s="14">
        <v>0.01</v>
      </c>
      <c r="K25" s="14">
        <v>0.05</v>
      </c>
      <c r="L25" s="14">
        <v>0.01</v>
      </c>
      <c r="M25" s="14">
        <v>0.03</v>
      </c>
      <c r="N25" s="14">
        <v>0.02</v>
      </c>
      <c r="O25" s="14">
        <v>0.01</v>
      </c>
      <c r="P25" s="14">
        <v>0.01</v>
      </c>
      <c r="Q25" s="14">
        <v>0.03</v>
      </c>
      <c r="R25" s="14">
        <v>0.04</v>
      </c>
      <c r="S25" s="14">
        <v>0.02</v>
      </c>
      <c r="T25" s="14">
        <v>0.02</v>
      </c>
      <c r="U25" s="14">
        <v>0.03</v>
      </c>
      <c r="V25" s="14">
        <v>0.01</v>
      </c>
      <c r="W25" s="14">
        <v>0.04</v>
      </c>
      <c r="X25" s="15" t="s">
        <v>333</v>
      </c>
      <c r="Y25" s="14">
        <v>0.03</v>
      </c>
      <c r="Z25" s="14">
        <v>0.02</v>
      </c>
      <c r="AA25" s="14">
        <v>0.02</v>
      </c>
      <c r="AB25" s="14">
        <v>0.03</v>
      </c>
      <c r="AC25" s="14">
        <v>0.02</v>
      </c>
      <c r="AD25" s="14">
        <v>0.01</v>
      </c>
      <c r="AE25" s="14">
        <v>0.03</v>
      </c>
      <c r="AF25" s="14">
        <v>0.01</v>
      </c>
    </row>
    <row r="26" spans="1:32" x14ac:dyDescent="0.35">
      <c r="A26" s="31"/>
      <c r="B26" s="11" t="s">
        <v>344</v>
      </c>
      <c r="C26" s="12">
        <v>2350</v>
      </c>
      <c r="D26" s="12">
        <v>35</v>
      </c>
      <c r="E26" s="12">
        <v>108</v>
      </c>
      <c r="F26" s="12">
        <v>67</v>
      </c>
      <c r="G26" s="12">
        <v>92</v>
      </c>
      <c r="H26" s="12">
        <v>84</v>
      </c>
      <c r="I26" s="12">
        <v>89</v>
      </c>
      <c r="J26" s="12">
        <v>5</v>
      </c>
      <c r="K26" s="12">
        <v>144</v>
      </c>
      <c r="L26" s="12">
        <v>108</v>
      </c>
      <c r="M26" s="12">
        <v>117</v>
      </c>
      <c r="N26" s="12">
        <v>168</v>
      </c>
      <c r="O26" s="12">
        <v>141</v>
      </c>
      <c r="P26" s="12">
        <v>25</v>
      </c>
      <c r="Q26" s="12">
        <v>62</v>
      </c>
      <c r="R26" s="12">
        <v>48</v>
      </c>
      <c r="S26" s="12">
        <v>153</v>
      </c>
      <c r="T26" s="12">
        <v>133</v>
      </c>
      <c r="U26" s="12">
        <v>74</v>
      </c>
      <c r="V26" s="12">
        <v>21</v>
      </c>
      <c r="W26" s="12">
        <v>27</v>
      </c>
      <c r="X26" s="12">
        <v>20</v>
      </c>
      <c r="Y26" s="12">
        <v>112</v>
      </c>
      <c r="Z26" s="12">
        <v>65</v>
      </c>
      <c r="AA26" s="12">
        <v>145</v>
      </c>
      <c r="AB26" s="12">
        <v>93</v>
      </c>
      <c r="AC26" s="12">
        <v>43</v>
      </c>
      <c r="AD26" s="12">
        <v>59</v>
      </c>
      <c r="AE26" s="12">
        <v>101</v>
      </c>
      <c r="AF26" s="12">
        <v>47</v>
      </c>
    </row>
    <row r="27" spans="1:32" x14ac:dyDescent="0.35">
      <c r="A27" s="31"/>
      <c r="B27" s="13" t="s">
        <v>345</v>
      </c>
      <c r="C27" s="14">
        <v>0.09</v>
      </c>
      <c r="D27" s="14">
        <v>0.03</v>
      </c>
      <c r="E27" s="14">
        <v>0.1</v>
      </c>
      <c r="F27" s="14">
        <v>7.0000000000000007E-2</v>
      </c>
      <c r="G27" s="14">
        <v>0.09</v>
      </c>
      <c r="H27" s="14">
        <v>7.0000000000000007E-2</v>
      </c>
      <c r="I27" s="14">
        <v>0.06</v>
      </c>
      <c r="J27" s="14">
        <v>0.02</v>
      </c>
      <c r="K27" s="14">
        <v>0.14000000000000001</v>
      </c>
      <c r="L27" s="14">
        <v>0.11</v>
      </c>
      <c r="M27" s="14">
        <v>0.12</v>
      </c>
      <c r="N27" s="14">
        <v>0.17</v>
      </c>
      <c r="O27" s="14">
        <v>0.14000000000000001</v>
      </c>
      <c r="P27" s="14">
        <v>0.03</v>
      </c>
      <c r="Q27" s="14">
        <v>0.06</v>
      </c>
      <c r="R27" s="14">
        <v>0.1</v>
      </c>
      <c r="S27" s="14">
        <v>0.15</v>
      </c>
      <c r="T27" s="14">
        <v>0.13</v>
      </c>
      <c r="U27" s="14">
        <v>0.14000000000000001</v>
      </c>
      <c r="V27" s="14">
        <v>0.02</v>
      </c>
      <c r="W27" s="14">
        <v>0.05</v>
      </c>
      <c r="X27" s="14">
        <v>0.02</v>
      </c>
      <c r="Y27" s="14">
        <v>0.11</v>
      </c>
      <c r="Z27" s="14">
        <v>0.06</v>
      </c>
      <c r="AA27" s="14">
        <v>0.14000000000000001</v>
      </c>
      <c r="AB27" s="14">
        <v>0.09</v>
      </c>
      <c r="AC27" s="14">
        <v>0.04</v>
      </c>
      <c r="AD27" s="14">
        <v>0.06</v>
      </c>
      <c r="AE27" s="14">
        <v>0.1</v>
      </c>
      <c r="AF27" s="14">
        <v>0.05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181</v>
      </c>
      <c r="C3" s="30"/>
      <c r="D3" s="30"/>
      <c r="E3" s="30"/>
      <c r="F3" s="30"/>
      <c r="H3" s="30" t="s">
        <v>182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1008</v>
      </c>
      <c r="C12" s="12">
        <v>9605</v>
      </c>
      <c r="D12" s="12">
        <v>377</v>
      </c>
      <c r="E12" s="12">
        <v>339</v>
      </c>
      <c r="F12" s="12">
        <v>300</v>
      </c>
      <c r="G12" s="12">
        <v>575</v>
      </c>
      <c r="H12" s="12">
        <v>654</v>
      </c>
      <c r="I12" s="12">
        <v>754</v>
      </c>
      <c r="J12" s="12">
        <v>101</v>
      </c>
      <c r="K12" s="12">
        <v>283</v>
      </c>
      <c r="L12" s="12">
        <v>490</v>
      </c>
      <c r="M12" s="12">
        <v>173</v>
      </c>
      <c r="N12" s="12">
        <v>260</v>
      </c>
      <c r="O12" s="12">
        <v>276</v>
      </c>
      <c r="P12" s="12">
        <v>272</v>
      </c>
      <c r="Q12" s="12">
        <v>302</v>
      </c>
      <c r="R12" s="12">
        <v>187</v>
      </c>
      <c r="S12" s="12">
        <v>273</v>
      </c>
      <c r="T12" s="12">
        <v>292</v>
      </c>
      <c r="U12" s="12">
        <v>228</v>
      </c>
      <c r="V12" s="12">
        <v>159</v>
      </c>
      <c r="W12" s="12">
        <v>232</v>
      </c>
      <c r="X12" s="12">
        <v>555</v>
      </c>
      <c r="Y12" s="12">
        <v>442</v>
      </c>
      <c r="Z12" s="12">
        <v>358</v>
      </c>
      <c r="AA12" s="12">
        <v>489</v>
      </c>
      <c r="AB12" s="12">
        <v>294</v>
      </c>
      <c r="AC12" s="12">
        <v>308</v>
      </c>
      <c r="AD12" s="12">
        <v>424</v>
      </c>
      <c r="AE12" s="12">
        <v>459</v>
      </c>
      <c r="AF12" s="12">
        <v>809</v>
      </c>
    </row>
    <row r="13" spans="1:32" ht="21.5" x14ac:dyDescent="0.35">
      <c r="A13" s="31"/>
      <c r="B13" s="13" t="s">
        <v>1009</v>
      </c>
      <c r="C13" s="14">
        <v>0.36</v>
      </c>
      <c r="D13" s="14">
        <v>0.37</v>
      </c>
      <c r="E13" s="14">
        <v>0.33</v>
      </c>
      <c r="F13" s="14">
        <v>0.28999999999999998</v>
      </c>
      <c r="G13" s="14">
        <v>0.57000000000000006</v>
      </c>
      <c r="H13" s="14">
        <v>0.53</v>
      </c>
      <c r="I13" s="14">
        <v>0.49</v>
      </c>
      <c r="J13" s="14">
        <v>0.34</v>
      </c>
      <c r="K13" s="14">
        <v>0.28000000000000003</v>
      </c>
      <c r="L13" s="14">
        <v>0.49</v>
      </c>
      <c r="M13" s="14">
        <v>0.17</v>
      </c>
      <c r="N13" s="14">
        <v>0.26</v>
      </c>
      <c r="O13" s="14">
        <v>0.28000000000000003</v>
      </c>
      <c r="P13" s="14">
        <v>0.27</v>
      </c>
      <c r="Q13" s="14">
        <v>0.28999999999999998</v>
      </c>
      <c r="R13" s="14">
        <v>0.37</v>
      </c>
      <c r="S13" s="14">
        <v>0.27</v>
      </c>
      <c r="T13" s="14">
        <v>0.28999999999999998</v>
      </c>
      <c r="U13" s="14">
        <v>0.45</v>
      </c>
      <c r="V13" s="14">
        <v>0.16</v>
      </c>
      <c r="W13" s="14">
        <v>0.46</v>
      </c>
      <c r="X13" s="14">
        <v>0.55000000000000004</v>
      </c>
      <c r="Y13" s="14">
        <v>0.44</v>
      </c>
      <c r="Z13" s="14">
        <v>0.35</v>
      </c>
      <c r="AA13" s="14">
        <v>0.48</v>
      </c>
      <c r="AB13" s="14">
        <v>0.28000000000000003</v>
      </c>
      <c r="AC13" s="14">
        <v>0.3</v>
      </c>
      <c r="AD13" s="14">
        <v>0.42</v>
      </c>
      <c r="AE13" s="14">
        <v>0.46</v>
      </c>
      <c r="AF13" s="14">
        <v>0.79</v>
      </c>
    </row>
    <row r="14" spans="1:32" ht="31.5" x14ac:dyDescent="0.35">
      <c r="A14" s="31"/>
      <c r="B14" s="11" t="s">
        <v>1010</v>
      </c>
      <c r="C14" s="12">
        <v>9108</v>
      </c>
      <c r="D14" s="12">
        <v>365</v>
      </c>
      <c r="E14" s="12">
        <v>314</v>
      </c>
      <c r="F14" s="12">
        <v>366</v>
      </c>
      <c r="G14" s="12">
        <v>227</v>
      </c>
      <c r="H14" s="12">
        <v>236</v>
      </c>
      <c r="I14" s="12">
        <v>310</v>
      </c>
      <c r="J14" s="12">
        <v>74</v>
      </c>
      <c r="K14" s="12">
        <v>324</v>
      </c>
      <c r="L14" s="12">
        <v>212</v>
      </c>
      <c r="M14" s="12">
        <v>244</v>
      </c>
      <c r="N14" s="12">
        <v>392</v>
      </c>
      <c r="O14" s="12">
        <v>363</v>
      </c>
      <c r="P14" s="12">
        <v>420</v>
      </c>
      <c r="Q14" s="12">
        <v>500</v>
      </c>
      <c r="R14" s="12">
        <v>157</v>
      </c>
      <c r="S14" s="12">
        <v>384</v>
      </c>
      <c r="T14" s="12">
        <v>446</v>
      </c>
      <c r="U14" s="12">
        <v>159</v>
      </c>
      <c r="V14" s="12">
        <v>554</v>
      </c>
      <c r="W14" s="12">
        <v>150</v>
      </c>
      <c r="X14" s="12">
        <v>303</v>
      </c>
      <c r="Y14" s="12">
        <v>284</v>
      </c>
      <c r="Z14" s="12">
        <v>459</v>
      </c>
      <c r="AA14" s="12">
        <v>321</v>
      </c>
      <c r="AB14" s="12">
        <v>402</v>
      </c>
      <c r="AC14" s="12">
        <v>226</v>
      </c>
      <c r="AD14" s="12">
        <v>286</v>
      </c>
      <c r="AE14" s="12">
        <v>367</v>
      </c>
      <c r="AF14" s="12">
        <v>130</v>
      </c>
    </row>
    <row r="15" spans="1:32" ht="21.5" x14ac:dyDescent="0.35">
      <c r="A15" s="31"/>
      <c r="B15" s="13" t="s">
        <v>1011</v>
      </c>
      <c r="C15" s="14">
        <v>0.35</v>
      </c>
      <c r="D15" s="14">
        <v>0.36</v>
      </c>
      <c r="E15" s="14">
        <v>0.3</v>
      </c>
      <c r="F15" s="14">
        <v>0.36</v>
      </c>
      <c r="G15" s="14">
        <v>0.22</v>
      </c>
      <c r="H15" s="14">
        <v>0.19</v>
      </c>
      <c r="I15" s="14">
        <v>0.2</v>
      </c>
      <c r="J15" s="14">
        <v>0.25</v>
      </c>
      <c r="K15" s="14">
        <v>0.32</v>
      </c>
      <c r="L15" s="14">
        <v>0.21</v>
      </c>
      <c r="M15" s="14">
        <v>0.24</v>
      </c>
      <c r="N15" s="14">
        <v>0.39</v>
      </c>
      <c r="O15" s="14">
        <v>0.36</v>
      </c>
      <c r="P15" s="14">
        <v>0.42</v>
      </c>
      <c r="Q15" s="14">
        <v>0.48</v>
      </c>
      <c r="R15" s="14">
        <v>0.31</v>
      </c>
      <c r="S15" s="14">
        <v>0.38</v>
      </c>
      <c r="T15" s="14">
        <v>0.44</v>
      </c>
      <c r="U15" s="14">
        <v>0.31</v>
      </c>
      <c r="V15" s="14">
        <v>0.54</v>
      </c>
      <c r="W15" s="14">
        <v>0.3</v>
      </c>
      <c r="X15" s="14">
        <v>0.3</v>
      </c>
      <c r="Y15" s="14">
        <v>0.28000000000000003</v>
      </c>
      <c r="Z15" s="14">
        <v>0.45</v>
      </c>
      <c r="AA15" s="14">
        <v>0.31</v>
      </c>
      <c r="AB15" s="14">
        <v>0.38</v>
      </c>
      <c r="AC15" s="14">
        <v>0.22</v>
      </c>
      <c r="AD15" s="14">
        <v>0.28999999999999998</v>
      </c>
      <c r="AE15" s="14">
        <v>0.36</v>
      </c>
      <c r="AF15" s="14">
        <v>0.13</v>
      </c>
    </row>
    <row r="16" spans="1:32" ht="21.5" x14ac:dyDescent="0.35">
      <c r="A16" s="31"/>
      <c r="B16" s="11" t="s">
        <v>1012</v>
      </c>
      <c r="C16" s="12">
        <v>6100</v>
      </c>
      <c r="D16" s="12">
        <v>248</v>
      </c>
      <c r="E16" s="12">
        <v>258</v>
      </c>
      <c r="F16" s="12">
        <v>303</v>
      </c>
      <c r="G16" s="12">
        <v>134</v>
      </c>
      <c r="H16" s="12">
        <v>242</v>
      </c>
      <c r="I16" s="12">
        <v>353</v>
      </c>
      <c r="J16" s="12">
        <v>111</v>
      </c>
      <c r="K16" s="12">
        <v>270</v>
      </c>
      <c r="L16" s="12">
        <v>214</v>
      </c>
      <c r="M16" s="12">
        <v>564</v>
      </c>
      <c r="N16" s="12">
        <v>304</v>
      </c>
      <c r="O16" s="12">
        <v>310</v>
      </c>
      <c r="P16" s="12">
        <v>257</v>
      </c>
      <c r="Q16" s="12">
        <v>176</v>
      </c>
      <c r="R16" s="12">
        <v>116</v>
      </c>
      <c r="S16" s="12">
        <v>267</v>
      </c>
      <c r="T16" s="12">
        <v>194</v>
      </c>
      <c r="U16" s="12">
        <v>103</v>
      </c>
      <c r="V16" s="12">
        <v>254</v>
      </c>
      <c r="W16" s="12">
        <v>71</v>
      </c>
      <c r="X16" s="12">
        <v>126</v>
      </c>
      <c r="Y16" s="12">
        <v>199</v>
      </c>
      <c r="Z16" s="12">
        <v>133</v>
      </c>
      <c r="AA16" s="12">
        <v>107</v>
      </c>
      <c r="AB16" s="12">
        <v>239</v>
      </c>
      <c r="AC16" s="12">
        <v>414</v>
      </c>
      <c r="AD16" s="12">
        <v>265</v>
      </c>
      <c r="AE16" s="12">
        <v>103</v>
      </c>
      <c r="AF16" s="12">
        <v>67</v>
      </c>
    </row>
    <row r="17" spans="1:32" ht="21.5" x14ac:dyDescent="0.35">
      <c r="A17" s="31"/>
      <c r="B17" s="13" t="s">
        <v>1013</v>
      </c>
      <c r="C17" s="14">
        <v>0.23</v>
      </c>
      <c r="D17" s="14">
        <v>0.24</v>
      </c>
      <c r="E17" s="14">
        <v>0.25</v>
      </c>
      <c r="F17" s="14">
        <v>0.3</v>
      </c>
      <c r="G17" s="14">
        <v>0.13</v>
      </c>
      <c r="H17" s="14">
        <v>0.2</v>
      </c>
      <c r="I17" s="14">
        <v>0.23</v>
      </c>
      <c r="J17" s="14">
        <v>0.37</v>
      </c>
      <c r="K17" s="14">
        <v>0.27</v>
      </c>
      <c r="L17" s="14">
        <v>0.21</v>
      </c>
      <c r="M17" s="14">
        <v>0.56000000000000005</v>
      </c>
      <c r="N17" s="14">
        <v>0.3</v>
      </c>
      <c r="O17" s="14">
        <v>0.31</v>
      </c>
      <c r="P17" s="14">
        <v>0.26</v>
      </c>
      <c r="Q17" s="14">
        <v>0.17</v>
      </c>
      <c r="R17" s="14">
        <v>0.23</v>
      </c>
      <c r="S17" s="14">
        <v>0.26</v>
      </c>
      <c r="T17" s="14">
        <v>0.19</v>
      </c>
      <c r="U17" s="14">
        <v>0.2</v>
      </c>
      <c r="V17" s="14">
        <v>0.25</v>
      </c>
      <c r="W17" s="14">
        <v>0.14000000000000001</v>
      </c>
      <c r="X17" s="14">
        <v>0.13</v>
      </c>
      <c r="Y17" s="14">
        <v>0.2</v>
      </c>
      <c r="Z17" s="14">
        <v>0.13</v>
      </c>
      <c r="AA17" s="14">
        <v>0.1</v>
      </c>
      <c r="AB17" s="14">
        <v>0.23</v>
      </c>
      <c r="AC17" s="14">
        <v>0.41</v>
      </c>
      <c r="AD17" s="14">
        <v>0.26</v>
      </c>
      <c r="AE17" s="14">
        <v>0.1</v>
      </c>
      <c r="AF17" s="14">
        <v>7.0000000000000007E-2</v>
      </c>
    </row>
    <row r="18" spans="1:32" x14ac:dyDescent="0.35">
      <c r="A18" s="31"/>
      <c r="B18" s="11" t="s">
        <v>1014</v>
      </c>
      <c r="C18" s="12">
        <v>735</v>
      </c>
      <c r="D18" s="12">
        <v>21</v>
      </c>
      <c r="E18" s="12">
        <v>62</v>
      </c>
      <c r="F18" s="12">
        <v>15</v>
      </c>
      <c r="G18" s="12">
        <v>28</v>
      </c>
      <c r="H18" s="12">
        <v>66</v>
      </c>
      <c r="I18" s="12">
        <v>73</v>
      </c>
      <c r="J18" s="12">
        <v>7</v>
      </c>
      <c r="K18" s="12">
        <v>75</v>
      </c>
      <c r="L18" s="12">
        <v>43</v>
      </c>
      <c r="M18" s="12">
        <v>14</v>
      </c>
      <c r="N18" s="12">
        <v>18</v>
      </c>
      <c r="O18" s="12">
        <v>23</v>
      </c>
      <c r="P18" s="12">
        <v>25</v>
      </c>
      <c r="Q18" s="12">
        <v>26</v>
      </c>
      <c r="R18" s="12">
        <v>14</v>
      </c>
      <c r="S18" s="12">
        <v>29</v>
      </c>
      <c r="T18" s="12">
        <v>25</v>
      </c>
      <c r="U18" s="12">
        <v>12</v>
      </c>
      <c r="V18" s="12">
        <v>18</v>
      </c>
      <c r="W18" s="12">
        <v>2</v>
      </c>
      <c r="X18" s="12">
        <v>13</v>
      </c>
      <c r="Y18" s="12">
        <v>45</v>
      </c>
      <c r="Z18" s="12">
        <v>19</v>
      </c>
      <c r="AA18" s="12">
        <v>31</v>
      </c>
      <c r="AB18" s="12">
        <v>42</v>
      </c>
      <c r="AC18" s="12">
        <v>45</v>
      </c>
      <c r="AD18" s="12">
        <v>21</v>
      </c>
      <c r="AE18" s="12">
        <v>15</v>
      </c>
      <c r="AF18" s="12">
        <v>5</v>
      </c>
    </row>
    <row r="19" spans="1:32" ht="21.5" x14ac:dyDescent="0.35">
      <c r="A19" s="31"/>
      <c r="B19" s="13" t="s">
        <v>1015</v>
      </c>
      <c r="C19" s="14">
        <v>0.03</v>
      </c>
      <c r="D19" s="14">
        <v>0.02</v>
      </c>
      <c r="E19" s="14">
        <v>0.06</v>
      </c>
      <c r="F19" s="14">
        <v>0.01</v>
      </c>
      <c r="G19" s="14">
        <v>0.03</v>
      </c>
      <c r="H19" s="14">
        <v>0.05</v>
      </c>
      <c r="I19" s="14">
        <v>0.05</v>
      </c>
      <c r="J19" s="14">
        <v>0.02</v>
      </c>
      <c r="K19" s="14">
        <v>7.0000000000000007E-2</v>
      </c>
      <c r="L19" s="14">
        <v>0.04</v>
      </c>
      <c r="M19" s="14">
        <v>0.02</v>
      </c>
      <c r="N19" s="14">
        <v>0.02</v>
      </c>
      <c r="O19" s="14">
        <v>0.02</v>
      </c>
      <c r="P19" s="14">
        <v>0.02</v>
      </c>
      <c r="Q19" s="14">
        <v>0.03</v>
      </c>
      <c r="R19" s="14">
        <v>0.03</v>
      </c>
      <c r="S19" s="14">
        <v>0.03</v>
      </c>
      <c r="T19" s="14">
        <v>0.02</v>
      </c>
      <c r="U19" s="14">
        <v>0.02</v>
      </c>
      <c r="V19" s="14">
        <v>0.02</v>
      </c>
      <c r="W19" s="14">
        <v>0.01</v>
      </c>
      <c r="X19" s="14">
        <v>0.01</v>
      </c>
      <c r="Y19" s="14">
        <v>0.05</v>
      </c>
      <c r="Z19" s="14">
        <v>0.02</v>
      </c>
      <c r="AA19" s="14">
        <v>0.03</v>
      </c>
      <c r="AB19" s="14">
        <v>0.04</v>
      </c>
      <c r="AC19" s="14">
        <v>0.05</v>
      </c>
      <c r="AD19" s="14">
        <v>0.02</v>
      </c>
      <c r="AE19" s="14">
        <v>0.02</v>
      </c>
      <c r="AF19" s="15" t="s">
        <v>333</v>
      </c>
    </row>
    <row r="20" spans="1:32" x14ac:dyDescent="0.35">
      <c r="A20" s="31"/>
      <c r="B20" s="11" t="s">
        <v>344</v>
      </c>
      <c r="C20" s="12">
        <v>863</v>
      </c>
      <c r="D20" s="12">
        <v>13</v>
      </c>
      <c r="E20" s="12">
        <v>66</v>
      </c>
      <c r="F20" s="12">
        <v>35</v>
      </c>
      <c r="G20" s="12">
        <v>53</v>
      </c>
      <c r="H20" s="12">
        <v>35</v>
      </c>
      <c r="I20" s="12">
        <v>40</v>
      </c>
      <c r="J20" s="12">
        <v>5</v>
      </c>
      <c r="K20" s="12">
        <v>56</v>
      </c>
      <c r="L20" s="12">
        <v>45</v>
      </c>
      <c r="M20" s="12">
        <v>9</v>
      </c>
      <c r="N20" s="12">
        <v>26</v>
      </c>
      <c r="O20" s="12">
        <v>28</v>
      </c>
      <c r="P20" s="12">
        <v>29</v>
      </c>
      <c r="Q20" s="12">
        <v>30</v>
      </c>
      <c r="R20" s="12">
        <v>27</v>
      </c>
      <c r="S20" s="12">
        <v>68</v>
      </c>
      <c r="T20" s="12">
        <v>60</v>
      </c>
      <c r="U20" s="12">
        <v>7</v>
      </c>
      <c r="V20" s="12">
        <v>28</v>
      </c>
      <c r="W20" s="12">
        <v>47</v>
      </c>
      <c r="X20" s="12">
        <v>13</v>
      </c>
      <c r="Y20" s="12">
        <v>33</v>
      </c>
      <c r="Z20" s="12">
        <v>50</v>
      </c>
      <c r="AA20" s="12">
        <v>83</v>
      </c>
      <c r="AB20" s="12">
        <v>79</v>
      </c>
      <c r="AC20" s="12">
        <v>20</v>
      </c>
      <c r="AD20" s="12">
        <v>8</v>
      </c>
      <c r="AE20" s="12">
        <v>63</v>
      </c>
      <c r="AF20" s="12">
        <v>10</v>
      </c>
    </row>
    <row r="21" spans="1:32" x14ac:dyDescent="0.35">
      <c r="A21" s="31"/>
      <c r="B21" s="13" t="s">
        <v>357</v>
      </c>
      <c r="C21" s="14">
        <v>0.03</v>
      </c>
      <c r="D21" s="14">
        <v>0.01</v>
      </c>
      <c r="E21" s="14">
        <v>0.06</v>
      </c>
      <c r="F21" s="14">
        <v>0.04</v>
      </c>
      <c r="G21" s="14">
        <v>0.05</v>
      </c>
      <c r="H21" s="14">
        <v>0.03</v>
      </c>
      <c r="I21" s="14">
        <v>0.03</v>
      </c>
      <c r="J21" s="14">
        <v>0.02</v>
      </c>
      <c r="K21" s="14">
        <v>0.06</v>
      </c>
      <c r="L21" s="14">
        <v>0.05</v>
      </c>
      <c r="M21" s="14">
        <v>0.01</v>
      </c>
      <c r="N21" s="14">
        <v>0.03</v>
      </c>
      <c r="O21" s="14">
        <v>0.03</v>
      </c>
      <c r="P21" s="14">
        <v>0.03</v>
      </c>
      <c r="Q21" s="14">
        <v>0.03</v>
      </c>
      <c r="R21" s="14">
        <v>0.06</v>
      </c>
      <c r="S21" s="14">
        <v>0.06</v>
      </c>
      <c r="T21" s="14">
        <v>0.06</v>
      </c>
      <c r="U21" s="14">
        <v>0.02</v>
      </c>
      <c r="V21" s="14">
        <v>0.03</v>
      </c>
      <c r="W21" s="14">
        <v>0.09</v>
      </c>
      <c r="X21" s="14">
        <v>0.01</v>
      </c>
      <c r="Y21" s="14">
        <v>0.03</v>
      </c>
      <c r="Z21" s="14">
        <v>0.05</v>
      </c>
      <c r="AA21" s="14">
        <v>0.08</v>
      </c>
      <c r="AB21" s="14">
        <v>7.0000000000000007E-2</v>
      </c>
      <c r="AC21" s="14">
        <v>0.02</v>
      </c>
      <c r="AD21" s="14">
        <v>0.01</v>
      </c>
      <c r="AE21" s="14">
        <v>0.06</v>
      </c>
      <c r="AF21" s="14">
        <v>0.01</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183</v>
      </c>
      <c r="C3" s="30"/>
      <c r="D3" s="30"/>
      <c r="E3" s="30"/>
      <c r="F3" s="30"/>
      <c r="H3" s="30" t="s">
        <v>184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1016</v>
      </c>
      <c r="C12" s="12">
        <v>1612</v>
      </c>
      <c r="D12" s="12">
        <v>82</v>
      </c>
      <c r="E12" s="12">
        <v>28</v>
      </c>
      <c r="F12" s="12">
        <v>65</v>
      </c>
      <c r="G12" s="12">
        <v>261</v>
      </c>
      <c r="H12" s="12">
        <v>144</v>
      </c>
      <c r="I12" s="12">
        <v>160</v>
      </c>
      <c r="J12" s="12">
        <v>17</v>
      </c>
      <c r="K12" s="12">
        <v>59</v>
      </c>
      <c r="L12" s="12">
        <v>148</v>
      </c>
      <c r="M12" s="12">
        <v>10</v>
      </c>
      <c r="N12" s="12">
        <v>36</v>
      </c>
      <c r="O12" s="12">
        <v>35</v>
      </c>
      <c r="P12" s="12">
        <v>31</v>
      </c>
      <c r="Q12" s="12">
        <v>26</v>
      </c>
      <c r="R12" s="12">
        <v>18</v>
      </c>
      <c r="S12" s="12">
        <v>73</v>
      </c>
      <c r="T12" s="12">
        <v>70</v>
      </c>
      <c r="U12" s="12">
        <v>48</v>
      </c>
      <c r="V12" s="12">
        <v>26</v>
      </c>
      <c r="W12" s="12">
        <v>25</v>
      </c>
      <c r="X12" s="12">
        <v>100</v>
      </c>
      <c r="Y12" s="12">
        <v>170</v>
      </c>
      <c r="Z12" s="12">
        <v>46</v>
      </c>
      <c r="AA12" s="12">
        <v>50</v>
      </c>
      <c r="AB12" s="12">
        <v>34</v>
      </c>
      <c r="AC12" s="12">
        <v>35</v>
      </c>
      <c r="AD12" s="12">
        <v>39</v>
      </c>
      <c r="AE12" s="12">
        <v>88</v>
      </c>
      <c r="AF12" s="12">
        <v>109</v>
      </c>
    </row>
    <row r="13" spans="1:32" x14ac:dyDescent="0.35">
      <c r="A13" s="31"/>
      <c r="B13" s="13" t="s">
        <v>1017</v>
      </c>
      <c r="C13" s="14">
        <v>0.06</v>
      </c>
      <c r="D13" s="14">
        <v>0.08</v>
      </c>
      <c r="E13" s="14">
        <v>0.03</v>
      </c>
      <c r="F13" s="14">
        <v>7.0000000000000007E-2</v>
      </c>
      <c r="G13" s="14">
        <v>0.26</v>
      </c>
      <c r="H13" s="14">
        <v>0.12</v>
      </c>
      <c r="I13" s="14">
        <v>0.11</v>
      </c>
      <c r="J13" s="14">
        <v>0.06</v>
      </c>
      <c r="K13" s="14">
        <v>0.06</v>
      </c>
      <c r="L13" s="14">
        <v>0.15</v>
      </c>
      <c r="M13" s="14">
        <v>0.01</v>
      </c>
      <c r="N13" s="14">
        <v>0.04</v>
      </c>
      <c r="O13" s="14">
        <v>0.03</v>
      </c>
      <c r="P13" s="14">
        <v>0.03</v>
      </c>
      <c r="Q13" s="14">
        <v>0.03</v>
      </c>
      <c r="R13" s="14">
        <v>0.04</v>
      </c>
      <c r="S13" s="14">
        <v>7.0000000000000007E-2</v>
      </c>
      <c r="T13" s="14">
        <v>7.0000000000000007E-2</v>
      </c>
      <c r="U13" s="14">
        <v>0.09</v>
      </c>
      <c r="V13" s="14">
        <v>0.03</v>
      </c>
      <c r="W13" s="14">
        <v>0.05</v>
      </c>
      <c r="X13" s="14">
        <v>0.1</v>
      </c>
      <c r="Y13" s="14">
        <v>0.17</v>
      </c>
      <c r="Z13" s="14">
        <v>0.04</v>
      </c>
      <c r="AA13" s="14">
        <v>0.05</v>
      </c>
      <c r="AB13" s="14">
        <v>0.03</v>
      </c>
      <c r="AC13" s="14">
        <v>0.03</v>
      </c>
      <c r="AD13" s="14">
        <v>0.04</v>
      </c>
      <c r="AE13" s="14">
        <v>0.09</v>
      </c>
      <c r="AF13" s="14">
        <v>0.11</v>
      </c>
    </row>
    <row r="14" spans="1:32" x14ac:dyDescent="0.35">
      <c r="A14" s="31"/>
      <c r="B14" s="11" t="s">
        <v>1018</v>
      </c>
      <c r="C14" s="12">
        <v>13190</v>
      </c>
      <c r="D14" s="12">
        <v>576</v>
      </c>
      <c r="E14" s="12">
        <v>415</v>
      </c>
      <c r="F14" s="12">
        <v>431</v>
      </c>
      <c r="G14" s="12">
        <v>570</v>
      </c>
      <c r="H14" s="12">
        <v>670</v>
      </c>
      <c r="I14" s="12">
        <v>783</v>
      </c>
      <c r="J14" s="12">
        <v>113</v>
      </c>
      <c r="K14" s="12">
        <v>457</v>
      </c>
      <c r="L14" s="12">
        <v>549</v>
      </c>
      <c r="M14" s="12">
        <v>200</v>
      </c>
      <c r="N14" s="12">
        <v>410</v>
      </c>
      <c r="O14" s="12">
        <v>478</v>
      </c>
      <c r="P14" s="12">
        <v>362</v>
      </c>
      <c r="Q14" s="12">
        <v>520</v>
      </c>
      <c r="R14" s="12">
        <v>193</v>
      </c>
      <c r="S14" s="12">
        <v>503</v>
      </c>
      <c r="T14" s="12">
        <v>561</v>
      </c>
      <c r="U14" s="12">
        <v>314</v>
      </c>
      <c r="V14" s="12">
        <v>456</v>
      </c>
      <c r="W14" s="12">
        <v>290</v>
      </c>
      <c r="X14" s="12">
        <v>646</v>
      </c>
      <c r="Y14" s="12">
        <v>470</v>
      </c>
      <c r="Z14" s="12">
        <v>683</v>
      </c>
      <c r="AA14" s="12">
        <v>670</v>
      </c>
      <c r="AB14" s="12">
        <v>372</v>
      </c>
      <c r="AC14" s="12">
        <v>461</v>
      </c>
      <c r="AD14" s="12">
        <v>449</v>
      </c>
      <c r="AE14" s="12">
        <v>628</v>
      </c>
      <c r="AF14" s="12">
        <v>635</v>
      </c>
    </row>
    <row r="15" spans="1:32" x14ac:dyDescent="0.35">
      <c r="A15" s="31"/>
      <c r="B15" s="13" t="s">
        <v>1019</v>
      </c>
      <c r="C15" s="14">
        <v>0.5</v>
      </c>
      <c r="D15" s="14">
        <v>0.56000000000000005</v>
      </c>
      <c r="E15" s="14">
        <v>0.4</v>
      </c>
      <c r="F15" s="14">
        <v>0.42</v>
      </c>
      <c r="G15" s="14">
        <v>0.56000000000000005</v>
      </c>
      <c r="H15" s="14">
        <v>0.54</v>
      </c>
      <c r="I15" s="14">
        <v>0.51</v>
      </c>
      <c r="J15" s="14">
        <v>0.38</v>
      </c>
      <c r="K15" s="14">
        <v>0.45</v>
      </c>
      <c r="L15" s="14">
        <v>0.55000000000000004</v>
      </c>
      <c r="M15" s="14">
        <v>0.2</v>
      </c>
      <c r="N15" s="14">
        <v>0.41</v>
      </c>
      <c r="O15" s="14">
        <v>0.48</v>
      </c>
      <c r="P15" s="14">
        <v>0.36</v>
      </c>
      <c r="Q15" s="14">
        <v>0.5</v>
      </c>
      <c r="R15" s="14">
        <v>0.39</v>
      </c>
      <c r="S15" s="14">
        <v>0.49</v>
      </c>
      <c r="T15" s="14">
        <v>0.55000000000000004</v>
      </c>
      <c r="U15" s="14">
        <v>0.62</v>
      </c>
      <c r="V15" s="14">
        <v>0.45</v>
      </c>
      <c r="W15" s="14">
        <v>0.57999999999999996</v>
      </c>
      <c r="X15" s="14">
        <v>0.64</v>
      </c>
      <c r="Y15" s="14">
        <v>0.47</v>
      </c>
      <c r="Z15" s="14">
        <v>0.67</v>
      </c>
      <c r="AA15" s="14">
        <v>0.65</v>
      </c>
      <c r="AB15" s="14">
        <v>0.35</v>
      </c>
      <c r="AC15" s="14">
        <v>0.46</v>
      </c>
      <c r="AD15" s="14">
        <v>0.45</v>
      </c>
      <c r="AE15" s="14">
        <v>0.62</v>
      </c>
      <c r="AF15" s="14">
        <v>0.62</v>
      </c>
    </row>
    <row r="16" spans="1:32" x14ac:dyDescent="0.35">
      <c r="A16" s="31"/>
      <c r="B16" s="11" t="s">
        <v>1020</v>
      </c>
      <c r="C16" s="12">
        <v>7780</v>
      </c>
      <c r="D16" s="12">
        <v>275</v>
      </c>
      <c r="E16" s="12">
        <v>382</v>
      </c>
      <c r="F16" s="12">
        <v>410</v>
      </c>
      <c r="G16" s="12">
        <v>110</v>
      </c>
      <c r="H16" s="12">
        <v>251</v>
      </c>
      <c r="I16" s="12">
        <v>373</v>
      </c>
      <c r="J16" s="12">
        <v>122</v>
      </c>
      <c r="K16" s="12">
        <v>306</v>
      </c>
      <c r="L16" s="12">
        <v>207</v>
      </c>
      <c r="M16" s="12">
        <v>448</v>
      </c>
      <c r="N16" s="12">
        <v>376</v>
      </c>
      <c r="O16" s="12">
        <v>319</v>
      </c>
      <c r="P16" s="12">
        <v>455</v>
      </c>
      <c r="Q16" s="12">
        <v>356</v>
      </c>
      <c r="R16" s="12">
        <v>192</v>
      </c>
      <c r="S16" s="12">
        <v>300</v>
      </c>
      <c r="T16" s="12">
        <v>280</v>
      </c>
      <c r="U16" s="12">
        <v>97</v>
      </c>
      <c r="V16" s="12">
        <v>410</v>
      </c>
      <c r="W16" s="12">
        <v>132</v>
      </c>
      <c r="X16" s="12">
        <v>195</v>
      </c>
      <c r="Y16" s="12">
        <v>195</v>
      </c>
      <c r="Z16" s="12">
        <v>211</v>
      </c>
      <c r="AA16" s="12">
        <v>170</v>
      </c>
      <c r="AB16" s="12">
        <v>372</v>
      </c>
      <c r="AC16" s="12">
        <v>356</v>
      </c>
      <c r="AD16" s="12">
        <v>384</v>
      </c>
      <c r="AE16" s="12">
        <v>195</v>
      </c>
      <c r="AF16" s="12">
        <v>189</v>
      </c>
    </row>
    <row r="17" spans="1:32" x14ac:dyDescent="0.35">
      <c r="A17" s="31"/>
      <c r="B17" s="13" t="s">
        <v>1021</v>
      </c>
      <c r="C17" s="14">
        <v>0.3</v>
      </c>
      <c r="D17" s="14">
        <v>0.27</v>
      </c>
      <c r="E17" s="14">
        <v>0.37</v>
      </c>
      <c r="F17" s="14">
        <v>0.4</v>
      </c>
      <c r="G17" s="14">
        <v>0.11</v>
      </c>
      <c r="H17" s="14">
        <v>0.2</v>
      </c>
      <c r="I17" s="14">
        <v>0.24</v>
      </c>
      <c r="J17" s="14">
        <v>0.41</v>
      </c>
      <c r="K17" s="14">
        <v>0.31</v>
      </c>
      <c r="L17" s="14">
        <v>0.2</v>
      </c>
      <c r="M17" s="14">
        <v>0.45</v>
      </c>
      <c r="N17" s="14">
        <v>0.38</v>
      </c>
      <c r="O17" s="14">
        <v>0.32</v>
      </c>
      <c r="P17" s="14">
        <v>0.46</v>
      </c>
      <c r="Q17" s="14">
        <v>0.34</v>
      </c>
      <c r="R17" s="14">
        <v>0.38</v>
      </c>
      <c r="S17" s="14">
        <v>0.28999999999999998</v>
      </c>
      <c r="T17" s="14">
        <v>0.28000000000000003</v>
      </c>
      <c r="U17" s="14">
        <v>0.19</v>
      </c>
      <c r="V17" s="14">
        <v>0.4</v>
      </c>
      <c r="W17" s="14">
        <v>0.26</v>
      </c>
      <c r="X17" s="14">
        <v>0.19</v>
      </c>
      <c r="Y17" s="14">
        <v>0.19</v>
      </c>
      <c r="Z17" s="14">
        <v>0.21</v>
      </c>
      <c r="AA17" s="14">
        <v>0.17</v>
      </c>
      <c r="AB17" s="14">
        <v>0.35</v>
      </c>
      <c r="AC17" s="14">
        <v>0.35</v>
      </c>
      <c r="AD17" s="14">
        <v>0.38</v>
      </c>
      <c r="AE17" s="14">
        <v>0.19</v>
      </c>
      <c r="AF17" s="14">
        <v>0.19</v>
      </c>
    </row>
    <row r="18" spans="1:32" x14ac:dyDescent="0.35">
      <c r="A18" s="31"/>
      <c r="B18" s="11" t="s">
        <v>1022</v>
      </c>
      <c r="C18" s="12">
        <v>2693</v>
      </c>
      <c r="D18" s="12">
        <v>76</v>
      </c>
      <c r="E18" s="12">
        <v>146</v>
      </c>
      <c r="F18" s="12">
        <v>88</v>
      </c>
      <c r="G18" s="12">
        <v>19</v>
      </c>
      <c r="H18" s="12">
        <v>110</v>
      </c>
      <c r="I18" s="12">
        <v>146</v>
      </c>
      <c r="J18" s="12">
        <v>36</v>
      </c>
      <c r="K18" s="12">
        <v>124</v>
      </c>
      <c r="L18" s="12">
        <v>67</v>
      </c>
      <c r="M18" s="12">
        <v>335</v>
      </c>
      <c r="N18" s="12">
        <v>134</v>
      </c>
      <c r="O18" s="12">
        <v>118</v>
      </c>
      <c r="P18" s="12">
        <v>93</v>
      </c>
      <c r="Q18" s="12">
        <v>97</v>
      </c>
      <c r="R18" s="12">
        <v>76</v>
      </c>
      <c r="S18" s="12">
        <v>79</v>
      </c>
      <c r="T18" s="12">
        <v>52</v>
      </c>
      <c r="U18" s="12">
        <v>39</v>
      </c>
      <c r="V18" s="12">
        <v>91</v>
      </c>
      <c r="W18" s="12">
        <v>26</v>
      </c>
      <c r="X18" s="12">
        <v>50</v>
      </c>
      <c r="Y18" s="12">
        <v>129</v>
      </c>
      <c r="Z18" s="12">
        <v>37</v>
      </c>
      <c r="AA18" s="12">
        <v>66</v>
      </c>
      <c r="AB18" s="12">
        <v>195</v>
      </c>
      <c r="AC18" s="12">
        <v>141</v>
      </c>
      <c r="AD18" s="12">
        <v>104</v>
      </c>
      <c r="AE18" s="12">
        <v>28</v>
      </c>
      <c r="AF18" s="12">
        <v>45</v>
      </c>
    </row>
    <row r="19" spans="1:32" x14ac:dyDescent="0.35">
      <c r="A19" s="31"/>
      <c r="B19" s="13" t="s">
        <v>1023</v>
      </c>
      <c r="C19" s="14">
        <v>0.1</v>
      </c>
      <c r="D19" s="14">
        <v>7.0000000000000007E-2</v>
      </c>
      <c r="E19" s="14">
        <v>0.14000000000000001</v>
      </c>
      <c r="F19" s="14">
        <v>0.09</v>
      </c>
      <c r="G19" s="14">
        <v>0.02</v>
      </c>
      <c r="H19" s="14">
        <v>0.09</v>
      </c>
      <c r="I19" s="14">
        <v>0.1</v>
      </c>
      <c r="J19" s="14">
        <v>0.12</v>
      </c>
      <c r="K19" s="14">
        <v>0.12</v>
      </c>
      <c r="L19" s="14">
        <v>7.0000000000000007E-2</v>
      </c>
      <c r="M19" s="14">
        <v>0.33</v>
      </c>
      <c r="N19" s="14">
        <v>0.13</v>
      </c>
      <c r="O19" s="14">
        <v>0.12</v>
      </c>
      <c r="P19" s="14">
        <v>0.09</v>
      </c>
      <c r="Q19" s="14">
        <v>0.09</v>
      </c>
      <c r="R19" s="14">
        <v>0.15</v>
      </c>
      <c r="S19" s="14">
        <v>0.08</v>
      </c>
      <c r="T19" s="14">
        <v>0.05</v>
      </c>
      <c r="U19" s="14">
        <v>0.08</v>
      </c>
      <c r="V19" s="14">
        <v>0.09</v>
      </c>
      <c r="W19" s="14">
        <v>0.05</v>
      </c>
      <c r="X19" s="14">
        <v>0.05</v>
      </c>
      <c r="Y19" s="14">
        <v>0.13</v>
      </c>
      <c r="Z19" s="14">
        <v>0.04</v>
      </c>
      <c r="AA19" s="14">
        <v>0.06</v>
      </c>
      <c r="AB19" s="14">
        <v>0.19</v>
      </c>
      <c r="AC19" s="14">
        <v>0.14000000000000001</v>
      </c>
      <c r="AD19" s="14">
        <v>0.1</v>
      </c>
      <c r="AE19" s="14">
        <v>0.03</v>
      </c>
      <c r="AF19" s="14">
        <v>0.04</v>
      </c>
    </row>
    <row r="20" spans="1:32" x14ac:dyDescent="0.35">
      <c r="A20" s="31"/>
      <c r="B20" s="11" t="s">
        <v>344</v>
      </c>
      <c r="C20" s="12">
        <v>1136</v>
      </c>
      <c r="D20" s="12">
        <v>15</v>
      </c>
      <c r="E20" s="12">
        <v>69</v>
      </c>
      <c r="F20" s="12">
        <v>23</v>
      </c>
      <c r="G20" s="12">
        <v>57</v>
      </c>
      <c r="H20" s="12">
        <v>58</v>
      </c>
      <c r="I20" s="12">
        <v>67</v>
      </c>
      <c r="J20" s="12">
        <v>10</v>
      </c>
      <c r="K20" s="12">
        <v>63</v>
      </c>
      <c r="L20" s="12">
        <v>33</v>
      </c>
      <c r="M20" s="12">
        <v>12</v>
      </c>
      <c r="N20" s="12">
        <v>44</v>
      </c>
      <c r="O20" s="12">
        <v>51</v>
      </c>
      <c r="P20" s="12">
        <v>63</v>
      </c>
      <c r="Q20" s="12">
        <v>37</v>
      </c>
      <c r="R20" s="12">
        <v>22</v>
      </c>
      <c r="S20" s="12">
        <v>66</v>
      </c>
      <c r="T20" s="12">
        <v>54</v>
      </c>
      <c r="U20" s="12">
        <v>11</v>
      </c>
      <c r="V20" s="12">
        <v>30</v>
      </c>
      <c r="W20" s="12">
        <v>28</v>
      </c>
      <c r="X20" s="12">
        <v>18</v>
      </c>
      <c r="Y20" s="12">
        <v>39</v>
      </c>
      <c r="Z20" s="12">
        <v>43</v>
      </c>
      <c r="AA20" s="12">
        <v>73</v>
      </c>
      <c r="AB20" s="12">
        <v>82</v>
      </c>
      <c r="AC20" s="12">
        <v>21</v>
      </c>
      <c r="AD20" s="12">
        <v>29</v>
      </c>
      <c r="AE20" s="12">
        <v>68</v>
      </c>
      <c r="AF20" s="12">
        <v>41</v>
      </c>
    </row>
    <row r="21" spans="1:32" x14ac:dyDescent="0.35">
      <c r="A21" s="31"/>
      <c r="B21" s="13" t="s">
        <v>357</v>
      </c>
      <c r="C21" s="14">
        <v>0.04</v>
      </c>
      <c r="D21" s="14">
        <v>0.02</v>
      </c>
      <c r="E21" s="14">
        <v>0.06</v>
      </c>
      <c r="F21" s="14">
        <v>0.02</v>
      </c>
      <c r="G21" s="14">
        <v>0.05</v>
      </c>
      <c r="H21" s="14">
        <v>0.05</v>
      </c>
      <c r="I21" s="14">
        <v>0.04</v>
      </c>
      <c r="J21" s="14">
        <v>0.03</v>
      </c>
      <c r="K21" s="14">
        <v>0.06</v>
      </c>
      <c r="L21" s="14">
        <v>0.03</v>
      </c>
      <c r="M21" s="14">
        <v>0.01</v>
      </c>
      <c r="N21" s="14">
        <v>0.04</v>
      </c>
      <c r="O21" s="14">
        <v>0.05</v>
      </c>
      <c r="P21" s="14">
        <v>0.06</v>
      </c>
      <c r="Q21" s="14">
        <v>0.04</v>
      </c>
      <c r="R21" s="14">
        <v>0.04</v>
      </c>
      <c r="S21" s="14">
        <v>7.0000000000000007E-2</v>
      </c>
      <c r="T21" s="14">
        <v>0.05</v>
      </c>
      <c r="U21" s="14">
        <v>0.02</v>
      </c>
      <c r="V21" s="14">
        <v>0.03</v>
      </c>
      <c r="W21" s="14">
        <v>0.06</v>
      </c>
      <c r="X21" s="14">
        <v>0.02</v>
      </c>
      <c r="Y21" s="14">
        <v>0.04</v>
      </c>
      <c r="Z21" s="14">
        <v>0.04</v>
      </c>
      <c r="AA21" s="14">
        <v>7.0000000000000007E-2</v>
      </c>
      <c r="AB21" s="14">
        <v>0.08</v>
      </c>
      <c r="AC21" s="14">
        <v>0.02</v>
      </c>
      <c r="AD21" s="14">
        <v>0.03</v>
      </c>
      <c r="AE21" s="14">
        <v>7.0000000000000007E-2</v>
      </c>
      <c r="AF21" s="14">
        <v>0.04</v>
      </c>
    </row>
    <row r="22" spans="1:32" x14ac:dyDescent="0.35">
      <c r="A22" s="31"/>
      <c r="B22" s="11" t="s">
        <v>1024</v>
      </c>
      <c r="C22" s="12">
        <v>14802</v>
      </c>
      <c r="D22" s="12">
        <v>658</v>
      </c>
      <c r="E22" s="12">
        <v>443</v>
      </c>
      <c r="F22" s="12">
        <v>496</v>
      </c>
      <c r="G22" s="12">
        <v>831</v>
      </c>
      <c r="H22" s="12">
        <v>814</v>
      </c>
      <c r="I22" s="12">
        <v>943</v>
      </c>
      <c r="J22" s="12">
        <v>130</v>
      </c>
      <c r="K22" s="12">
        <v>516</v>
      </c>
      <c r="L22" s="12">
        <v>697</v>
      </c>
      <c r="M22" s="12">
        <v>210</v>
      </c>
      <c r="N22" s="12">
        <v>446</v>
      </c>
      <c r="O22" s="12">
        <v>513</v>
      </c>
      <c r="P22" s="12">
        <v>393</v>
      </c>
      <c r="Q22" s="12">
        <v>546</v>
      </c>
      <c r="R22" s="12">
        <v>211</v>
      </c>
      <c r="S22" s="12">
        <v>576</v>
      </c>
      <c r="T22" s="12">
        <v>631</v>
      </c>
      <c r="U22" s="12">
        <v>362</v>
      </c>
      <c r="V22" s="12">
        <v>482</v>
      </c>
      <c r="W22" s="12">
        <v>315</v>
      </c>
      <c r="X22" s="12">
        <v>746</v>
      </c>
      <c r="Y22" s="12">
        <v>640</v>
      </c>
      <c r="Z22" s="12">
        <v>729</v>
      </c>
      <c r="AA22" s="12">
        <v>720</v>
      </c>
      <c r="AB22" s="12">
        <v>406</v>
      </c>
      <c r="AC22" s="12">
        <v>496</v>
      </c>
      <c r="AD22" s="12">
        <v>488</v>
      </c>
      <c r="AE22" s="12">
        <v>716</v>
      </c>
      <c r="AF22" s="12">
        <v>744</v>
      </c>
    </row>
    <row r="23" spans="1:32" x14ac:dyDescent="0.35">
      <c r="A23" s="31"/>
      <c r="B23" s="13" t="s">
        <v>1025</v>
      </c>
      <c r="C23" s="14">
        <v>0.56000000000000005</v>
      </c>
      <c r="D23" s="14">
        <v>0.64</v>
      </c>
      <c r="E23" s="14">
        <v>0.43</v>
      </c>
      <c r="F23" s="14">
        <v>0.49</v>
      </c>
      <c r="G23" s="14">
        <v>0.82000000000000006</v>
      </c>
      <c r="H23" s="14">
        <v>0.66</v>
      </c>
      <c r="I23" s="14">
        <v>0.62</v>
      </c>
      <c r="J23" s="14">
        <v>0.44</v>
      </c>
      <c r="K23" s="14">
        <v>0.51</v>
      </c>
      <c r="L23" s="14">
        <v>0.70000000000000007</v>
      </c>
      <c r="M23" s="14">
        <v>0.21</v>
      </c>
      <c r="N23" s="14">
        <v>0.45</v>
      </c>
      <c r="O23" s="14">
        <v>0.51</v>
      </c>
      <c r="P23" s="14">
        <v>0.39</v>
      </c>
      <c r="Q23" s="14">
        <v>0.53</v>
      </c>
      <c r="R23" s="14">
        <v>0.43</v>
      </c>
      <c r="S23" s="14">
        <v>0.56000000000000005</v>
      </c>
      <c r="T23" s="14">
        <v>0.62</v>
      </c>
      <c r="U23" s="14">
        <v>0.71</v>
      </c>
      <c r="V23" s="14">
        <v>0.48</v>
      </c>
      <c r="W23" s="14">
        <v>0.63</v>
      </c>
      <c r="X23" s="14">
        <v>0.74</v>
      </c>
      <c r="Y23" s="14">
        <v>0.64</v>
      </c>
      <c r="Z23" s="14">
        <v>0.71</v>
      </c>
      <c r="AA23" s="14">
        <v>0.70000000000000007</v>
      </c>
      <c r="AB23" s="14">
        <v>0.38</v>
      </c>
      <c r="AC23" s="14">
        <v>0.49</v>
      </c>
      <c r="AD23" s="14">
        <v>0.49</v>
      </c>
      <c r="AE23" s="14">
        <v>0.71</v>
      </c>
      <c r="AF23" s="14">
        <v>0.73</v>
      </c>
    </row>
    <row r="24" spans="1:32" x14ac:dyDescent="0.35">
      <c r="A24" s="31"/>
      <c r="B24" s="11"/>
      <c r="C24" s="12">
        <v>10473</v>
      </c>
      <c r="D24" s="12">
        <v>351</v>
      </c>
      <c r="E24" s="12">
        <v>528</v>
      </c>
      <c r="F24" s="12">
        <v>498</v>
      </c>
      <c r="G24" s="12">
        <v>129</v>
      </c>
      <c r="H24" s="12">
        <v>361</v>
      </c>
      <c r="I24" s="12">
        <v>519</v>
      </c>
      <c r="J24" s="12">
        <v>158</v>
      </c>
      <c r="K24" s="12">
        <v>430</v>
      </c>
      <c r="L24" s="12">
        <v>274</v>
      </c>
      <c r="M24" s="12">
        <v>783</v>
      </c>
      <c r="N24" s="12">
        <v>510</v>
      </c>
      <c r="O24" s="12">
        <v>437</v>
      </c>
      <c r="P24" s="12">
        <v>548</v>
      </c>
      <c r="Q24" s="12">
        <v>453</v>
      </c>
      <c r="R24" s="12">
        <v>268</v>
      </c>
      <c r="S24" s="12">
        <v>379</v>
      </c>
      <c r="T24" s="12">
        <v>332</v>
      </c>
      <c r="U24" s="12">
        <v>136</v>
      </c>
      <c r="V24" s="12">
        <v>501</v>
      </c>
      <c r="W24" s="12">
        <v>158</v>
      </c>
      <c r="X24" s="12">
        <v>245</v>
      </c>
      <c r="Y24" s="12">
        <v>324</v>
      </c>
      <c r="Z24" s="12">
        <v>248</v>
      </c>
      <c r="AA24" s="12">
        <v>236</v>
      </c>
      <c r="AB24" s="12">
        <v>567</v>
      </c>
      <c r="AC24" s="12">
        <v>497</v>
      </c>
      <c r="AD24" s="12">
        <v>488</v>
      </c>
      <c r="AE24" s="12">
        <v>223</v>
      </c>
      <c r="AF24" s="12">
        <v>234</v>
      </c>
    </row>
    <row r="25" spans="1:32" x14ac:dyDescent="0.35">
      <c r="A25" s="31"/>
      <c r="B25" s="13" t="s">
        <v>1026</v>
      </c>
      <c r="C25" s="14">
        <v>0.4</v>
      </c>
      <c r="D25" s="14">
        <v>0.34</v>
      </c>
      <c r="E25" s="14">
        <v>0.51</v>
      </c>
      <c r="F25" s="14">
        <v>0.49</v>
      </c>
      <c r="G25" s="14">
        <v>0.13</v>
      </c>
      <c r="H25" s="14">
        <v>0.28999999999999998</v>
      </c>
      <c r="I25" s="14">
        <v>0.34</v>
      </c>
      <c r="J25" s="14">
        <v>0.53</v>
      </c>
      <c r="K25" s="14">
        <v>0.43</v>
      </c>
      <c r="L25" s="14">
        <v>0.27</v>
      </c>
      <c r="M25" s="14">
        <v>0.78</v>
      </c>
      <c r="N25" s="14">
        <v>0.51</v>
      </c>
      <c r="O25" s="14">
        <v>0.44</v>
      </c>
      <c r="P25" s="14">
        <v>0.55000000000000004</v>
      </c>
      <c r="Q25" s="14">
        <v>0.43</v>
      </c>
      <c r="R25" s="14">
        <v>0.53</v>
      </c>
      <c r="S25" s="14">
        <v>0.37</v>
      </c>
      <c r="T25" s="14">
        <v>0.33</v>
      </c>
      <c r="U25" s="14">
        <v>0.27</v>
      </c>
      <c r="V25" s="14">
        <v>0.49</v>
      </c>
      <c r="W25" s="14">
        <v>0.31</v>
      </c>
      <c r="X25" s="14">
        <v>0.24</v>
      </c>
      <c r="Y25" s="14">
        <v>0.32</v>
      </c>
      <c r="Z25" s="14">
        <v>0.25</v>
      </c>
      <c r="AA25" s="14">
        <v>0.23</v>
      </c>
      <c r="AB25" s="14">
        <v>0.54</v>
      </c>
      <c r="AC25" s="14">
        <v>0.49</v>
      </c>
      <c r="AD25" s="14">
        <v>0.48</v>
      </c>
      <c r="AE25" s="14">
        <v>0.22</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185</v>
      </c>
      <c r="C3" s="30"/>
      <c r="D3" s="30"/>
      <c r="E3" s="30"/>
      <c r="F3" s="30"/>
      <c r="H3" s="30" t="s">
        <v>186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675</v>
      </c>
      <c r="C12" s="12">
        <v>7320</v>
      </c>
      <c r="D12" s="12">
        <v>286</v>
      </c>
      <c r="E12" s="12">
        <v>242</v>
      </c>
      <c r="F12" s="12">
        <v>204</v>
      </c>
      <c r="G12" s="12">
        <v>371</v>
      </c>
      <c r="H12" s="12">
        <v>334</v>
      </c>
      <c r="I12" s="12">
        <v>421</v>
      </c>
      <c r="J12" s="12">
        <v>87</v>
      </c>
      <c r="K12" s="12">
        <v>238</v>
      </c>
      <c r="L12" s="12">
        <v>362</v>
      </c>
      <c r="M12" s="12">
        <v>280</v>
      </c>
      <c r="N12" s="12">
        <v>446</v>
      </c>
      <c r="O12" s="12">
        <v>280</v>
      </c>
      <c r="P12" s="12">
        <v>220</v>
      </c>
      <c r="Q12" s="12">
        <v>242</v>
      </c>
      <c r="R12" s="12">
        <v>137</v>
      </c>
      <c r="S12" s="12">
        <v>266</v>
      </c>
      <c r="T12" s="12">
        <v>174</v>
      </c>
      <c r="U12" s="12">
        <v>176</v>
      </c>
      <c r="V12" s="12">
        <v>233</v>
      </c>
      <c r="W12" s="12">
        <v>113</v>
      </c>
      <c r="X12" s="12">
        <v>364</v>
      </c>
      <c r="Y12" s="12">
        <v>188</v>
      </c>
      <c r="Z12" s="12">
        <v>173</v>
      </c>
      <c r="AA12" s="12">
        <v>264</v>
      </c>
      <c r="AB12" s="12">
        <v>235</v>
      </c>
      <c r="AC12" s="12">
        <v>328</v>
      </c>
      <c r="AD12" s="12">
        <v>214</v>
      </c>
      <c r="AE12" s="12">
        <v>235</v>
      </c>
      <c r="AF12" s="12">
        <v>332</v>
      </c>
    </row>
    <row r="13" spans="1:32" ht="21.5" x14ac:dyDescent="0.35">
      <c r="A13" s="31"/>
      <c r="B13" s="13" t="s">
        <v>676</v>
      </c>
      <c r="C13" s="14">
        <v>0.28000000000000003</v>
      </c>
      <c r="D13" s="14">
        <v>0.28000000000000003</v>
      </c>
      <c r="E13" s="14">
        <v>0.23</v>
      </c>
      <c r="F13" s="14">
        <v>0.2</v>
      </c>
      <c r="G13" s="14">
        <v>0.37</v>
      </c>
      <c r="H13" s="14">
        <v>0.27</v>
      </c>
      <c r="I13" s="14">
        <v>0.28000000000000003</v>
      </c>
      <c r="J13" s="14">
        <v>0.28999999999999998</v>
      </c>
      <c r="K13" s="14">
        <v>0.24</v>
      </c>
      <c r="L13" s="14">
        <v>0.36</v>
      </c>
      <c r="M13" s="14">
        <v>0.28000000000000003</v>
      </c>
      <c r="N13" s="14">
        <v>0.45</v>
      </c>
      <c r="O13" s="14">
        <v>0.28000000000000003</v>
      </c>
      <c r="P13" s="14">
        <v>0.22</v>
      </c>
      <c r="Q13" s="14">
        <v>0.23</v>
      </c>
      <c r="R13" s="14">
        <v>0.27</v>
      </c>
      <c r="S13" s="14">
        <v>0.26</v>
      </c>
      <c r="T13" s="14">
        <v>0.17</v>
      </c>
      <c r="U13" s="14">
        <v>0.35</v>
      </c>
      <c r="V13" s="14">
        <v>0.23</v>
      </c>
      <c r="W13" s="14">
        <v>0.23</v>
      </c>
      <c r="X13" s="14">
        <v>0.36</v>
      </c>
      <c r="Y13" s="14">
        <v>0.19</v>
      </c>
      <c r="Z13" s="14">
        <v>0.17</v>
      </c>
      <c r="AA13" s="14">
        <v>0.26</v>
      </c>
      <c r="AB13" s="14">
        <v>0.22</v>
      </c>
      <c r="AC13" s="14">
        <v>0.32</v>
      </c>
      <c r="AD13" s="14">
        <v>0.21</v>
      </c>
      <c r="AE13" s="14">
        <v>0.23</v>
      </c>
      <c r="AF13" s="14">
        <v>0.32</v>
      </c>
    </row>
    <row r="14" spans="1:32" ht="21.5" x14ac:dyDescent="0.35">
      <c r="A14" s="31"/>
      <c r="B14" s="11" t="s">
        <v>1027</v>
      </c>
      <c r="C14" s="12">
        <v>6345</v>
      </c>
      <c r="D14" s="12">
        <v>284</v>
      </c>
      <c r="E14" s="12">
        <v>200</v>
      </c>
      <c r="F14" s="12">
        <v>228</v>
      </c>
      <c r="G14" s="12">
        <v>310</v>
      </c>
      <c r="H14" s="12">
        <v>312</v>
      </c>
      <c r="I14" s="12">
        <v>385</v>
      </c>
      <c r="J14" s="12">
        <v>73</v>
      </c>
      <c r="K14" s="12">
        <v>231</v>
      </c>
      <c r="L14" s="12">
        <v>244</v>
      </c>
      <c r="M14" s="12">
        <v>238</v>
      </c>
      <c r="N14" s="12">
        <v>205</v>
      </c>
      <c r="O14" s="12">
        <v>238</v>
      </c>
      <c r="P14" s="12">
        <v>243</v>
      </c>
      <c r="Q14" s="12">
        <v>220</v>
      </c>
      <c r="R14" s="12">
        <v>111</v>
      </c>
      <c r="S14" s="12">
        <v>251</v>
      </c>
      <c r="T14" s="12">
        <v>283</v>
      </c>
      <c r="U14" s="12">
        <v>118</v>
      </c>
      <c r="V14" s="12">
        <v>320</v>
      </c>
      <c r="W14" s="12">
        <v>165</v>
      </c>
      <c r="X14" s="12">
        <v>301</v>
      </c>
      <c r="Y14" s="12">
        <v>228</v>
      </c>
      <c r="Z14" s="12">
        <v>265</v>
      </c>
      <c r="AA14" s="12">
        <v>187</v>
      </c>
      <c r="AB14" s="12">
        <v>231</v>
      </c>
      <c r="AC14" s="12">
        <v>258</v>
      </c>
      <c r="AD14" s="12">
        <v>293</v>
      </c>
      <c r="AE14" s="12">
        <v>273</v>
      </c>
      <c r="AF14" s="12">
        <v>281</v>
      </c>
    </row>
    <row r="15" spans="1:32" x14ac:dyDescent="0.35">
      <c r="A15" s="31"/>
      <c r="B15" s="13" t="s">
        <v>1028</v>
      </c>
      <c r="C15" s="14">
        <v>0.24</v>
      </c>
      <c r="D15" s="14">
        <v>0.28000000000000003</v>
      </c>
      <c r="E15" s="14">
        <v>0.19</v>
      </c>
      <c r="F15" s="14">
        <v>0.22</v>
      </c>
      <c r="G15" s="14">
        <v>0.3</v>
      </c>
      <c r="H15" s="14">
        <v>0.25</v>
      </c>
      <c r="I15" s="14">
        <v>0.25</v>
      </c>
      <c r="J15" s="14">
        <v>0.25</v>
      </c>
      <c r="K15" s="14">
        <v>0.23</v>
      </c>
      <c r="L15" s="14">
        <v>0.24</v>
      </c>
      <c r="M15" s="14">
        <v>0.24</v>
      </c>
      <c r="N15" s="14">
        <v>0.2</v>
      </c>
      <c r="O15" s="14">
        <v>0.24</v>
      </c>
      <c r="P15" s="14">
        <v>0.24</v>
      </c>
      <c r="Q15" s="14">
        <v>0.21</v>
      </c>
      <c r="R15" s="14">
        <v>0.22</v>
      </c>
      <c r="S15" s="14">
        <v>0.25</v>
      </c>
      <c r="T15" s="14">
        <v>0.28000000000000003</v>
      </c>
      <c r="U15" s="14">
        <v>0.23</v>
      </c>
      <c r="V15" s="14">
        <v>0.32</v>
      </c>
      <c r="W15" s="14">
        <v>0.33</v>
      </c>
      <c r="X15" s="14">
        <v>0.3</v>
      </c>
      <c r="Y15" s="14">
        <v>0.23</v>
      </c>
      <c r="Z15" s="14">
        <v>0.26</v>
      </c>
      <c r="AA15" s="14">
        <v>0.18</v>
      </c>
      <c r="AB15" s="14">
        <v>0.22</v>
      </c>
      <c r="AC15" s="14">
        <v>0.25</v>
      </c>
      <c r="AD15" s="14">
        <v>0.28999999999999998</v>
      </c>
      <c r="AE15" s="14">
        <v>0.27</v>
      </c>
      <c r="AF15" s="14">
        <v>0.28000000000000003</v>
      </c>
    </row>
    <row r="16" spans="1:32" x14ac:dyDescent="0.35">
      <c r="A16" s="31"/>
      <c r="B16" s="11" t="s">
        <v>1029</v>
      </c>
      <c r="C16" s="12">
        <v>3451</v>
      </c>
      <c r="D16" s="12">
        <v>161</v>
      </c>
      <c r="E16" s="12">
        <v>143</v>
      </c>
      <c r="F16" s="12">
        <v>137</v>
      </c>
      <c r="G16" s="12">
        <v>131</v>
      </c>
      <c r="H16" s="12">
        <v>160</v>
      </c>
      <c r="I16" s="12">
        <v>206</v>
      </c>
      <c r="J16" s="12">
        <v>46</v>
      </c>
      <c r="K16" s="12">
        <v>162</v>
      </c>
      <c r="L16" s="12">
        <v>123</v>
      </c>
      <c r="M16" s="12">
        <v>169</v>
      </c>
      <c r="N16" s="12">
        <v>84</v>
      </c>
      <c r="O16" s="12">
        <v>140</v>
      </c>
      <c r="P16" s="12">
        <v>212</v>
      </c>
      <c r="Q16" s="12">
        <v>126</v>
      </c>
      <c r="R16" s="12">
        <v>61</v>
      </c>
      <c r="S16" s="12">
        <v>130</v>
      </c>
      <c r="T16" s="12">
        <v>181</v>
      </c>
      <c r="U16" s="12">
        <v>70</v>
      </c>
      <c r="V16" s="12">
        <v>184</v>
      </c>
      <c r="W16" s="12">
        <v>110</v>
      </c>
      <c r="X16" s="12">
        <v>173</v>
      </c>
      <c r="Y16" s="12">
        <v>158</v>
      </c>
      <c r="Z16" s="12">
        <v>125</v>
      </c>
      <c r="AA16" s="12">
        <v>67</v>
      </c>
      <c r="AB16" s="12">
        <v>111</v>
      </c>
      <c r="AC16" s="12">
        <v>129</v>
      </c>
      <c r="AD16" s="12">
        <v>204</v>
      </c>
      <c r="AE16" s="12">
        <v>180</v>
      </c>
      <c r="AF16" s="12">
        <v>134</v>
      </c>
    </row>
    <row r="17" spans="1:32" x14ac:dyDescent="0.35">
      <c r="A17" s="31"/>
      <c r="B17" s="13" t="s">
        <v>1030</v>
      </c>
      <c r="C17" s="14">
        <v>0.13</v>
      </c>
      <c r="D17" s="14">
        <v>0.16</v>
      </c>
      <c r="E17" s="14">
        <v>0.14000000000000001</v>
      </c>
      <c r="F17" s="14">
        <v>0.13</v>
      </c>
      <c r="G17" s="14">
        <v>0.13</v>
      </c>
      <c r="H17" s="14">
        <v>0.13</v>
      </c>
      <c r="I17" s="14">
        <v>0.13</v>
      </c>
      <c r="J17" s="14">
        <v>0.15</v>
      </c>
      <c r="K17" s="14">
        <v>0.16</v>
      </c>
      <c r="L17" s="14">
        <v>0.12</v>
      </c>
      <c r="M17" s="14">
        <v>0.17</v>
      </c>
      <c r="N17" s="14">
        <v>0.08</v>
      </c>
      <c r="O17" s="14">
        <v>0.14000000000000001</v>
      </c>
      <c r="P17" s="14">
        <v>0.21</v>
      </c>
      <c r="Q17" s="14">
        <v>0.12</v>
      </c>
      <c r="R17" s="14">
        <v>0.12</v>
      </c>
      <c r="S17" s="14">
        <v>0.13</v>
      </c>
      <c r="T17" s="14">
        <v>0.18</v>
      </c>
      <c r="U17" s="14">
        <v>0.14000000000000001</v>
      </c>
      <c r="V17" s="14">
        <v>0.18</v>
      </c>
      <c r="W17" s="14">
        <v>0.22</v>
      </c>
      <c r="X17" s="14">
        <v>0.17</v>
      </c>
      <c r="Y17" s="14">
        <v>0.16</v>
      </c>
      <c r="Z17" s="14">
        <v>0.12</v>
      </c>
      <c r="AA17" s="14">
        <v>0.06</v>
      </c>
      <c r="AB17" s="14">
        <v>0.11</v>
      </c>
      <c r="AC17" s="14">
        <v>0.13</v>
      </c>
      <c r="AD17" s="14">
        <v>0.2</v>
      </c>
      <c r="AE17" s="14">
        <v>0.18</v>
      </c>
      <c r="AF17" s="14">
        <v>0.13</v>
      </c>
    </row>
    <row r="18" spans="1:32" x14ac:dyDescent="0.35">
      <c r="A18" s="31"/>
      <c r="B18" s="11" t="s">
        <v>683</v>
      </c>
      <c r="C18" s="12">
        <v>5077</v>
      </c>
      <c r="D18" s="12">
        <v>218</v>
      </c>
      <c r="E18" s="12">
        <v>244</v>
      </c>
      <c r="F18" s="12">
        <v>301</v>
      </c>
      <c r="G18" s="12">
        <v>107</v>
      </c>
      <c r="H18" s="12">
        <v>236</v>
      </c>
      <c r="I18" s="12">
        <v>291</v>
      </c>
      <c r="J18" s="12">
        <v>55</v>
      </c>
      <c r="K18" s="12">
        <v>241</v>
      </c>
      <c r="L18" s="12">
        <v>151</v>
      </c>
      <c r="M18" s="12">
        <v>201</v>
      </c>
      <c r="N18" s="12">
        <v>186</v>
      </c>
      <c r="O18" s="12">
        <v>155</v>
      </c>
      <c r="P18" s="12">
        <v>191</v>
      </c>
      <c r="Q18" s="12">
        <v>246</v>
      </c>
      <c r="R18" s="12">
        <v>102</v>
      </c>
      <c r="S18" s="12">
        <v>228</v>
      </c>
      <c r="T18" s="12">
        <v>243</v>
      </c>
      <c r="U18" s="12">
        <v>105</v>
      </c>
      <c r="V18" s="12">
        <v>124</v>
      </c>
      <c r="W18" s="12">
        <v>46</v>
      </c>
      <c r="X18" s="12">
        <v>139</v>
      </c>
      <c r="Y18" s="12">
        <v>211</v>
      </c>
      <c r="Z18" s="12">
        <v>208</v>
      </c>
      <c r="AA18" s="12">
        <v>170</v>
      </c>
      <c r="AB18" s="12">
        <v>180</v>
      </c>
      <c r="AC18" s="12">
        <v>202</v>
      </c>
      <c r="AD18" s="12">
        <v>215</v>
      </c>
      <c r="AE18" s="12">
        <v>261</v>
      </c>
      <c r="AF18" s="12">
        <v>220</v>
      </c>
    </row>
    <row r="19" spans="1:32" x14ac:dyDescent="0.35">
      <c r="A19" s="31"/>
      <c r="B19" s="13" t="s">
        <v>684</v>
      </c>
      <c r="C19" s="14">
        <v>0.19</v>
      </c>
      <c r="D19" s="14">
        <v>0.21</v>
      </c>
      <c r="E19" s="14">
        <v>0.24</v>
      </c>
      <c r="F19" s="14">
        <v>0.3</v>
      </c>
      <c r="G19" s="14">
        <v>0.1</v>
      </c>
      <c r="H19" s="14">
        <v>0.19</v>
      </c>
      <c r="I19" s="14">
        <v>0.19</v>
      </c>
      <c r="J19" s="14">
        <v>0.19</v>
      </c>
      <c r="K19" s="14">
        <v>0.24</v>
      </c>
      <c r="L19" s="14">
        <v>0.15</v>
      </c>
      <c r="M19" s="14">
        <v>0.2</v>
      </c>
      <c r="N19" s="14">
        <v>0.19</v>
      </c>
      <c r="O19" s="14">
        <v>0.16</v>
      </c>
      <c r="P19" s="14">
        <v>0.19</v>
      </c>
      <c r="Q19" s="14">
        <v>0.24</v>
      </c>
      <c r="R19" s="14">
        <v>0.21</v>
      </c>
      <c r="S19" s="14">
        <v>0.22</v>
      </c>
      <c r="T19" s="14">
        <v>0.24</v>
      </c>
      <c r="U19" s="14">
        <v>0.2</v>
      </c>
      <c r="V19" s="14">
        <v>0.12</v>
      </c>
      <c r="W19" s="14">
        <v>0.09</v>
      </c>
      <c r="X19" s="14">
        <v>0.14000000000000001</v>
      </c>
      <c r="Y19" s="14">
        <v>0.21</v>
      </c>
      <c r="Z19" s="14">
        <v>0.2</v>
      </c>
      <c r="AA19" s="14">
        <v>0.17</v>
      </c>
      <c r="AB19" s="14">
        <v>0.17</v>
      </c>
      <c r="AC19" s="14">
        <v>0.2</v>
      </c>
      <c r="AD19" s="14">
        <v>0.22</v>
      </c>
      <c r="AE19" s="14">
        <v>0.26</v>
      </c>
      <c r="AF19" s="14">
        <v>0.22</v>
      </c>
    </row>
    <row r="20" spans="1:32" x14ac:dyDescent="0.35">
      <c r="A20" s="31"/>
      <c r="B20" s="11" t="s">
        <v>685</v>
      </c>
      <c r="C20" s="12">
        <v>2875</v>
      </c>
      <c r="D20" s="12">
        <v>59</v>
      </c>
      <c r="E20" s="12">
        <v>64</v>
      </c>
      <c r="F20" s="12">
        <v>110</v>
      </c>
      <c r="G20" s="12">
        <v>60</v>
      </c>
      <c r="H20" s="12">
        <v>125</v>
      </c>
      <c r="I20" s="12">
        <v>147</v>
      </c>
      <c r="J20" s="12">
        <v>22</v>
      </c>
      <c r="K20" s="12">
        <v>96</v>
      </c>
      <c r="L20" s="12">
        <v>89</v>
      </c>
      <c r="M20" s="12">
        <v>80</v>
      </c>
      <c r="N20" s="12">
        <v>39</v>
      </c>
      <c r="O20" s="12">
        <v>123</v>
      </c>
      <c r="P20" s="12">
        <v>91</v>
      </c>
      <c r="Q20" s="12">
        <v>166</v>
      </c>
      <c r="R20" s="12">
        <v>63</v>
      </c>
      <c r="S20" s="12">
        <v>87</v>
      </c>
      <c r="T20" s="12">
        <v>77</v>
      </c>
      <c r="U20" s="12">
        <v>25</v>
      </c>
      <c r="V20" s="12">
        <v>102</v>
      </c>
      <c r="W20" s="12">
        <v>51</v>
      </c>
      <c r="X20" s="12">
        <v>22</v>
      </c>
      <c r="Y20" s="12">
        <v>152</v>
      </c>
      <c r="Z20" s="12">
        <v>169</v>
      </c>
      <c r="AA20" s="12">
        <v>195</v>
      </c>
      <c r="AB20" s="12">
        <v>244</v>
      </c>
      <c r="AC20" s="12">
        <v>77</v>
      </c>
      <c r="AD20" s="12">
        <v>37</v>
      </c>
      <c r="AE20" s="12">
        <v>37</v>
      </c>
      <c r="AF20" s="12">
        <v>29</v>
      </c>
    </row>
    <row r="21" spans="1:32" x14ac:dyDescent="0.35">
      <c r="A21" s="31"/>
      <c r="B21" s="13" t="s">
        <v>686</v>
      </c>
      <c r="C21" s="14">
        <v>0.11</v>
      </c>
      <c r="D21" s="14">
        <v>0.06</v>
      </c>
      <c r="E21" s="14">
        <v>0.06</v>
      </c>
      <c r="F21" s="14">
        <v>0.11</v>
      </c>
      <c r="G21" s="14">
        <v>0.06</v>
      </c>
      <c r="H21" s="14">
        <v>0.1</v>
      </c>
      <c r="I21" s="14">
        <v>0.1</v>
      </c>
      <c r="J21" s="14">
        <v>7.0000000000000007E-2</v>
      </c>
      <c r="K21" s="14">
        <v>0.09</v>
      </c>
      <c r="L21" s="14">
        <v>0.09</v>
      </c>
      <c r="M21" s="14">
        <v>0.08</v>
      </c>
      <c r="N21" s="14">
        <v>0.04</v>
      </c>
      <c r="O21" s="14">
        <v>0.12</v>
      </c>
      <c r="P21" s="14">
        <v>0.09</v>
      </c>
      <c r="Q21" s="14">
        <v>0.16</v>
      </c>
      <c r="R21" s="14">
        <v>0.13</v>
      </c>
      <c r="S21" s="14">
        <v>0.08</v>
      </c>
      <c r="T21" s="14">
        <v>7.0000000000000007E-2</v>
      </c>
      <c r="U21" s="14">
        <v>0.05</v>
      </c>
      <c r="V21" s="14">
        <v>0.1</v>
      </c>
      <c r="W21" s="14">
        <v>0.1</v>
      </c>
      <c r="X21" s="14">
        <v>0.02</v>
      </c>
      <c r="Y21" s="14">
        <v>0.15</v>
      </c>
      <c r="Z21" s="14">
        <v>0.17</v>
      </c>
      <c r="AA21" s="14">
        <v>0.19</v>
      </c>
      <c r="AB21" s="14">
        <v>0.23</v>
      </c>
      <c r="AC21" s="14">
        <v>0.08</v>
      </c>
      <c r="AD21" s="14">
        <v>0.04</v>
      </c>
      <c r="AE21" s="14">
        <v>0.04</v>
      </c>
      <c r="AF21" s="14">
        <v>0.03</v>
      </c>
    </row>
    <row r="22" spans="1:32" x14ac:dyDescent="0.35">
      <c r="A22" s="31"/>
      <c r="B22" s="11" t="s">
        <v>344</v>
      </c>
      <c r="C22" s="12">
        <v>1343</v>
      </c>
      <c r="D22" s="12">
        <v>17</v>
      </c>
      <c r="E22" s="12">
        <v>146</v>
      </c>
      <c r="F22" s="12">
        <v>40</v>
      </c>
      <c r="G22" s="12">
        <v>38</v>
      </c>
      <c r="H22" s="12">
        <v>66</v>
      </c>
      <c r="I22" s="12">
        <v>81</v>
      </c>
      <c r="J22" s="12">
        <v>14</v>
      </c>
      <c r="K22" s="12">
        <v>41</v>
      </c>
      <c r="L22" s="12">
        <v>36</v>
      </c>
      <c r="M22" s="12">
        <v>36</v>
      </c>
      <c r="N22" s="12">
        <v>41</v>
      </c>
      <c r="O22" s="12">
        <v>63</v>
      </c>
      <c r="P22" s="12">
        <v>46</v>
      </c>
      <c r="Q22" s="12">
        <v>35</v>
      </c>
      <c r="R22" s="12">
        <v>27</v>
      </c>
      <c r="S22" s="12">
        <v>58</v>
      </c>
      <c r="T22" s="12">
        <v>59</v>
      </c>
      <c r="U22" s="12">
        <v>16</v>
      </c>
      <c r="V22" s="12">
        <v>51</v>
      </c>
      <c r="W22" s="12">
        <v>16</v>
      </c>
      <c r="X22" s="12">
        <v>11</v>
      </c>
      <c r="Y22" s="12">
        <v>67</v>
      </c>
      <c r="Z22" s="12">
        <v>78</v>
      </c>
      <c r="AA22" s="12">
        <v>147</v>
      </c>
      <c r="AB22" s="12">
        <v>55</v>
      </c>
      <c r="AC22" s="12">
        <v>20</v>
      </c>
      <c r="AD22" s="12">
        <v>40</v>
      </c>
      <c r="AE22" s="12">
        <v>19</v>
      </c>
      <c r="AF22" s="12">
        <v>24</v>
      </c>
    </row>
    <row r="23" spans="1:32" x14ac:dyDescent="0.35">
      <c r="A23" s="31"/>
      <c r="B23" s="13" t="s">
        <v>357</v>
      </c>
      <c r="C23" s="14">
        <v>0.05</v>
      </c>
      <c r="D23" s="14">
        <v>0.01</v>
      </c>
      <c r="E23" s="14">
        <v>0.14000000000000001</v>
      </c>
      <c r="F23" s="14">
        <v>0.04</v>
      </c>
      <c r="G23" s="14">
        <v>0.04</v>
      </c>
      <c r="H23" s="14">
        <v>0.06</v>
      </c>
      <c r="I23" s="14">
        <v>0.05</v>
      </c>
      <c r="J23" s="14">
        <v>0.05</v>
      </c>
      <c r="K23" s="14">
        <v>0.04</v>
      </c>
      <c r="L23" s="14">
        <v>0.04</v>
      </c>
      <c r="M23" s="14">
        <v>0.03</v>
      </c>
      <c r="N23" s="14">
        <v>0.04</v>
      </c>
      <c r="O23" s="14">
        <v>0.06</v>
      </c>
      <c r="P23" s="14">
        <v>0.05</v>
      </c>
      <c r="Q23" s="14">
        <v>0.04</v>
      </c>
      <c r="R23" s="14">
        <v>0.05</v>
      </c>
      <c r="S23" s="14">
        <v>0.06</v>
      </c>
      <c r="T23" s="14">
        <v>0.06</v>
      </c>
      <c r="U23" s="14">
        <v>0.03</v>
      </c>
      <c r="V23" s="14">
        <v>0.05</v>
      </c>
      <c r="W23" s="14">
        <v>0.03</v>
      </c>
      <c r="X23" s="14">
        <v>0.01</v>
      </c>
      <c r="Y23" s="14">
        <v>0.06</v>
      </c>
      <c r="Z23" s="14">
        <v>0.08</v>
      </c>
      <c r="AA23" s="14">
        <v>0.14000000000000001</v>
      </c>
      <c r="AB23" s="14">
        <v>0.05</v>
      </c>
      <c r="AC23" s="14">
        <v>0.02</v>
      </c>
      <c r="AD23" s="14">
        <v>0.04</v>
      </c>
      <c r="AE23" s="14">
        <v>0.02</v>
      </c>
      <c r="AF23" s="14">
        <v>0.02</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1031</v>
      </c>
      <c r="C3" s="30"/>
      <c r="D3" s="30"/>
      <c r="E3" s="30"/>
      <c r="F3" s="30"/>
      <c r="H3" s="30" t="s">
        <v>1032</v>
      </c>
      <c r="I3" s="30"/>
      <c r="J3" s="30"/>
      <c r="K3" s="30"/>
      <c r="L3" s="30"/>
    </row>
    <row r="4" spans="1:32" ht="27" customHeight="1" x14ac:dyDescent="0.35">
      <c r="B4" s="30" t="s">
        <v>1033</v>
      </c>
      <c r="C4" s="30"/>
      <c r="D4" s="30"/>
      <c r="E4" s="30"/>
      <c r="F4" s="30"/>
      <c r="H4" s="30" t="s">
        <v>1034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1035</v>
      </c>
      <c r="C12" s="12">
        <v>7808</v>
      </c>
      <c r="D12" s="12">
        <v>301</v>
      </c>
      <c r="E12" s="12">
        <v>470</v>
      </c>
      <c r="F12" s="12">
        <v>173</v>
      </c>
      <c r="G12" s="12">
        <v>126</v>
      </c>
      <c r="H12" s="12">
        <v>287</v>
      </c>
      <c r="I12" s="12">
        <v>378</v>
      </c>
      <c r="J12" s="12">
        <v>90</v>
      </c>
      <c r="K12" s="12">
        <v>220</v>
      </c>
      <c r="L12" s="12">
        <v>380</v>
      </c>
      <c r="M12" s="12">
        <v>179</v>
      </c>
      <c r="N12" s="12">
        <v>532</v>
      </c>
      <c r="O12" s="12">
        <v>331</v>
      </c>
      <c r="P12" s="12">
        <v>240</v>
      </c>
      <c r="Q12" s="12">
        <v>367</v>
      </c>
      <c r="R12" s="12">
        <v>91</v>
      </c>
      <c r="S12" s="12">
        <v>268</v>
      </c>
      <c r="T12" s="12">
        <v>303</v>
      </c>
      <c r="U12" s="12">
        <v>200</v>
      </c>
      <c r="V12" s="12">
        <v>280</v>
      </c>
      <c r="W12" s="12">
        <v>79</v>
      </c>
      <c r="X12" s="12">
        <v>152</v>
      </c>
      <c r="Y12" s="12">
        <v>253</v>
      </c>
      <c r="Z12" s="12">
        <v>224</v>
      </c>
      <c r="AA12" s="12">
        <v>268</v>
      </c>
      <c r="AB12" s="12">
        <v>217</v>
      </c>
      <c r="AC12" s="12">
        <v>223</v>
      </c>
      <c r="AD12" s="12">
        <v>200</v>
      </c>
      <c r="AE12" s="12">
        <v>167</v>
      </c>
      <c r="AF12" s="12">
        <v>162</v>
      </c>
    </row>
    <row r="13" spans="1:32" x14ac:dyDescent="0.35">
      <c r="A13" s="31"/>
      <c r="B13" s="13" t="s">
        <v>1036</v>
      </c>
      <c r="C13" s="14">
        <v>0.3</v>
      </c>
      <c r="D13" s="14">
        <v>0.28999999999999998</v>
      </c>
      <c r="E13" s="14">
        <v>0.45</v>
      </c>
      <c r="F13" s="14">
        <v>0.17</v>
      </c>
      <c r="G13" s="14">
        <v>0.12</v>
      </c>
      <c r="H13" s="14">
        <v>0.23</v>
      </c>
      <c r="I13" s="14">
        <v>0.25</v>
      </c>
      <c r="J13" s="14">
        <v>0.3</v>
      </c>
      <c r="K13" s="14">
        <v>0.22</v>
      </c>
      <c r="L13" s="14">
        <v>0.38</v>
      </c>
      <c r="M13" s="14">
        <v>0.18</v>
      </c>
      <c r="N13" s="14">
        <v>0.53</v>
      </c>
      <c r="O13" s="14">
        <v>0.33</v>
      </c>
      <c r="P13" s="14">
        <v>0.24</v>
      </c>
      <c r="Q13" s="14">
        <v>0.36</v>
      </c>
      <c r="R13" s="14">
        <v>0.18</v>
      </c>
      <c r="S13" s="14">
        <v>0.26</v>
      </c>
      <c r="T13" s="14">
        <v>0.3</v>
      </c>
      <c r="U13" s="14">
        <v>0.39</v>
      </c>
      <c r="V13" s="14">
        <v>0.28000000000000003</v>
      </c>
      <c r="W13" s="14">
        <v>0.16</v>
      </c>
      <c r="X13" s="14">
        <v>0.15</v>
      </c>
      <c r="Y13" s="14">
        <v>0.25</v>
      </c>
      <c r="Z13" s="14">
        <v>0.22</v>
      </c>
      <c r="AA13" s="14">
        <v>0.26</v>
      </c>
      <c r="AB13" s="14">
        <v>0.21</v>
      </c>
      <c r="AC13" s="14">
        <v>0.22</v>
      </c>
      <c r="AD13" s="14">
        <v>0.2</v>
      </c>
      <c r="AE13" s="14">
        <v>0.17</v>
      </c>
      <c r="AF13" s="14">
        <v>0.16</v>
      </c>
    </row>
    <row r="14" spans="1:32" x14ac:dyDescent="0.35">
      <c r="A14" s="31"/>
      <c r="B14" s="11" t="s">
        <v>1037</v>
      </c>
      <c r="C14" s="12">
        <v>9831</v>
      </c>
      <c r="D14" s="12">
        <v>393</v>
      </c>
      <c r="E14" s="12">
        <v>329</v>
      </c>
      <c r="F14" s="12">
        <v>375</v>
      </c>
      <c r="G14" s="12">
        <v>271</v>
      </c>
      <c r="H14" s="12">
        <v>356</v>
      </c>
      <c r="I14" s="12">
        <v>464</v>
      </c>
      <c r="J14" s="12">
        <v>108</v>
      </c>
      <c r="K14" s="12">
        <v>395</v>
      </c>
      <c r="L14" s="12">
        <v>358</v>
      </c>
      <c r="M14" s="12">
        <v>494</v>
      </c>
      <c r="N14" s="12">
        <v>325</v>
      </c>
      <c r="O14" s="12">
        <v>369</v>
      </c>
      <c r="P14" s="12">
        <v>431</v>
      </c>
      <c r="Q14" s="12">
        <v>437</v>
      </c>
      <c r="R14" s="12">
        <v>127</v>
      </c>
      <c r="S14" s="12">
        <v>401</v>
      </c>
      <c r="T14" s="12">
        <v>444</v>
      </c>
      <c r="U14" s="12">
        <v>174</v>
      </c>
      <c r="V14" s="12">
        <v>521</v>
      </c>
      <c r="W14" s="12">
        <v>169</v>
      </c>
      <c r="X14" s="12">
        <v>392</v>
      </c>
      <c r="Y14" s="12">
        <v>380</v>
      </c>
      <c r="Z14" s="12">
        <v>460</v>
      </c>
      <c r="AA14" s="12">
        <v>360</v>
      </c>
      <c r="AB14" s="12">
        <v>461</v>
      </c>
      <c r="AC14" s="12">
        <v>368</v>
      </c>
      <c r="AD14" s="12">
        <v>355</v>
      </c>
      <c r="AE14" s="12">
        <v>322</v>
      </c>
      <c r="AF14" s="12">
        <v>333</v>
      </c>
    </row>
    <row r="15" spans="1:32" x14ac:dyDescent="0.35">
      <c r="A15" s="31"/>
      <c r="B15" s="13" t="s">
        <v>1038</v>
      </c>
      <c r="C15" s="14">
        <v>0.37</v>
      </c>
      <c r="D15" s="14">
        <v>0.38</v>
      </c>
      <c r="E15" s="14">
        <v>0.32</v>
      </c>
      <c r="F15" s="14">
        <v>0.37</v>
      </c>
      <c r="G15" s="14">
        <v>0.27</v>
      </c>
      <c r="H15" s="14">
        <v>0.28999999999999998</v>
      </c>
      <c r="I15" s="14">
        <v>0.3</v>
      </c>
      <c r="J15" s="14">
        <v>0.36</v>
      </c>
      <c r="K15" s="14">
        <v>0.39</v>
      </c>
      <c r="L15" s="14">
        <v>0.35</v>
      </c>
      <c r="M15" s="14">
        <v>0.49</v>
      </c>
      <c r="N15" s="14">
        <v>0.33</v>
      </c>
      <c r="O15" s="14">
        <v>0.37</v>
      </c>
      <c r="P15" s="14">
        <v>0.43</v>
      </c>
      <c r="Q15" s="14">
        <v>0.42</v>
      </c>
      <c r="R15" s="14">
        <v>0.25</v>
      </c>
      <c r="S15" s="14">
        <v>0.39</v>
      </c>
      <c r="T15" s="14">
        <v>0.44</v>
      </c>
      <c r="U15" s="14">
        <v>0.34</v>
      </c>
      <c r="V15" s="14">
        <v>0.51</v>
      </c>
      <c r="W15" s="14">
        <v>0.34</v>
      </c>
      <c r="X15" s="14">
        <v>0.39</v>
      </c>
      <c r="Y15" s="14">
        <v>0.38</v>
      </c>
      <c r="Z15" s="14">
        <v>0.45</v>
      </c>
      <c r="AA15" s="14">
        <v>0.35</v>
      </c>
      <c r="AB15" s="14">
        <v>0.44</v>
      </c>
      <c r="AC15" s="14">
        <v>0.36</v>
      </c>
      <c r="AD15" s="14">
        <v>0.35</v>
      </c>
      <c r="AE15" s="14">
        <v>0.32</v>
      </c>
      <c r="AF15" s="14">
        <v>0.33</v>
      </c>
    </row>
    <row r="16" spans="1:32" x14ac:dyDescent="0.35">
      <c r="A16" s="31"/>
      <c r="B16" s="11" t="s">
        <v>1039</v>
      </c>
      <c r="C16" s="12">
        <v>6590</v>
      </c>
      <c r="D16" s="12">
        <v>267</v>
      </c>
      <c r="E16" s="12">
        <v>146</v>
      </c>
      <c r="F16" s="12">
        <v>295</v>
      </c>
      <c r="G16" s="12">
        <v>472</v>
      </c>
      <c r="H16" s="12">
        <v>464</v>
      </c>
      <c r="I16" s="12">
        <v>543</v>
      </c>
      <c r="J16" s="12">
        <v>80</v>
      </c>
      <c r="K16" s="12">
        <v>274</v>
      </c>
      <c r="L16" s="12">
        <v>199</v>
      </c>
      <c r="M16" s="12">
        <v>229</v>
      </c>
      <c r="N16" s="12">
        <v>101</v>
      </c>
      <c r="O16" s="12">
        <v>224</v>
      </c>
      <c r="P16" s="12">
        <v>245</v>
      </c>
      <c r="Q16" s="12">
        <v>156</v>
      </c>
      <c r="R16" s="12">
        <v>182</v>
      </c>
      <c r="S16" s="12">
        <v>234</v>
      </c>
      <c r="T16" s="12">
        <v>146</v>
      </c>
      <c r="U16" s="12">
        <v>97</v>
      </c>
      <c r="V16" s="12">
        <v>154</v>
      </c>
      <c r="W16" s="12">
        <v>178</v>
      </c>
      <c r="X16" s="12">
        <v>396</v>
      </c>
      <c r="Y16" s="12">
        <v>261</v>
      </c>
      <c r="Z16" s="12">
        <v>288</v>
      </c>
      <c r="AA16" s="12">
        <v>259</v>
      </c>
      <c r="AB16" s="12">
        <v>236</v>
      </c>
      <c r="AC16" s="12">
        <v>323</v>
      </c>
      <c r="AD16" s="12">
        <v>321</v>
      </c>
      <c r="AE16" s="12">
        <v>416</v>
      </c>
      <c r="AF16" s="12">
        <v>434</v>
      </c>
    </row>
    <row r="17" spans="1:32" x14ac:dyDescent="0.35">
      <c r="A17" s="31"/>
      <c r="B17" s="13" t="s">
        <v>1040</v>
      </c>
      <c r="C17" s="14">
        <v>0.25</v>
      </c>
      <c r="D17" s="14">
        <v>0.26</v>
      </c>
      <c r="E17" s="14">
        <v>0.14000000000000001</v>
      </c>
      <c r="F17" s="14">
        <v>0.28999999999999998</v>
      </c>
      <c r="G17" s="14">
        <v>0.46</v>
      </c>
      <c r="H17" s="14">
        <v>0.38</v>
      </c>
      <c r="I17" s="14">
        <v>0.36</v>
      </c>
      <c r="J17" s="14">
        <v>0.27</v>
      </c>
      <c r="K17" s="14">
        <v>0.27</v>
      </c>
      <c r="L17" s="14">
        <v>0.2</v>
      </c>
      <c r="M17" s="14">
        <v>0.23</v>
      </c>
      <c r="N17" s="14">
        <v>0.1</v>
      </c>
      <c r="O17" s="14">
        <v>0.23</v>
      </c>
      <c r="P17" s="14">
        <v>0.24</v>
      </c>
      <c r="Q17" s="14">
        <v>0.15</v>
      </c>
      <c r="R17" s="14">
        <v>0.36</v>
      </c>
      <c r="S17" s="14">
        <v>0.23</v>
      </c>
      <c r="T17" s="14">
        <v>0.14000000000000001</v>
      </c>
      <c r="U17" s="14">
        <v>0.19</v>
      </c>
      <c r="V17" s="14">
        <v>0.15</v>
      </c>
      <c r="W17" s="14">
        <v>0.35</v>
      </c>
      <c r="X17" s="14">
        <v>0.39</v>
      </c>
      <c r="Y17" s="14">
        <v>0.26</v>
      </c>
      <c r="Z17" s="14">
        <v>0.28000000000000003</v>
      </c>
      <c r="AA17" s="14">
        <v>0.25</v>
      </c>
      <c r="AB17" s="14">
        <v>0.22</v>
      </c>
      <c r="AC17" s="14">
        <v>0.32</v>
      </c>
      <c r="AD17" s="14">
        <v>0.32</v>
      </c>
      <c r="AE17" s="14">
        <v>0.41</v>
      </c>
      <c r="AF17" s="14">
        <v>0.42</v>
      </c>
    </row>
    <row r="18" spans="1:32" x14ac:dyDescent="0.35">
      <c r="A18" s="31"/>
      <c r="B18" s="11" t="s">
        <v>1041</v>
      </c>
      <c r="C18" s="12">
        <v>1630</v>
      </c>
      <c r="D18" s="12">
        <v>58</v>
      </c>
      <c r="E18" s="12">
        <v>63</v>
      </c>
      <c r="F18" s="12">
        <v>159</v>
      </c>
      <c r="G18" s="12">
        <v>119</v>
      </c>
      <c r="H18" s="12">
        <v>112</v>
      </c>
      <c r="I18" s="12">
        <v>127</v>
      </c>
      <c r="J18" s="12">
        <v>15</v>
      </c>
      <c r="K18" s="12">
        <v>81</v>
      </c>
      <c r="L18" s="12">
        <v>58</v>
      </c>
      <c r="M18" s="12">
        <v>82</v>
      </c>
      <c r="N18" s="12">
        <v>23</v>
      </c>
      <c r="O18" s="12">
        <v>41</v>
      </c>
      <c r="P18" s="12">
        <v>53</v>
      </c>
      <c r="Q18" s="12">
        <v>51</v>
      </c>
      <c r="R18" s="12">
        <v>78</v>
      </c>
      <c r="S18" s="12">
        <v>68</v>
      </c>
      <c r="T18" s="12">
        <v>101</v>
      </c>
      <c r="U18" s="12">
        <v>26</v>
      </c>
      <c r="V18" s="12">
        <v>50</v>
      </c>
      <c r="W18" s="12">
        <v>43</v>
      </c>
      <c r="X18" s="12">
        <v>68</v>
      </c>
      <c r="Y18" s="12">
        <v>87</v>
      </c>
      <c r="Z18" s="12">
        <v>33</v>
      </c>
      <c r="AA18" s="12">
        <v>91</v>
      </c>
      <c r="AB18" s="12">
        <v>94</v>
      </c>
      <c r="AC18" s="12">
        <v>79</v>
      </c>
      <c r="AD18" s="12">
        <v>110</v>
      </c>
      <c r="AE18" s="12">
        <v>82</v>
      </c>
      <c r="AF18" s="12">
        <v>88</v>
      </c>
    </row>
    <row r="19" spans="1:32" x14ac:dyDescent="0.35">
      <c r="A19" s="31"/>
      <c r="B19" s="13" t="s">
        <v>1042</v>
      </c>
      <c r="C19" s="14">
        <v>0.06</v>
      </c>
      <c r="D19" s="14">
        <v>0.06</v>
      </c>
      <c r="E19" s="14">
        <v>0.06</v>
      </c>
      <c r="F19" s="14">
        <v>0.15</v>
      </c>
      <c r="G19" s="14">
        <v>0.12</v>
      </c>
      <c r="H19" s="14">
        <v>0.09</v>
      </c>
      <c r="I19" s="14">
        <v>0.08</v>
      </c>
      <c r="J19" s="14">
        <v>0.05</v>
      </c>
      <c r="K19" s="14">
        <v>0.08</v>
      </c>
      <c r="L19" s="14">
        <v>0.06</v>
      </c>
      <c r="M19" s="14">
        <v>0.08</v>
      </c>
      <c r="N19" s="14">
        <v>0.02</v>
      </c>
      <c r="O19" s="14">
        <v>0.04</v>
      </c>
      <c r="P19" s="14">
        <v>0.05</v>
      </c>
      <c r="Q19" s="14">
        <v>0.05</v>
      </c>
      <c r="R19" s="14">
        <v>0.16</v>
      </c>
      <c r="S19" s="14">
        <v>7.0000000000000007E-2</v>
      </c>
      <c r="T19" s="14">
        <v>0.1</v>
      </c>
      <c r="U19" s="14">
        <v>0.05</v>
      </c>
      <c r="V19" s="14">
        <v>0.05</v>
      </c>
      <c r="W19" s="14">
        <v>0.09</v>
      </c>
      <c r="X19" s="14">
        <v>7.0000000000000007E-2</v>
      </c>
      <c r="Y19" s="14">
        <v>0.09</v>
      </c>
      <c r="Z19" s="14">
        <v>0.03</v>
      </c>
      <c r="AA19" s="14">
        <v>0.09</v>
      </c>
      <c r="AB19" s="14">
        <v>0.09</v>
      </c>
      <c r="AC19" s="14">
        <v>0.08</v>
      </c>
      <c r="AD19" s="14">
        <v>0.11</v>
      </c>
      <c r="AE19" s="14">
        <v>0.08</v>
      </c>
      <c r="AF19" s="14">
        <v>0.09</v>
      </c>
    </row>
    <row r="20" spans="1:32" x14ac:dyDescent="0.35">
      <c r="A20" s="31"/>
      <c r="B20" s="11" t="s">
        <v>344</v>
      </c>
      <c r="C20" s="12">
        <v>550</v>
      </c>
      <c r="D20" s="12">
        <v>6</v>
      </c>
      <c r="E20" s="12">
        <v>31</v>
      </c>
      <c r="F20" s="12">
        <v>16</v>
      </c>
      <c r="G20" s="12">
        <v>30</v>
      </c>
      <c r="H20" s="12">
        <v>14</v>
      </c>
      <c r="I20" s="12">
        <v>19</v>
      </c>
      <c r="J20" s="12">
        <v>5</v>
      </c>
      <c r="K20" s="12">
        <v>39</v>
      </c>
      <c r="L20" s="12">
        <v>9</v>
      </c>
      <c r="M20" s="12">
        <v>19</v>
      </c>
      <c r="N20" s="12">
        <v>18</v>
      </c>
      <c r="O20" s="12">
        <v>34</v>
      </c>
      <c r="P20" s="12">
        <v>36</v>
      </c>
      <c r="Q20" s="12">
        <v>24</v>
      </c>
      <c r="R20" s="12">
        <v>23</v>
      </c>
      <c r="S20" s="12">
        <v>50</v>
      </c>
      <c r="T20" s="12">
        <v>23</v>
      </c>
      <c r="U20" s="12">
        <v>13</v>
      </c>
      <c r="V20" s="12">
        <v>9</v>
      </c>
      <c r="W20" s="12">
        <v>32</v>
      </c>
      <c r="X20" s="12">
        <v>2</v>
      </c>
      <c r="Y20" s="12">
        <v>22</v>
      </c>
      <c r="Z20" s="12">
        <v>13</v>
      </c>
      <c r="AA20" s="12">
        <v>52</v>
      </c>
      <c r="AB20" s="12">
        <v>48</v>
      </c>
      <c r="AC20" s="12">
        <v>20</v>
      </c>
      <c r="AD20" s="12">
        <v>17</v>
      </c>
      <c r="AE20" s="12">
        <v>20</v>
      </c>
      <c r="AF20" s="12">
        <v>3</v>
      </c>
    </row>
    <row r="21" spans="1:32" x14ac:dyDescent="0.35">
      <c r="A21" s="31"/>
      <c r="B21" s="13" t="s">
        <v>357</v>
      </c>
      <c r="C21" s="14">
        <v>0.02</v>
      </c>
      <c r="D21" s="14">
        <v>0.01</v>
      </c>
      <c r="E21" s="14">
        <v>0.03</v>
      </c>
      <c r="F21" s="14">
        <v>0.02</v>
      </c>
      <c r="G21" s="14">
        <v>0.03</v>
      </c>
      <c r="H21" s="14">
        <v>0.01</v>
      </c>
      <c r="I21" s="14">
        <v>0.01</v>
      </c>
      <c r="J21" s="14">
        <v>0.02</v>
      </c>
      <c r="K21" s="14">
        <v>0.04</v>
      </c>
      <c r="L21" s="14">
        <v>0.01</v>
      </c>
      <c r="M21" s="14">
        <v>0.02</v>
      </c>
      <c r="N21" s="14">
        <v>0.02</v>
      </c>
      <c r="O21" s="14">
        <v>0.03</v>
      </c>
      <c r="P21" s="14">
        <v>0.04</v>
      </c>
      <c r="Q21" s="14">
        <v>0.02</v>
      </c>
      <c r="R21" s="14">
        <v>0.05</v>
      </c>
      <c r="S21" s="14">
        <v>0.05</v>
      </c>
      <c r="T21" s="14">
        <v>0.02</v>
      </c>
      <c r="U21" s="14">
        <v>0.03</v>
      </c>
      <c r="V21" s="14">
        <v>0.01</v>
      </c>
      <c r="W21" s="14">
        <v>0.06</v>
      </c>
      <c r="X21" s="15" t="s">
        <v>333</v>
      </c>
      <c r="Y21" s="14">
        <v>0.02</v>
      </c>
      <c r="Z21" s="14">
        <v>0.02</v>
      </c>
      <c r="AA21" s="14">
        <v>0.05</v>
      </c>
      <c r="AB21" s="14">
        <v>0.04</v>
      </c>
      <c r="AC21" s="14">
        <v>0.02</v>
      </c>
      <c r="AD21" s="14">
        <v>0.02</v>
      </c>
      <c r="AE21" s="14">
        <v>0.02</v>
      </c>
      <c r="AF21" s="15" t="s">
        <v>333</v>
      </c>
    </row>
    <row r="22" spans="1:32" x14ac:dyDescent="0.35">
      <c r="A22" s="31"/>
      <c r="B22" s="11" t="s">
        <v>1043</v>
      </c>
      <c r="C22" s="12">
        <v>17639</v>
      </c>
      <c r="D22" s="12">
        <v>694</v>
      </c>
      <c r="E22" s="12">
        <v>799</v>
      </c>
      <c r="F22" s="12">
        <v>548</v>
      </c>
      <c r="G22" s="12">
        <v>397</v>
      </c>
      <c r="H22" s="12">
        <v>643</v>
      </c>
      <c r="I22" s="12">
        <v>842</v>
      </c>
      <c r="J22" s="12">
        <v>198</v>
      </c>
      <c r="K22" s="12">
        <v>615</v>
      </c>
      <c r="L22" s="12">
        <v>738</v>
      </c>
      <c r="M22" s="12">
        <v>673</v>
      </c>
      <c r="N22" s="12">
        <v>857</v>
      </c>
      <c r="O22" s="12">
        <v>700</v>
      </c>
      <c r="P22" s="12">
        <v>671</v>
      </c>
      <c r="Q22" s="12">
        <v>804</v>
      </c>
      <c r="R22" s="12">
        <v>218</v>
      </c>
      <c r="S22" s="12">
        <v>669</v>
      </c>
      <c r="T22" s="12">
        <v>747</v>
      </c>
      <c r="U22" s="12">
        <v>374</v>
      </c>
      <c r="V22" s="12">
        <v>801</v>
      </c>
      <c r="W22" s="12">
        <v>248</v>
      </c>
      <c r="X22" s="12">
        <v>544</v>
      </c>
      <c r="Y22" s="12">
        <v>633</v>
      </c>
      <c r="Z22" s="12">
        <v>684</v>
      </c>
      <c r="AA22" s="12">
        <v>628</v>
      </c>
      <c r="AB22" s="12">
        <v>678</v>
      </c>
      <c r="AC22" s="12">
        <v>591</v>
      </c>
      <c r="AD22" s="12">
        <v>555</v>
      </c>
      <c r="AE22" s="12">
        <v>489</v>
      </c>
      <c r="AF22" s="12">
        <v>495</v>
      </c>
    </row>
    <row r="23" spans="1:32" x14ac:dyDescent="0.35">
      <c r="A23" s="31"/>
      <c r="B23" s="13" t="s">
        <v>1044</v>
      </c>
      <c r="C23" s="14">
        <v>0.67</v>
      </c>
      <c r="D23" s="14">
        <v>0.67</v>
      </c>
      <c r="E23" s="14">
        <v>0.77</v>
      </c>
      <c r="F23" s="14">
        <v>0.54</v>
      </c>
      <c r="G23" s="14">
        <v>0.39</v>
      </c>
      <c r="H23" s="14">
        <v>0.52</v>
      </c>
      <c r="I23" s="14">
        <v>0.55000000000000004</v>
      </c>
      <c r="J23" s="14">
        <v>0.66</v>
      </c>
      <c r="K23" s="14">
        <v>0.61</v>
      </c>
      <c r="L23" s="14">
        <v>0.73</v>
      </c>
      <c r="M23" s="14">
        <v>0.67</v>
      </c>
      <c r="N23" s="14">
        <v>0.86</v>
      </c>
      <c r="O23" s="14">
        <v>0.70000000000000007</v>
      </c>
      <c r="P23" s="14">
        <v>0.67</v>
      </c>
      <c r="Q23" s="14">
        <v>0.78</v>
      </c>
      <c r="R23" s="14">
        <v>0.43</v>
      </c>
      <c r="S23" s="14">
        <v>0.65</v>
      </c>
      <c r="T23" s="14">
        <v>0.74</v>
      </c>
      <c r="U23" s="14">
        <v>0.73</v>
      </c>
      <c r="V23" s="14">
        <v>0.79</v>
      </c>
      <c r="W23" s="14">
        <v>0.5</v>
      </c>
      <c r="X23" s="14">
        <v>0.54</v>
      </c>
      <c r="Y23" s="14">
        <v>0.63</v>
      </c>
      <c r="Z23" s="14">
        <v>0.67</v>
      </c>
      <c r="AA23" s="14">
        <v>0.61</v>
      </c>
      <c r="AB23" s="14">
        <v>0.65</v>
      </c>
      <c r="AC23" s="14">
        <v>0.57999999999999996</v>
      </c>
      <c r="AD23" s="14">
        <v>0.55000000000000004</v>
      </c>
      <c r="AE23" s="14">
        <v>0.49</v>
      </c>
      <c r="AF23" s="14">
        <v>0.49</v>
      </c>
    </row>
    <row r="24" spans="1:32" x14ac:dyDescent="0.35">
      <c r="A24" s="31"/>
      <c r="B24" s="11" t="s">
        <v>1045</v>
      </c>
      <c r="C24" s="12">
        <v>8220</v>
      </c>
      <c r="D24" s="12">
        <v>325</v>
      </c>
      <c r="E24" s="12">
        <v>209</v>
      </c>
      <c r="F24" s="12">
        <v>454</v>
      </c>
      <c r="G24" s="12">
        <v>591</v>
      </c>
      <c r="H24" s="12">
        <v>576</v>
      </c>
      <c r="I24" s="12">
        <v>670</v>
      </c>
      <c r="J24" s="12">
        <v>95</v>
      </c>
      <c r="K24" s="12">
        <v>355</v>
      </c>
      <c r="L24" s="12">
        <v>257</v>
      </c>
      <c r="M24" s="12">
        <v>311</v>
      </c>
      <c r="N24" s="12">
        <v>124</v>
      </c>
      <c r="O24" s="12">
        <v>265</v>
      </c>
      <c r="P24" s="12">
        <v>298</v>
      </c>
      <c r="Q24" s="12">
        <v>207</v>
      </c>
      <c r="R24" s="12">
        <v>260</v>
      </c>
      <c r="S24" s="12">
        <v>302</v>
      </c>
      <c r="T24" s="12">
        <v>247</v>
      </c>
      <c r="U24" s="12">
        <v>123</v>
      </c>
      <c r="V24" s="12">
        <v>204</v>
      </c>
      <c r="W24" s="12">
        <v>221</v>
      </c>
      <c r="X24" s="12">
        <v>464</v>
      </c>
      <c r="Y24" s="12">
        <v>348</v>
      </c>
      <c r="Z24" s="12">
        <v>321</v>
      </c>
      <c r="AA24" s="12">
        <v>350</v>
      </c>
      <c r="AB24" s="12">
        <v>330</v>
      </c>
      <c r="AC24" s="12">
        <v>402</v>
      </c>
      <c r="AD24" s="12">
        <v>431</v>
      </c>
      <c r="AE24" s="12">
        <v>498</v>
      </c>
      <c r="AF24" s="12">
        <v>522</v>
      </c>
    </row>
    <row r="25" spans="1:32" x14ac:dyDescent="0.35">
      <c r="A25" s="31"/>
      <c r="B25" s="13" t="s">
        <v>1046</v>
      </c>
      <c r="C25" s="14">
        <v>0.31</v>
      </c>
      <c r="D25" s="14">
        <v>0.32</v>
      </c>
      <c r="E25" s="14">
        <v>0.2</v>
      </c>
      <c r="F25" s="14">
        <v>0.44</v>
      </c>
      <c r="G25" s="14">
        <v>0.57999999999999996</v>
      </c>
      <c r="H25" s="14">
        <v>0.47</v>
      </c>
      <c r="I25" s="14">
        <v>0.44</v>
      </c>
      <c r="J25" s="14">
        <v>0.32</v>
      </c>
      <c r="K25" s="14">
        <v>0.35</v>
      </c>
      <c r="L25" s="14">
        <v>0.26</v>
      </c>
      <c r="M25" s="14">
        <v>0.31</v>
      </c>
      <c r="N25" s="14">
        <v>0.12</v>
      </c>
      <c r="O25" s="14">
        <v>0.27</v>
      </c>
      <c r="P25" s="14">
        <v>0.28999999999999998</v>
      </c>
      <c r="Q25" s="14">
        <v>0.2</v>
      </c>
      <c r="R25" s="14">
        <v>0.52</v>
      </c>
      <c r="S25" s="14">
        <v>0.3</v>
      </c>
      <c r="T25" s="14">
        <v>0.24</v>
      </c>
      <c r="U25" s="14">
        <v>0.24</v>
      </c>
      <c r="V25" s="14">
        <v>0.2</v>
      </c>
      <c r="W25" s="14">
        <v>0.44</v>
      </c>
      <c r="X25" s="14">
        <v>0.46</v>
      </c>
      <c r="Y25" s="14">
        <v>0.35</v>
      </c>
      <c r="Z25" s="14">
        <v>0.31</v>
      </c>
      <c r="AA25" s="14">
        <v>0.34</v>
      </c>
      <c r="AB25" s="14">
        <v>0.31</v>
      </c>
      <c r="AC25" s="14">
        <v>0.4</v>
      </c>
      <c r="AD25" s="14">
        <v>0.43</v>
      </c>
      <c r="AE25" s="14">
        <v>0.49</v>
      </c>
      <c r="AF25" s="14">
        <v>0.51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1047</v>
      </c>
      <c r="C3" s="30"/>
      <c r="D3" s="30"/>
      <c r="E3" s="30"/>
      <c r="F3" s="30"/>
      <c r="H3" s="30" t="s">
        <v>1048</v>
      </c>
      <c r="I3" s="30"/>
      <c r="J3" s="30"/>
      <c r="K3" s="30"/>
      <c r="L3" s="30"/>
    </row>
    <row r="4" spans="1:32" ht="27" customHeight="1" x14ac:dyDescent="0.35">
      <c r="B4" s="30" t="s">
        <v>1049</v>
      </c>
      <c r="C4" s="30"/>
      <c r="D4" s="30"/>
      <c r="E4" s="30"/>
      <c r="F4" s="30"/>
      <c r="H4" s="30" t="s">
        <v>1050</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1035</v>
      </c>
      <c r="C12" s="12">
        <v>7781</v>
      </c>
      <c r="D12" s="12">
        <v>295</v>
      </c>
      <c r="E12" s="12">
        <v>340</v>
      </c>
      <c r="F12" s="12">
        <v>191</v>
      </c>
      <c r="G12" s="12">
        <v>234</v>
      </c>
      <c r="H12" s="12">
        <v>379</v>
      </c>
      <c r="I12" s="12">
        <v>457</v>
      </c>
      <c r="J12" s="12">
        <v>78</v>
      </c>
      <c r="K12" s="12">
        <v>186</v>
      </c>
      <c r="L12" s="12">
        <v>437</v>
      </c>
      <c r="M12" s="12">
        <v>178</v>
      </c>
      <c r="N12" s="12">
        <v>403</v>
      </c>
      <c r="O12" s="12">
        <v>377</v>
      </c>
      <c r="P12" s="12">
        <v>176</v>
      </c>
      <c r="Q12" s="12">
        <v>312</v>
      </c>
      <c r="R12" s="12">
        <v>95</v>
      </c>
      <c r="S12" s="12">
        <v>229</v>
      </c>
      <c r="T12" s="12">
        <v>274</v>
      </c>
      <c r="U12" s="12">
        <v>204</v>
      </c>
      <c r="V12" s="12">
        <v>208</v>
      </c>
      <c r="W12" s="12">
        <v>89</v>
      </c>
      <c r="X12" s="12">
        <v>231</v>
      </c>
      <c r="Y12" s="12">
        <v>260</v>
      </c>
      <c r="Z12" s="12">
        <v>239</v>
      </c>
      <c r="AA12" s="12">
        <v>243</v>
      </c>
      <c r="AB12" s="12">
        <v>205</v>
      </c>
      <c r="AC12" s="12">
        <v>226</v>
      </c>
      <c r="AD12" s="12">
        <v>216</v>
      </c>
      <c r="AE12" s="12">
        <v>197</v>
      </c>
      <c r="AF12" s="12">
        <v>243</v>
      </c>
    </row>
    <row r="13" spans="1:32" x14ac:dyDescent="0.35">
      <c r="A13" s="31"/>
      <c r="B13" s="13" t="s">
        <v>1036</v>
      </c>
      <c r="C13" s="14">
        <v>0.3</v>
      </c>
      <c r="D13" s="14">
        <v>0.28999999999999998</v>
      </c>
      <c r="E13" s="14">
        <v>0.33</v>
      </c>
      <c r="F13" s="14">
        <v>0.19</v>
      </c>
      <c r="G13" s="14">
        <v>0.23</v>
      </c>
      <c r="H13" s="14">
        <v>0.31</v>
      </c>
      <c r="I13" s="14">
        <v>0.3</v>
      </c>
      <c r="J13" s="14">
        <v>0.26</v>
      </c>
      <c r="K13" s="14">
        <v>0.18</v>
      </c>
      <c r="L13" s="14">
        <v>0.43</v>
      </c>
      <c r="M13" s="14">
        <v>0.18</v>
      </c>
      <c r="N13" s="14">
        <v>0.4</v>
      </c>
      <c r="O13" s="14">
        <v>0.38</v>
      </c>
      <c r="P13" s="14">
        <v>0.17</v>
      </c>
      <c r="Q13" s="14">
        <v>0.3</v>
      </c>
      <c r="R13" s="14">
        <v>0.19</v>
      </c>
      <c r="S13" s="14">
        <v>0.22</v>
      </c>
      <c r="T13" s="14">
        <v>0.27</v>
      </c>
      <c r="U13" s="14">
        <v>0.4</v>
      </c>
      <c r="V13" s="14">
        <v>0.2</v>
      </c>
      <c r="W13" s="14">
        <v>0.18</v>
      </c>
      <c r="X13" s="14">
        <v>0.23</v>
      </c>
      <c r="Y13" s="14">
        <v>0.26</v>
      </c>
      <c r="Z13" s="14">
        <v>0.24</v>
      </c>
      <c r="AA13" s="14">
        <v>0.24</v>
      </c>
      <c r="AB13" s="14">
        <v>0.19</v>
      </c>
      <c r="AC13" s="14">
        <v>0.22</v>
      </c>
      <c r="AD13" s="14">
        <v>0.21</v>
      </c>
      <c r="AE13" s="14">
        <v>0.2</v>
      </c>
      <c r="AF13" s="14">
        <v>0.24</v>
      </c>
    </row>
    <row r="14" spans="1:32" x14ac:dyDescent="0.35">
      <c r="A14" s="31"/>
      <c r="B14" s="11" t="s">
        <v>1037</v>
      </c>
      <c r="C14" s="12">
        <v>10718</v>
      </c>
      <c r="D14" s="12">
        <v>444</v>
      </c>
      <c r="E14" s="12">
        <v>347</v>
      </c>
      <c r="F14" s="12">
        <v>379</v>
      </c>
      <c r="G14" s="12">
        <v>410</v>
      </c>
      <c r="H14" s="12">
        <v>480</v>
      </c>
      <c r="I14" s="12">
        <v>601</v>
      </c>
      <c r="J14" s="12">
        <v>120</v>
      </c>
      <c r="K14" s="12">
        <v>394</v>
      </c>
      <c r="L14" s="12">
        <v>368</v>
      </c>
      <c r="M14" s="12">
        <v>469</v>
      </c>
      <c r="N14" s="12">
        <v>382</v>
      </c>
      <c r="O14" s="12">
        <v>346</v>
      </c>
      <c r="P14" s="12">
        <v>390</v>
      </c>
      <c r="Q14" s="12">
        <v>480</v>
      </c>
      <c r="R14" s="12">
        <v>180</v>
      </c>
      <c r="S14" s="12">
        <v>372</v>
      </c>
      <c r="T14" s="12">
        <v>488</v>
      </c>
      <c r="U14" s="12">
        <v>198</v>
      </c>
      <c r="V14" s="12">
        <v>523</v>
      </c>
      <c r="W14" s="12">
        <v>270</v>
      </c>
      <c r="X14" s="12">
        <v>448</v>
      </c>
      <c r="Y14" s="12">
        <v>388</v>
      </c>
      <c r="Z14" s="12">
        <v>453</v>
      </c>
      <c r="AA14" s="12">
        <v>423</v>
      </c>
      <c r="AB14" s="12">
        <v>421</v>
      </c>
      <c r="AC14" s="12">
        <v>368</v>
      </c>
      <c r="AD14" s="12">
        <v>361</v>
      </c>
      <c r="AE14" s="12">
        <v>420</v>
      </c>
      <c r="AF14" s="12">
        <v>432</v>
      </c>
    </row>
    <row r="15" spans="1:32" x14ac:dyDescent="0.35">
      <c r="A15" s="31"/>
      <c r="B15" s="13" t="s">
        <v>1038</v>
      </c>
      <c r="C15" s="14">
        <v>0.41</v>
      </c>
      <c r="D15" s="14">
        <v>0.43</v>
      </c>
      <c r="E15" s="14">
        <v>0.33</v>
      </c>
      <c r="F15" s="14">
        <v>0.37</v>
      </c>
      <c r="G15" s="14">
        <v>0.4</v>
      </c>
      <c r="H15" s="14">
        <v>0.39</v>
      </c>
      <c r="I15" s="14">
        <v>0.39</v>
      </c>
      <c r="J15" s="14">
        <v>0.4</v>
      </c>
      <c r="K15" s="14">
        <v>0.39</v>
      </c>
      <c r="L15" s="14">
        <v>0.37</v>
      </c>
      <c r="M15" s="14">
        <v>0.47</v>
      </c>
      <c r="N15" s="14">
        <v>0.38</v>
      </c>
      <c r="O15" s="14">
        <v>0.35</v>
      </c>
      <c r="P15" s="14">
        <v>0.39</v>
      </c>
      <c r="Q15" s="14">
        <v>0.46</v>
      </c>
      <c r="R15" s="14">
        <v>0.36</v>
      </c>
      <c r="S15" s="14">
        <v>0.36</v>
      </c>
      <c r="T15" s="14">
        <v>0.48</v>
      </c>
      <c r="U15" s="14">
        <v>0.39</v>
      </c>
      <c r="V15" s="14">
        <v>0.52</v>
      </c>
      <c r="W15" s="14">
        <v>0.54</v>
      </c>
      <c r="X15" s="14">
        <v>0.44</v>
      </c>
      <c r="Y15" s="14">
        <v>0.39</v>
      </c>
      <c r="Z15" s="14">
        <v>0.44</v>
      </c>
      <c r="AA15" s="14">
        <v>0.41</v>
      </c>
      <c r="AB15" s="14">
        <v>0.4</v>
      </c>
      <c r="AC15" s="14">
        <v>0.36</v>
      </c>
      <c r="AD15" s="14">
        <v>0.36</v>
      </c>
      <c r="AE15" s="14">
        <v>0.42</v>
      </c>
      <c r="AF15" s="14">
        <v>0.42</v>
      </c>
    </row>
    <row r="16" spans="1:32" x14ac:dyDescent="0.35">
      <c r="A16" s="31"/>
      <c r="B16" s="11" t="s">
        <v>1039</v>
      </c>
      <c r="C16" s="12">
        <v>5595</v>
      </c>
      <c r="D16" s="12">
        <v>221</v>
      </c>
      <c r="E16" s="12">
        <v>189</v>
      </c>
      <c r="F16" s="12">
        <v>272</v>
      </c>
      <c r="G16" s="12">
        <v>285</v>
      </c>
      <c r="H16" s="12">
        <v>288</v>
      </c>
      <c r="I16" s="12">
        <v>362</v>
      </c>
      <c r="J16" s="12">
        <v>74</v>
      </c>
      <c r="K16" s="12">
        <v>307</v>
      </c>
      <c r="L16" s="12">
        <v>142</v>
      </c>
      <c r="M16" s="12">
        <v>238</v>
      </c>
      <c r="N16" s="12">
        <v>128</v>
      </c>
      <c r="O16" s="12">
        <v>184</v>
      </c>
      <c r="P16" s="12">
        <v>302</v>
      </c>
      <c r="Q16" s="12">
        <v>173</v>
      </c>
      <c r="R16" s="12">
        <v>133</v>
      </c>
      <c r="S16" s="12">
        <v>251</v>
      </c>
      <c r="T16" s="12">
        <v>127</v>
      </c>
      <c r="U16" s="12">
        <v>69</v>
      </c>
      <c r="V16" s="12">
        <v>179</v>
      </c>
      <c r="W16" s="12">
        <v>87</v>
      </c>
      <c r="X16" s="12">
        <v>296</v>
      </c>
      <c r="Y16" s="12">
        <v>231</v>
      </c>
      <c r="Z16" s="12">
        <v>267</v>
      </c>
      <c r="AA16" s="12">
        <v>189</v>
      </c>
      <c r="AB16" s="12">
        <v>264</v>
      </c>
      <c r="AC16" s="12">
        <v>290</v>
      </c>
      <c r="AD16" s="12">
        <v>301</v>
      </c>
      <c r="AE16" s="12">
        <v>325</v>
      </c>
      <c r="AF16" s="12">
        <v>294</v>
      </c>
    </row>
    <row r="17" spans="1:32" x14ac:dyDescent="0.35">
      <c r="A17" s="31"/>
      <c r="B17" s="13" t="s">
        <v>1040</v>
      </c>
      <c r="C17" s="14">
        <v>0.21</v>
      </c>
      <c r="D17" s="14">
        <v>0.22</v>
      </c>
      <c r="E17" s="14">
        <v>0.18</v>
      </c>
      <c r="F17" s="14">
        <v>0.27</v>
      </c>
      <c r="G17" s="14">
        <v>0.28000000000000003</v>
      </c>
      <c r="H17" s="14">
        <v>0.23</v>
      </c>
      <c r="I17" s="14">
        <v>0.24</v>
      </c>
      <c r="J17" s="14">
        <v>0.25</v>
      </c>
      <c r="K17" s="14">
        <v>0.3</v>
      </c>
      <c r="L17" s="14">
        <v>0.14000000000000001</v>
      </c>
      <c r="M17" s="14">
        <v>0.24</v>
      </c>
      <c r="N17" s="14">
        <v>0.13</v>
      </c>
      <c r="O17" s="14">
        <v>0.18</v>
      </c>
      <c r="P17" s="14">
        <v>0.3</v>
      </c>
      <c r="Q17" s="14">
        <v>0.17</v>
      </c>
      <c r="R17" s="14">
        <v>0.26</v>
      </c>
      <c r="S17" s="14">
        <v>0.25</v>
      </c>
      <c r="T17" s="14">
        <v>0.12</v>
      </c>
      <c r="U17" s="14">
        <v>0.13</v>
      </c>
      <c r="V17" s="14">
        <v>0.18</v>
      </c>
      <c r="W17" s="14">
        <v>0.17</v>
      </c>
      <c r="X17" s="14">
        <v>0.28999999999999998</v>
      </c>
      <c r="Y17" s="14">
        <v>0.23</v>
      </c>
      <c r="Z17" s="14">
        <v>0.26</v>
      </c>
      <c r="AA17" s="14">
        <v>0.18</v>
      </c>
      <c r="AB17" s="14">
        <v>0.25</v>
      </c>
      <c r="AC17" s="14">
        <v>0.28999999999999998</v>
      </c>
      <c r="AD17" s="14">
        <v>0.3</v>
      </c>
      <c r="AE17" s="14">
        <v>0.32</v>
      </c>
      <c r="AF17" s="14">
        <v>0.28999999999999998</v>
      </c>
    </row>
    <row r="18" spans="1:32" x14ac:dyDescent="0.35">
      <c r="A18" s="31"/>
      <c r="B18" s="11" t="s">
        <v>1041</v>
      </c>
      <c r="C18" s="12">
        <v>1431</v>
      </c>
      <c r="D18" s="12">
        <v>52</v>
      </c>
      <c r="E18" s="12">
        <v>76</v>
      </c>
      <c r="F18" s="12">
        <v>143</v>
      </c>
      <c r="G18" s="12">
        <v>59</v>
      </c>
      <c r="H18" s="12">
        <v>50</v>
      </c>
      <c r="I18" s="12">
        <v>70</v>
      </c>
      <c r="J18" s="12">
        <v>20</v>
      </c>
      <c r="K18" s="12">
        <v>65</v>
      </c>
      <c r="L18" s="12">
        <v>38</v>
      </c>
      <c r="M18" s="12">
        <v>62</v>
      </c>
      <c r="N18" s="12">
        <v>41</v>
      </c>
      <c r="O18" s="12">
        <v>50</v>
      </c>
      <c r="P18" s="12">
        <v>79</v>
      </c>
      <c r="Q18" s="12">
        <v>45</v>
      </c>
      <c r="R18" s="12">
        <v>50</v>
      </c>
      <c r="S18" s="12">
        <v>101</v>
      </c>
      <c r="T18" s="12">
        <v>90</v>
      </c>
      <c r="U18" s="12">
        <v>15</v>
      </c>
      <c r="V18" s="12">
        <v>82</v>
      </c>
      <c r="W18" s="12">
        <v>24</v>
      </c>
      <c r="X18" s="12">
        <v>27</v>
      </c>
      <c r="Y18" s="12">
        <v>87</v>
      </c>
      <c r="Z18" s="12">
        <v>42</v>
      </c>
      <c r="AA18" s="12">
        <v>101</v>
      </c>
      <c r="AB18" s="12">
        <v>100</v>
      </c>
      <c r="AC18" s="12">
        <v>95</v>
      </c>
      <c r="AD18" s="12">
        <v>109</v>
      </c>
      <c r="AE18" s="12">
        <v>31</v>
      </c>
      <c r="AF18" s="12">
        <v>43</v>
      </c>
    </row>
    <row r="19" spans="1:32" x14ac:dyDescent="0.35">
      <c r="A19" s="31"/>
      <c r="B19" s="13" t="s">
        <v>1042</v>
      </c>
      <c r="C19" s="14">
        <v>0.05</v>
      </c>
      <c r="D19" s="14">
        <v>0.05</v>
      </c>
      <c r="E19" s="14">
        <v>7.0000000000000007E-2</v>
      </c>
      <c r="F19" s="14">
        <v>0.14000000000000001</v>
      </c>
      <c r="G19" s="14">
        <v>0.06</v>
      </c>
      <c r="H19" s="14">
        <v>0.04</v>
      </c>
      <c r="I19" s="14">
        <v>0.05</v>
      </c>
      <c r="J19" s="14">
        <v>7.0000000000000007E-2</v>
      </c>
      <c r="K19" s="14">
        <v>7.0000000000000007E-2</v>
      </c>
      <c r="L19" s="14">
        <v>0.04</v>
      </c>
      <c r="M19" s="14">
        <v>0.06</v>
      </c>
      <c r="N19" s="14">
        <v>0.04</v>
      </c>
      <c r="O19" s="14">
        <v>0.05</v>
      </c>
      <c r="P19" s="14">
        <v>0.08</v>
      </c>
      <c r="Q19" s="14">
        <v>0.04</v>
      </c>
      <c r="R19" s="14">
        <v>0.1</v>
      </c>
      <c r="S19" s="14">
        <v>0.1</v>
      </c>
      <c r="T19" s="14">
        <v>0.09</v>
      </c>
      <c r="U19" s="14">
        <v>0.03</v>
      </c>
      <c r="V19" s="14">
        <v>0.08</v>
      </c>
      <c r="W19" s="14">
        <v>0.05</v>
      </c>
      <c r="X19" s="14">
        <v>0.03</v>
      </c>
      <c r="Y19" s="14">
        <v>0.08</v>
      </c>
      <c r="Z19" s="14">
        <v>0.04</v>
      </c>
      <c r="AA19" s="14">
        <v>0.1</v>
      </c>
      <c r="AB19" s="14">
        <v>0.1</v>
      </c>
      <c r="AC19" s="14">
        <v>0.1</v>
      </c>
      <c r="AD19" s="14">
        <v>0.11</v>
      </c>
      <c r="AE19" s="14">
        <v>0.03</v>
      </c>
      <c r="AF19" s="14">
        <v>0.04</v>
      </c>
    </row>
    <row r="20" spans="1:32" x14ac:dyDescent="0.35">
      <c r="A20" s="31"/>
      <c r="B20" s="11" t="s">
        <v>344</v>
      </c>
      <c r="C20" s="12">
        <v>885</v>
      </c>
      <c r="D20" s="12">
        <v>13</v>
      </c>
      <c r="E20" s="12">
        <v>88</v>
      </c>
      <c r="F20" s="12">
        <v>33</v>
      </c>
      <c r="G20" s="12">
        <v>29</v>
      </c>
      <c r="H20" s="12">
        <v>34</v>
      </c>
      <c r="I20" s="12">
        <v>39</v>
      </c>
      <c r="J20" s="12">
        <v>5</v>
      </c>
      <c r="K20" s="12">
        <v>56</v>
      </c>
      <c r="L20" s="12">
        <v>18</v>
      </c>
      <c r="M20" s="12">
        <v>56</v>
      </c>
      <c r="N20" s="12">
        <v>46</v>
      </c>
      <c r="O20" s="12">
        <v>43</v>
      </c>
      <c r="P20" s="12">
        <v>58</v>
      </c>
      <c r="Q20" s="12">
        <v>25</v>
      </c>
      <c r="R20" s="12">
        <v>44</v>
      </c>
      <c r="S20" s="12">
        <v>69</v>
      </c>
      <c r="T20" s="12">
        <v>38</v>
      </c>
      <c r="U20" s="12">
        <v>23</v>
      </c>
      <c r="V20" s="12">
        <v>21</v>
      </c>
      <c r="W20" s="12">
        <v>31</v>
      </c>
      <c r="X20" s="12">
        <v>7</v>
      </c>
      <c r="Y20" s="12">
        <v>38</v>
      </c>
      <c r="Z20" s="12">
        <v>18</v>
      </c>
      <c r="AA20" s="12">
        <v>74</v>
      </c>
      <c r="AB20" s="12">
        <v>65</v>
      </c>
      <c r="AC20" s="12">
        <v>34</v>
      </c>
      <c r="AD20" s="12">
        <v>18</v>
      </c>
      <c r="AE20" s="12">
        <v>33</v>
      </c>
      <c r="AF20" s="12">
        <v>8</v>
      </c>
    </row>
    <row r="21" spans="1:32" x14ac:dyDescent="0.35">
      <c r="A21" s="31"/>
      <c r="B21" s="13" t="s">
        <v>357</v>
      </c>
      <c r="C21" s="14">
        <v>0.03</v>
      </c>
      <c r="D21" s="14">
        <v>0.01</v>
      </c>
      <c r="E21" s="14">
        <v>0.09</v>
      </c>
      <c r="F21" s="14">
        <v>0.03</v>
      </c>
      <c r="G21" s="14">
        <v>0.03</v>
      </c>
      <c r="H21" s="14">
        <v>0.03</v>
      </c>
      <c r="I21" s="14">
        <v>0.02</v>
      </c>
      <c r="J21" s="14">
        <v>0.02</v>
      </c>
      <c r="K21" s="14">
        <v>0.06</v>
      </c>
      <c r="L21" s="14">
        <v>0.02</v>
      </c>
      <c r="M21" s="14">
        <v>0.05</v>
      </c>
      <c r="N21" s="14">
        <v>0.05</v>
      </c>
      <c r="O21" s="14">
        <v>0.04</v>
      </c>
      <c r="P21" s="14">
        <v>0.06</v>
      </c>
      <c r="Q21" s="14">
        <v>0.03</v>
      </c>
      <c r="R21" s="14">
        <v>0.09</v>
      </c>
      <c r="S21" s="14">
        <v>7.0000000000000007E-2</v>
      </c>
      <c r="T21" s="14">
        <v>0.04</v>
      </c>
      <c r="U21" s="14">
        <v>0.05</v>
      </c>
      <c r="V21" s="14">
        <v>0.02</v>
      </c>
      <c r="W21" s="14">
        <v>0.06</v>
      </c>
      <c r="X21" s="14">
        <v>0.01</v>
      </c>
      <c r="Y21" s="14">
        <v>0.04</v>
      </c>
      <c r="Z21" s="14">
        <v>0.02</v>
      </c>
      <c r="AA21" s="14">
        <v>7.0000000000000007E-2</v>
      </c>
      <c r="AB21" s="14">
        <v>0.06</v>
      </c>
      <c r="AC21" s="14">
        <v>0.03</v>
      </c>
      <c r="AD21" s="14">
        <v>0.02</v>
      </c>
      <c r="AE21" s="14">
        <v>0.03</v>
      </c>
      <c r="AF21" s="14">
        <v>0.01</v>
      </c>
    </row>
    <row r="22" spans="1:32" x14ac:dyDescent="0.35">
      <c r="A22" s="31"/>
      <c r="B22" s="11" t="s">
        <v>1043</v>
      </c>
      <c r="C22" s="12">
        <v>18499</v>
      </c>
      <c r="D22" s="12">
        <v>739</v>
      </c>
      <c r="E22" s="12">
        <v>687</v>
      </c>
      <c r="F22" s="12">
        <v>570</v>
      </c>
      <c r="G22" s="12">
        <v>644</v>
      </c>
      <c r="H22" s="12">
        <v>859</v>
      </c>
      <c r="I22" s="12">
        <v>1058</v>
      </c>
      <c r="J22" s="12">
        <v>198</v>
      </c>
      <c r="K22" s="12">
        <v>580</v>
      </c>
      <c r="L22" s="12">
        <v>805</v>
      </c>
      <c r="M22" s="12">
        <v>647</v>
      </c>
      <c r="N22" s="12">
        <v>785</v>
      </c>
      <c r="O22" s="12">
        <v>723</v>
      </c>
      <c r="P22" s="12">
        <v>566</v>
      </c>
      <c r="Q22" s="12">
        <v>792</v>
      </c>
      <c r="R22" s="12">
        <v>275</v>
      </c>
      <c r="S22" s="12">
        <v>601</v>
      </c>
      <c r="T22" s="12">
        <v>762</v>
      </c>
      <c r="U22" s="12">
        <v>402</v>
      </c>
      <c r="V22" s="12">
        <v>731</v>
      </c>
      <c r="W22" s="12">
        <v>359</v>
      </c>
      <c r="X22" s="12">
        <v>679</v>
      </c>
      <c r="Y22" s="12">
        <v>648</v>
      </c>
      <c r="Z22" s="12">
        <v>692</v>
      </c>
      <c r="AA22" s="12">
        <v>666</v>
      </c>
      <c r="AB22" s="12">
        <v>626</v>
      </c>
      <c r="AC22" s="12">
        <v>594</v>
      </c>
      <c r="AD22" s="12">
        <v>577</v>
      </c>
      <c r="AE22" s="12">
        <v>617</v>
      </c>
      <c r="AF22" s="12">
        <v>675</v>
      </c>
    </row>
    <row r="23" spans="1:32" x14ac:dyDescent="0.35">
      <c r="A23" s="31"/>
      <c r="B23" s="13" t="s">
        <v>1044</v>
      </c>
      <c r="C23" s="14">
        <v>0.71</v>
      </c>
      <c r="D23" s="14">
        <v>0.72</v>
      </c>
      <c r="E23" s="14">
        <v>0.66</v>
      </c>
      <c r="F23" s="14">
        <v>0.56000000000000005</v>
      </c>
      <c r="G23" s="14">
        <v>0.63</v>
      </c>
      <c r="H23" s="14">
        <v>0.70000000000000007</v>
      </c>
      <c r="I23" s="14">
        <v>0.69000000000000006</v>
      </c>
      <c r="J23" s="14">
        <v>0.66</v>
      </c>
      <c r="K23" s="14">
        <v>0.57000000000000006</v>
      </c>
      <c r="L23" s="14">
        <v>0.8</v>
      </c>
      <c r="M23" s="14">
        <v>0.65</v>
      </c>
      <c r="N23" s="14">
        <v>0.78</v>
      </c>
      <c r="O23" s="14">
        <v>0.73</v>
      </c>
      <c r="P23" s="14">
        <v>0.56000000000000005</v>
      </c>
      <c r="Q23" s="14">
        <v>0.76</v>
      </c>
      <c r="R23" s="14">
        <v>0.55000000000000004</v>
      </c>
      <c r="S23" s="14">
        <v>0.57999999999999996</v>
      </c>
      <c r="T23" s="14">
        <v>0.75</v>
      </c>
      <c r="U23" s="14">
        <v>0.79</v>
      </c>
      <c r="V23" s="14">
        <v>0.72</v>
      </c>
      <c r="W23" s="14">
        <v>0.72</v>
      </c>
      <c r="X23" s="14">
        <v>0.67</v>
      </c>
      <c r="Y23" s="14">
        <v>0.65</v>
      </c>
      <c r="Z23" s="14">
        <v>0.68</v>
      </c>
      <c r="AA23" s="14">
        <v>0.65</v>
      </c>
      <c r="AB23" s="14">
        <v>0.59</v>
      </c>
      <c r="AC23" s="14">
        <v>0.57999999999999996</v>
      </c>
      <c r="AD23" s="14">
        <v>0.57000000000000006</v>
      </c>
      <c r="AE23" s="14">
        <v>0.62</v>
      </c>
      <c r="AF23" s="14">
        <v>0.66</v>
      </c>
    </row>
    <row r="24" spans="1:32" x14ac:dyDescent="0.35">
      <c r="A24" s="31"/>
      <c r="B24" s="11" t="s">
        <v>1045</v>
      </c>
      <c r="C24" s="12">
        <v>7026</v>
      </c>
      <c r="D24" s="12">
        <v>273</v>
      </c>
      <c r="E24" s="12">
        <v>265</v>
      </c>
      <c r="F24" s="12">
        <v>415</v>
      </c>
      <c r="G24" s="12">
        <v>344</v>
      </c>
      <c r="H24" s="12">
        <v>338</v>
      </c>
      <c r="I24" s="12">
        <v>432</v>
      </c>
      <c r="J24" s="12">
        <v>94</v>
      </c>
      <c r="K24" s="12">
        <v>372</v>
      </c>
      <c r="L24" s="12">
        <v>180</v>
      </c>
      <c r="M24" s="12">
        <v>300</v>
      </c>
      <c r="N24" s="12">
        <v>169</v>
      </c>
      <c r="O24" s="12">
        <v>234</v>
      </c>
      <c r="P24" s="12">
        <v>381</v>
      </c>
      <c r="Q24" s="12">
        <v>218</v>
      </c>
      <c r="R24" s="12">
        <v>183</v>
      </c>
      <c r="S24" s="12">
        <v>352</v>
      </c>
      <c r="T24" s="12">
        <v>217</v>
      </c>
      <c r="U24" s="12">
        <v>84</v>
      </c>
      <c r="V24" s="12">
        <v>261</v>
      </c>
      <c r="W24" s="12">
        <v>111</v>
      </c>
      <c r="X24" s="12">
        <v>323</v>
      </c>
      <c r="Y24" s="12">
        <v>318</v>
      </c>
      <c r="Z24" s="12">
        <v>309</v>
      </c>
      <c r="AA24" s="12">
        <v>290</v>
      </c>
      <c r="AB24" s="12">
        <v>364</v>
      </c>
      <c r="AC24" s="12">
        <v>385</v>
      </c>
      <c r="AD24" s="12">
        <v>410</v>
      </c>
      <c r="AE24" s="12">
        <v>356</v>
      </c>
      <c r="AF24" s="12">
        <v>337</v>
      </c>
    </row>
    <row r="25" spans="1:32" x14ac:dyDescent="0.35">
      <c r="A25" s="31"/>
      <c r="B25" s="13" t="s">
        <v>1046</v>
      </c>
      <c r="C25" s="14">
        <v>0.26</v>
      </c>
      <c r="D25" s="14">
        <v>0.27</v>
      </c>
      <c r="E25" s="14">
        <v>0.25</v>
      </c>
      <c r="F25" s="14">
        <v>0.41</v>
      </c>
      <c r="G25" s="14">
        <v>0.34</v>
      </c>
      <c r="H25" s="14">
        <v>0.27</v>
      </c>
      <c r="I25" s="14">
        <v>0.28999999999999998</v>
      </c>
      <c r="J25" s="14">
        <v>0.32</v>
      </c>
      <c r="K25" s="14">
        <v>0.37</v>
      </c>
      <c r="L25" s="14">
        <v>0.18</v>
      </c>
      <c r="M25" s="14">
        <v>0.3</v>
      </c>
      <c r="N25" s="14">
        <v>0.17</v>
      </c>
      <c r="O25" s="14">
        <v>0.23</v>
      </c>
      <c r="P25" s="14">
        <v>0.38</v>
      </c>
      <c r="Q25" s="14">
        <v>0.21</v>
      </c>
      <c r="R25" s="14">
        <v>0.36</v>
      </c>
      <c r="S25" s="14">
        <v>0.35</v>
      </c>
      <c r="T25" s="14">
        <v>0.21</v>
      </c>
      <c r="U25" s="14">
        <v>0.16</v>
      </c>
      <c r="V25" s="14">
        <v>0.26</v>
      </c>
      <c r="W25" s="14">
        <v>0.22</v>
      </c>
      <c r="X25" s="14">
        <v>0.32</v>
      </c>
      <c r="Y25" s="14">
        <v>0.31</v>
      </c>
      <c r="Z25" s="14">
        <v>0.3</v>
      </c>
      <c r="AA25" s="14">
        <v>0.28000000000000003</v>
      </c>
      <c r="AB25" s="14">
        <v>0.35</v>
      </c>
      <c r="AC25" s="14">
        <v>0.39</v>
      </c>
      <c r="AD25" s="14">
        <v>0.41</v>
      </c>
      <c r="AE25" s="14">
        <v>0.35</v>
      </c>
      <c r="AF25" s="14">
        <v>0.33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1051</v>
      </c>
      <c r="C3" s="30"/>
      <c r="D3" s="30"/>
      <c r="E3" s="30"/>
      <c r="F3" s="30"/>
      <c r="H3" s="30" t="s">
        <v>1052</v>
      </c>
      <c r="I3" s="30"/>
      <c r="J3" s="30"/>
      <c r="K3" s="30"/>
      <c r="L3" s="30"/>
    </row>
    <row r="4" spans="1:32" ht="27" customHeight="1" x14ac:dyDescent="0.35">
      <c r="B4" s="30" t="s">
        <v>1053</v>
      </c>
      <c r="C4" s="30"/>
      <c r="D4" s="30"/>
      <c r="E4" s="30"/>
      <c r="F4" s="30"/>
      <c r="H4" s="30" t="s">
        <v>1054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1035</v>
      </c>
      <c r="C12" s="12">
        <v>6538</v>
      </c>
      <c r="D12" s="12">
        <v>243</v>
      </c>
      <c r="E12" s="12">
        <v>398</v>
      </c>
      <c r="F12" s="12">
        <v>141</v>
      </c>
      <c r="G12" s="12">
        <v>136</v>
      </c>
      <c r="H12" s="12">
        <v>180</v>
      </c>
      <c r="I12" s="12">
        <v>231</v>
      </c>
      <c r="J12" s="12">
        <v>51</v>
      </c>
      <c r="K12" s="12">
        <v>148</v>
      </c>
      <c r="L12" s="12">
        <v>356</v>
      </c>
      <c r="M12" s="12">
        <v>186</v>
      </c>
      <c r="N12" s="12">
        <v>432</v>
      </c>
      <c r="O12" s="12">
        <v>283</v>
      </c>
      <c r="P12" s="12">
        <v>201</v>
      </c>
      <c r="Q12" s="12">
        <v>354</v>
      </c>
      <c r="R12" s="12">
        <v>110</v>
      </c>
      <c r="S12" s="12">
        <v>207</v>
      </c>
      <c r="T12" s="12">
        <v>232</v>
      </c>
      <c r="U12" s="12">
        <v>157</v>
      </c>
      <c r="V12" s="12">
        <v>286</v>
      </c>
      <c r="W12" s="12">
        <v>83</v>
      </c>
      <c r="X12" s="12">
        <v>117</v>
      </c>
      <c r="Y12" s="12">
        <v>217</v>
      </c>
      <c r="Z12" s="12">
        <v>193</v>
      </c>
      <c r="AA12" s="12">
        <v>232</v>
      </c>
      <c r="AB12" s="12">
        <v>189</v>
      </c>
      <c r="AC12" s="12">
        <v>232</v>
      </c>
      <c r="AD12" s="12">
        <v>202</v>
      </c>
      <c r="AE12" s="12">
        <v>130</v>
      </c>
      <c r="AF12" s="12">
        <v>203</v>
      </c>
    </row>
    <row r="13" spans="1:32" x14ac:dyDescent="0.35">
      <c r="A13" s="31"/>
      <c r="B13" s="13" t="s">
        <v>1036</v>
      </c>
      <c r="C13" s="14">
        <v>0.25</v>
      </c>
      <c r="D13" s="14">
        <v>0.24</v>
      </c>
      <c r="E13" s="14">
        <v>0.38</v>
      </c>
      <c r="F13" s="14">
        <v>0.14000000000000001</v>
      </c>
      <c r="G13" s="14">
        <v>0.13</v>
      </c>
      <c r="H13" s="14">
        <v>0.15</v>
      </c>
      <c r="I13" s="14">
        <v>0.15</v>
      </c>
      <c r="J13" s="14">
        <v>0.17</v>
      </c>
      <c r="K13" s="14">
        <v>0.15</v>
      </c>
      <c r="L13" s="14">
        <v>0.35</v>
      </c>
      <c r="M13" s="14">
        <v>0.19</v>
      </c>
      <c r="N13" s="14">
        <v>0.43</v>
      </c>
      <c r="O13" s="14">
        <v>0.28000000000000003</v>
      </c>
      <c r="P13" s="14">
        <v>0.2</v>
      </c>
      <c r="Q13" s="14">
        <v>0.34</v>
      </c>
      <c r="R13" s="14">
        <v>0.22</v>
      </c>
      <c r="S13" s="14">
        <v>0.2</v>
      </c>
      <c r="T13" s="14">
        <v>0.23</v>
      </c>
      <c r="U13" s="14">
        <v>0.31</v>
      </c>
      <c r="V13" s="14">
        <v>0.28000000000000003</v>
      </c>
      <c r="W13" s="14">
        <v>0.16</v>
      </c>
      <c r="X13" s="14">
        <v>0.12</v>
      </c>
      <c r="Y13" s="14">
        <v>0.22</v>
      </c>
      <c r="Z13" s="14">
        <v>0.19</v>
      </c>
      <c r="AA13" s="14">
        <v>0.23</v>
      </c>
      <c r="AB13" s="14">
        <v>0.18</v>
      </c>
      <c r="AC13" s="14">
        <v>0.23</v>
      </c>
      <c r="AD13" s="14">
        <v>0.2</v>
      </c>
      <c r="AE13" s="14">
        <v>0.13</v>
      </c>
      <c r="AF13" s="14">
        <v>0.2</v>
      </c>
    </row>
    <row r="14" spans="1:32" x14ac:dyDescent="0.35">
      <c r="A14" s="31"/>
      <c r="B14" s="11" t="s">
        <v>1037</v>
      </c>
      <c r="C14" s="12">
        <v>10202</v>
      </c>
      <c r="D14" s="12">
        <v>425</v>
      </c>
      <c r="E14" s="12">
        <v>364</v>
      </c>
      <c r="F14" s="12">
        <v>389</v>
      </c>
      <c r="G14" s="12">
        <v>342</v>
      </c>
      <c r="H14" s="12">
        <v>356</v>
      </c>
      <c r="I14" s="12">
        <v>467</v>
      </c>
      <c r="J14" s="12">
        <v>111</v>
      </c>
      <c r="K14" s="12">
        <v>357</v>
      </c>
      <c r="L14" s="12">
        <v>350</v>
      </c>
      <c r="M14" s="12">
        <v>472</v>
      </c>
      <c r="N14" s="12">
        <v>356</v>
      </c>
      <c r="O14" s="12">
        <v>379</v>
      </c>
      <c r="P14" s="12">
        <v>453</v>
      </c>
      <c r="Q14" s="12">
        <v>469</v>
      </c>
      <c r="R14" s="12">
        <v>168</v>
      </c>
      <c r="S14" s="12">
        <v>394</v>
      </c>
      <c r="T14" s="12">
        <v>417</v>
      </c>
      <c r="U14" s="12">
        <v>188</v>
      </c>
      <c r="V14" s="12">
        <v>545</v>
      </c>
      <c r="W14" s="12">
        <v>176</v>
      </c>
      <c r="X14" s="12">
        <v>366</v>
      </c>
      <c r="Y14" s="12">
        <v>352</v>
      </c>
      <c r="Z14" s="12">
        <v>462</v>
      </c>
      <c r="AA14" s="12">
        <v>429</v>
      </c>
      <c r="AB14" s="12">
        <v>447</v>
      </c>
      <c r="AC14" s="12">
        <v>376</v>
      </c>
      <c r="AD14" s="12">
        <v>387</v>
      </c>
      <c r="AE14" s="12">
        <v>314</v>
      </c>
      <c r="AF14" s="12">
        <v>436</v>
      </c>
    </row>
    <row r="15" spans="1:32" x14ac:dyDescent="0.35">
      <c r="A15" s="31"/>
      <c r="B15" s="13" t="s">
        <v>1038</v>
      </c>
      <c r="C15" s="14">
        <v>0.39</v>
      </c>
      <c r="D15" s="14">
        <v>0.41</v>
      </c>
      <c r="E15" s="14">
        <v>0.35</v>
      </c>
      <c r="F15" s="14">
        <v>0.38</v>
      </c>
      <c r="G15" s="14">
        <v>0.34</v>
      </c>
      <c r="H15" s="14">
        <v>0.28999999999999998</v>
      </c>
      <c r="I15" s="14">
        <v>0.3</v>
      </c>
      <c r="J15" s="14">
        <v>0.37</v>
      </c>
      <c r="K15" s="14">
        <v>0.35</v>
      </c>
      <c r="L15" s="14">
        <v>0.35</v>
      </c>
      <c r="M15" s="14">
        <v>0.47</v>
      </c>
      <c r="N15" s="14">
        <v>0.36</v>
      </c>
      <c r="O15" s="14">
        <v>0.38</v>
      </c>
      <c r="P15" s="14">
        <v>0.45</v>
      </c>
      <c r="Q15" s="14">
        <v>0.46</v>
      </c>
      <c r="R15" s="14">
        <v>0.33</v>
      </c>
      <c r="S15" s="14">
        <v>0.39</v>
      </c>
      <c r="T15" s="14">
        <v>0.41</v>
      </c>
      <c r="U15" s="14">
        <v>0.37</v>
      </c>
      <c r="V15" s="14">
        <v>0.54</v>
      </c>
      <c r="W15" s="14">
        <v>0.35</v>
      </c>
      <c r="X15" s="14">
        <v>0.36</v>
      </c>
      <c r="Y15" s="14">
        <v>0.35</v>
      </c>
      <c r="Z15" s="14">
        <v>0.45</v>
      </c>
      <c r="AA15" s="14">
        <v>0.42</v>
      </c>
      <c r="AB15" s="14">
        <v>0.42</v>
      </c>
      <c r="AC15" s="14">
        <v>0.37</v>
      </c>
      <c r="AD15" s="14">
        <v>0.39</v>
      </c>
      <c r="AE15" s="14">
        <v>0.31</v>
      </c>
      <c r="AF15" s="14">
        <v>0.43</v>
      </c>
    </row>
    <row r="16" spans="1:32" x14ac:dyDescent="0.35">
      <c r="A16" s="31"/>
      <c r="B16" s="11" t="s">
        <v>1039</v>
      </c>
      <c r="C16" s="12">
        <v>7151</v>
      </c>
      <c r="D16" s="12">
        <v>280</v>
      </c>
      <c r="E16" s="12">
        <v>175</v>
      </c>
      <c r="F16" s="12">
        <v>322</v>
      </c>
      <c r="G16" s="12">
        <v>427</v>
      </c>
      <c r="H16" s="12">
        <v>524</v>
      </c>
      <c r="I16" s="12">
        <v>625</v>
      </c>
      <c r="J16" s="12">
        <v>100</v>
      </c>
      <c r="K16" s="12">
        <v>369</v>
      </c>
      <c r="L16" s="12">
        <v>219</v>
      </c>
      <c r="M16" s="12">
        <v>246</v>
      </c>
      <c r="N16" s="12">
        <v>145</v>
      </c>
      <c r="O16" s="12">
        <v>245</v>
      </c>
      <c r="P16" s="12">
        <v>249</v>
      </c>
      <c r="Q16" s="12">
        <v>148</v>
      </c>
      <c r="R16" s="12">
        <v>154</v>
      </c>
      <c r="S16" s="12">
        <v>263</v>
      </c>
      <c r="T16" s="12">
        <v>218</v>
      </c>
      <c r="U16" s="12">
        <v>106</v>
      </c>
      <c r="V16" s="12">
        <v>136</v>
      </c>
      <c r="W16" s="12">
        <v>184</v>
      </c>
      <c r="X16" s="12">
        <v>460</v>
      </c>
      <c r="Y16" s="12">
        <v>311</v>
      </c>
      <c r="Z16" s="12">
        <v>305</v>
      </c>
      <c r="AA16" s="12">
        <v>210</v>
      </c>
      <c r="AB16" s="12">
        <v>265</v>
      </c>
      <c r="AC16" s="12">
        <v>301</v>
      </c>
      <c r="AD16" s="12">
        <v>288</v>
      </c>
      <c r="AE16" s="12">
        <v>444</v>
      </c>
      <c r="AF16" s="12">
        <v>345</v>
      </c>
    </row>
    <row r="17" spans="1:32" x14ac:dyDescent="0.35">
      <c r="A17" s="31"/>
      <c r="B17" s="13" t="s">
        <v>1040</v>
      </c>
      <c r="C17" s="14">
        <v>0.27</v>
      </c>
      <c r="D17" s="14">
        <v>0.27</v>
      </c>
      <c r="E17" s="14">
        <v>0.17</v>
      </c>
      <c r="F17" s="14">
        <v>0.32</v>
      </c>
      <c r="G17" s="14">
        <v>0.42</v>
      </c>
      <c r="H17" s="14">
        <v>0.42</v>
      </c>
      <c r="I17" s="14">
        <v>0.41</v>
      </c>
      <c r="J17" s="14">
        <v>0.34</v>
      </c>
      <c r="K17" s="14">
        <v>0.37</v>
      </c>
      <c r="L17" s="14">
        <v>0.22</v>
      </c>
      <c r="M17" s="14">
        <v>0.24</v>
      </c>
      <c r="N17" s="14">
        <v>0.14000000000000001</v>
      </c>
      <c r="O17" s="14">
        <v>0.24</v>
      </c>
      <c r="P17" s="14">
        <v>0.25</v>
      </c>
      <c r="Q17" s="14">
        <v>0.14000000000000001</v>
      </c>
      <c r="R17" s="14">
        <v>0.31</v>
      </c>
      <c r="S17" s="14">
        <v>0.26</v>
      </c>
      <c r="T17" s="14">
        <v>0.21</v>
      </c>
      <c r="U17" s="14">
        <v>0.21</v>
      </c>
      <c r="V17" s="14">
        <v>0.14000000000000001</v>
      </c>
      <c r="W17" s="14">
        <v>0.37</v>
      </c>
      <c r="X17" s="14">
        <v>0.46</v>
      </c>
      <c r="Y17" s="14">
        <v>0.31</v>
      </c>
      <c r="Z17" s="14">
        <v>0.3</v>
      </c>
      <c r="AA17" s="14">
        <v>0.2</v>
      </c>
      <c r="AB17" s="14">
        <v>0.25</v>
      </c>
      <c r="AC17" s="14">
        <v>0.3</v>
      </c>
      <c r="AD17" s="14">
        <v>0.28999999999999998</v>
      </c>
      <c r="AE17" s="14">
        <v>0.44</v>
      </c>
      <c r="AF17" s="14">
        <v>0.34</v>
      </c>
    </row>
    <row r="18" spans="1:32" x14ac:dyDescent="0.35">
      <c r="A18" s="31"/>
      <c r="B18" s="11" t="s">
        <v>1041</v>
      </c>
      <c r="C18" s="12">
        <v>1900</v>
      </c>
      <c r="D18" s="12">
        <v>69</v>
      </c>
      <c r="E18" s="12">
        <v>57</v>
      </c>
      <c r="F18" s="12">
        <v>154</v>
      </c>
      <c r="G18" s="12">
        <v>88</v>
      </c>
      <c r="H18" s="12">
        <v>150</v>
      </c>
      <c r="I18" s="12">
        <v>180</v>
      </c>
      <c r="J18" s="12">
        <v>30</v>
      </c>
      <c r="K18" s="12">
        <v>96</v>
      </c>
      <c r="L18" s="12">
        <v>71</v>
      </c>
      <c r="M18" s="12">
        <v>82</v>
      </c>
      <c r="N18" s="12">
        <v>40</v>
      </c>
      <c r="O18" s="12">
        <v>58</v>
      </c>
      <c r="P18" s="12">
        <v>56</v>
      </c>
      <c r="Q18" s="12">
        <v>43</v>
      </c>
      <c r="R18" s="12">
        <v>48</v>
      </c>
      <c r="S18" s="12">
        <v>108</v>
      </c>
      <c r="T18" s="12">
        <v>120</v>
      </c>
      <c r="U18" s="12">
        <v>30</v>
      </c>
      <c r="V18" s="12">
        <v>44</v>
      </c>
      <c r="W18" s="12">
        <v>29</v>
      </c>
      <c r="X18" s="12">
        <v>62</v>
      </c>
      <c r="Y18" s="12">
        <v>88</v>
      </c>
      <c r="Z18" s="12">
        <v>45</v>
      </c>
      <c r="AA18" s="12">
        <v>102</v>
      </c>
      <c r="AB18" s="12">
        <v>106</v>
      </c>
      <c r="AC18" s="12">
        <v>82</v>
      </c>
      <c r="AD18" s="12">
        <v>115</v>
      </c>
      <c r="AE18" s="12">
        <v>92</v>
      </c>
      <c r="AF18" s="12">
        <v>36</v>
      </c>
    </row>
    <row r="19" spans="1:32" x14ac:dyDescent="0.35">
      <c r="A19" s="31"/>
      <c r="B19" s="13" t="s">
        <v>1042</v>
      </c>
      <c r="C19" s="14">
        <v>7.0000000000000007E-2</v>
      </c>
      <c r="D19" s="14">
        <v>7.0000000000000007E-2</v>
      </c>
      <c r="E19" s="14">
        <v>0.06</v>
      </c>
      <c r="F19" s="14">
        <v>0.15</v>
      </c>
      <c r="G19" s="14">
        <v>0.09</v>
      </c>
      <c r="H19" s="14">
        <v>0.12</v>
      </c>
      <c r="I19" s="14">
        <v>0.12</v>
      </c>
      <c r="J19" s="14">
        <v>0.1</v>
      </c>
      <c r="K19" s="14">
        <v>0.09</v>
      </c>
      <c r="L19" s="14">
        <v>7.0000000000000007E-2</v>
      </c>
      <c r="M19" s="14">
        <v>0.08</v>
      </c>
      <c r="N19" s="14">
        <v>0.04</v>
      </c>
      <c r="O19" s="14">
        <v>0.06</v>
      </c>
      <c r="P19" s="14">
        <v>0.06</v>
      </c>
      <c r="Q19" s="14">
        <v>0.04</v>
      </c>
      <c r="R19" s="14">
        <v>0.1</v>
      </c>
      <c r="S19" s="14">
        <v>0.1</v>
      </c>
      <c r="T19" s="14">
        <v>0.12</v>
      </c>
      <c r="U19" s="14">
        <v>0.06</v>
      </c>
      <c r="V19" s="14">
        <v>0.04</v>
      </c>
      <c r="W19" s="14">
        <v>0.06</v>
      </c>
      <c r="X19" s="14">
        <v>0.06</v>
      </c>
      <c r="Y19" s="14">
        <v>0.09</v>
      </c>
      <c r="Z19" s="14">
        <v>0.05</v>
      </c>
      <c r="AA19" s="14">
        <v>0.1</v>
      </c>
      <c r="AB19" s="14">
        <v>0.1</v>
      </c>
      <c r="AC19" s="14">
        <v>0.08</v>
      </c>
      <c r="AD19" s="14">
        <v>0.11</v>
      </c>
      <c r="AE19" s="14">
        <v>0.09</v>
      </c>
      <c r="AF19" s="14">
        <v>0.03</v>
      </c>
    </row>
    <row r="20" spans="1:32" x14ac:dyDescent="0.35">
      <c r="A20" s="31"/>
      <c r="B20" s="11" t="s">
        <v>344</v>
      </c>
      <c r="C20" s="12">
        <v>619</v>
      </c>
      <c r="D20" s="12">
        <v>8</v>
      </c>
      <c r="E20" s="12">
        <v>46</v>
      </c>
      <c r="F20" s="12">
        <v>12</v>
      </c>
      <c r="G20" s="12">
        <v>24</v>
      </c>
      <c r="H20" s="12">
        <v>22</v>
      </c>
      <c r="I20" s="12">
        <v>27</v>
      </c>
      <c r="J20" s="12">
        <v>5</v>
      </c>
      <c r="K20" s="12">
        <v>39</v>
      </c>
      <c r="L20" s="12">
        <v>7</v>
      </c>
      <c r="M20" s="12">
        <v>18</v>
      </c>
      <c r="N20" s="12">
        <v>27</v>
      </c>
      <c r="O20" s="12">
        <v>36</v>
      </c>
      <c r="P20" s="12">
        <v>45</v>
      </c>
      <c r="Q20" s="12">
        <v>21</v>
      </c>
      <c r="R20" s="12">
        <v>21</v>
      </c>
      <c r="S20" s="12">
        <v>50</v>
      </c>
      <c r="T20" s="12">
        <v>31</v>
      </c>
      <c r="U20" s="12">
        <v>27</v>
      </c>
      <c r="V20" s="12">
        <v>3</v>
      </c>
      <c r="W20" s="12">
        <v>29</v>
      </c>
      <c r="X20" s="12">
        <v>4</v>
      </c>
      <c r="Y20" s="12">
        <v>35</v>
      </c>
      <c r="Z20" s="12">
        <v>14</v>
      </c>
      <c r="AA20" s="12">
        <v>57</v>
      </c>
      <c r="AB20" s="12">
        <v>49</v>
      </c>
      <c r="AC20" s="12">
        <v>22</v>
      </c>
      <c r="AD20" s="12">
        <v>12</v>
      </c>
      <c r="AE20" s="12">
        <v>27</v>
      </c>
      <c r="AF20" s="12">
        <v>1</v>
      </c>
    </row>
    <row r="21" spans="1:32" x14ac:dyDescent="0.35">
      <c r="A21" s="31"/>
      <c r="B21" s="13" t="s">
        <v>357</v>
      </c>
      <c r="C21" s="14">
        <v>0.02</v>
      </c>
      <c r="D21" s="14">
        <v>0.01</v>
      </c>
      <c r="E21" s="14">
        <v>0.04</v>
      </c>
      <c r="F21" s="14">
        <v>0.01</v>
      </c>
      <c r="G21" s="14">
        <v>0.02</v>
      </c>
      <c r="H21" s="14">
        <v>0.02</v>
      </c>
      <c r="I21" s="14">
        <v>0.02</v>
      </c>
      <c r="J21" s="14">
        <v>0.02</v>
      </c>
      <c r="K21" s="14">
        <v>0.04</v>
      </c>
      <c r="L21" s="14">
        <v>0.01</v>
      </c>
      <c r="M21" s="14">
        <v>0.02</v>
      </c>
      <c r="N21" s="14">
        <v>0.03</v>
      </c>
      <c r="O21" s="14">
        <v>0.04</v>
      </c>
      <c r="P21" s="14">
        <v>0.04</v>
      </c>
      <c r="Q21" s="14">
        <v>0.02</v>
      </c>
      <c r="R21" s="14">
        <v>0.04</v>
      </c>
      <c r="S21" s="14">
        <v>0.05</v>
      </c>
      <c r="T21" s="14">
        <v>0.03</v>
      </c>
      <c r="U21" s="14">
        <v>0.05</v>
      </c>
      <c r="V21" s="15" t="s">
        <v>333</v>
      </c>
      <c r="W21" s="14">
        <v>0.06</v>
      </c>
      <c r="X21" s="15" t="s">
        <v>333</v>
      </c>
      <c r="Y21" s="14">
        <v>0.03</v>
      </c>
      <c r="Z21" s="14">
        <v>0.01</v>
      </c>
      <c r="AA21" s="14">
        <v>0.05</v>
      </c>
      <c r="AB21" s="14">
        <v>0.05</v>
      </c>
      <c r="AC21" s="14">
        <v>0.02</v>
      </c>
      <c r="AD21" s="14">
        <v>0.01</v>
      </c>
      <c r="AE21" s="14">
        <v>0.03</v>
      </c>
      <c r="AF21" s="15" t="s">
        <v>333</v>
      </c>
    </row>
    <row r="22" spans="1:32" x14ac:dyDescent="0.35">
      <c r="A22" s="31"/>
      <c r="B22" s="11" t="s">
        <v>1043</v>
      </c>
      <c r="C22" s="12">
        <v>16740</v>
      </c>
      <c r="D22" s="12">
        <v>668</v>
      </c>
      <c r="E22" s="12">
        <v>762</v>
      </c>
      <c r="F22" s="12">
        <v>530</v>
      </c>
      <c r="G22" s="12">
        <v>478</v>
      </c>
      <c r="H22" s="12">
        <v>536</v>
      </c>
      <c r="I22" s="12">
        <v>698</v>
      </c>
      <c r="J22" s="12">
        <v>162</v>
      </c>
      <c r="K22" s="12">
        <v>505</v>
      </c>
      <c r="L22" s="12">
        <v>706</v>
      </c>
      <c r="M22" s="12">
        <v>658</v>
      </c>
      <c r="N22" s="12">
        <v>788</v>
      </c>
      <c r="O22" s="12">
        <v>662</v>
      </c>
      <c r="P22" s="12">
        <v>654</v>
      </c>
      <c r="Q22" s="12">
        <v>823</v>
      </c>
      <c r="R22" s="12">
        <v>278</v>
      </c>
      <c r="S22" s="12">
        <v>601</v>
      </c>
      <c r="T22" s="12">
        <v>649</v>
      </c>
      <c r="U22" s="12">
        <v>345</v>
      </c>
      <c r="V22" s="12">
        <v>831</v>
      </c>
      <c r="W22" s="12">
        <v>259</v>
      </c>
      <c r="X22" s="12">
        <v>483</v>
      </c>
      <c r="Y22" s="12">
        <v>569</v>
      </c>
      <c r="Z22" s="12">
        <v>655</v>
      </c>
      <c r="AA22" s="12">
        <v>661</v>
      </c>
      <c r="AB22" s="12">
        <v>636</v>
      </c>
      <c r="AC22" s="12">
        <v>608</v>
      </c>
      <c r="AD22" s="12">
        <v>589</v>
      </c>
      <c r="AE22" s="12">
        <v>444</v>
      </c>
      <c r="AF22" s="12">
        <v>639</v>
      </c>
    </row>
    <row r="23" spans="1:32" x14ac:dyDescent="0.35">
      <c r="A23" s="31"/>
      <c r="B23" s="13" t="s">
        <v>1044</v>
      </c>
      <c r="C23" s="14">
        <v>0.64</v>
      </c>
      <c r="D23" s="14">
        <v>0.65</v>
      </c>
      <c r="E23" s="14">
        <v>0.73</v>
      </c>
      <c r="F23" s="14">
        <v>0.52</v>
      </c>
      <c r="G23" s="14">
        <v>0.47</v>
      </c>
      <c r="H23" s="14">
        <v>0.44</v>
      </c>
      <c r="I23" s="14">
        <v>0.45</v>
      </c>
      <c r="J23" s="14">
        <v>0.54</v>
      </c>
      <c r="K23" s="14">
        <v>0.5</v>
      </c>
      <c r="L23" s="14">
        <v>0.70000000000000007</v>
      </c>
      <c r="M23" s="14">
        <v>0.66</v>
      </c>
      <c r="N23" s="14">
        <v>0.79</v>
      </c>
      <c r="O23" s="14">
        <v>0.66</v>
      </c>
      <c r="P23" s="14">
        <v>0.65</v>
      </c>
      <c r="Q23" s="14">
        <v>0.8</v>
      </c>
      <c r="R23" s="14">
        <v>0.55000000000000004</v>
      </c>
      <c r="S23" s="14">
        <v>0.59</v>
      </c>
      <c r="T23" s="14">
        <v>0.64</v>
      </c>
      <c r="U23" s="14">
        <v>0.68</v>
      </c>
      <c r="V23" s="14">
        <v>0.82000000000000006</v>
      </c>
      <c r="W23" s="14">
        <v>0.51</v>
      </c>
      <c r="X23" s="14">
        <v>0.48</v>
      </c>
      <c r="Y23" s="14">
        <v>0.57000000000000006</v>
      </c>
      <c r="Z23" s="14">
        <v>0.64</v>
      </c>
      <c r="AA23" s="14">
        <v>0.65</v>
      </c>
      <c r="AB23" s="14">
        <v>0.6</v>
      </c>
      <c r="AC23" s="14">
        <v>0.6</v>
      </c>
      <c r="AD23" s="14">
        <v>0.59</v>
      </c>
      <c r="AE23" s="14">
        <v>0.44</v>
      </c>
      <c r="AF23" s="14">
        <v>0.63</v>
      </c>
    </row>
    <row r="24" spans="1:32" x14ac:dyDescent="0.35">
      <c r="A24" s="31"/>
      <c r="B24" s="11" t="s">
        <v>1045</v>
      </c>
      <c r="C24" s="12">
        <v>9051</v>
      </c>
      <c r="D24" s="12">
        <v>349</v>
      </c>
      <c r="E24" s="12">
        <v>232</v>
      </c>
      <c r="F24" s="12">
        <v>476</v>
      </c>
      <c r="G24" s="12">
        <v>515</v>
      </c>
      <c r="H24" s="12">
        <v>674</v>
      </c>
      <c r="I24" s="12">
        <v>805</v>
      </c>
      <c r="J24" s="12">
        <v>130</v>
      </c>
      <c r="K24" s="12">
        <v>465</v>
      </c>
      <c r="L24" s="12">
        <v>290</v>
      </c>
      <c r="M24" s="12">
        <v>328</v>
      </c>
      <c r="N24" s="12">
        <v>185</v>
      </c>
      <c r="O24" s="12">
        <v>303</v>
      </c>
      <c r="P24" s="12">
        <v>305</v>
      </c>
      <c r="Q24" s="12">
        <v>191</v>
      </c>
      <c r="R24" s="12">
        <v>202</v>
      </c>
      <c r="S24" s="12">
        <v>371</v>
      </c>
      <c r="T24" s="12">
        <v>338</v>
      </c>
      <c r="U24" s="12">
        <v>136</v>
      </c>
      <c r="V24" s="12">
        <v>180</v>
      </c>
      <c r="W24" s="12">
        <v>213</v>
      </c>
      <c r="X24" s="12">
        <v>522</v>
      </c>
      <c r="Y24" s="12">
        <v>399</v>
      </c>
      <c r="Z24" s="12">
        <v>350</v>
      </c>
      <c r="AA24" s="12">
        <v>312</v>
      </c>
      <c r="AB24" s="12">
        <v>371</v>
      </c>
      <c r="AC24" s="12">
        <v>383</v>
      </c>
      <c r="AD24" s="12">
        <v>403</v>
      </c>
      <c r="AE24" s="12">
        <v>536</v>
      </c>
      <c r="AF24" s="12">
        <v>381</v>
      </c>
    </row>
    <row r="25" spans="1:32" x14ac:dyDescent="0.35">
      <c r="A25" s="31"/>
      <c r="B25" s="13" t="s">
        <v>1046</v>
      </c>
      <c r="C25" s="14">
        <v>0.34</v>
      </c>
      <c r="D25" s="14">
        <v>0.34</v>
      </c>
      <c r="E25" s="14">
        <v>0.23</v>
      </c>
      <c r="F25" s="14">
        <v>0.47</v>
      </c>
      <c r="G25" s="14">
        <v>0.51</v>
      </c>
      <c r="H25" s="14">
        <v>0.54</v>
      </c>
      <c r="I25" s="14">
        <v>0.53</v>
      </c>
      <c r="J25" s="14">
        <v>0.44</v>
      </c>
      <c r="K25" s="14">
        <v>0.46</v>
      </c>
      <c r="L25" s="14">
        <v>0.28999999999999998</v>
      </c>
      <c r="M25" s="14">
        <v>0.32</v>
      </c>
      <c r="N25" s="14">
        <v>0.18</v>
      </c>
      <c r="O25" s="14">
        <v>0.3</v>
      </c>
      <c r="P25" s="14">
        <v>0.31</v>
      </c>
      <c r="Q25" s="14">
        <v>0.18</v>
      </c>
      <c r="R25" s="14">
        <v>0.41</v>
      </c>
      <c r="S25" s="14">
        <v>0.36</v>
      </c>
      <c r="T25" s="14">
        <v>0.33</v>
      </c>
      <c r="U25" s="14">
        <v>0.27</v>
      </c>
      <c r="V25" s="14">
        <v>0.18</v>
      </c>
      <c r="W25" s="14">
        <v>0.43</v>
      </c>
      <c r="X25" s="14">
        <v>0.52</v>
      </c>
      <c r="Y25" s="14">
        <v>0.4</v>
      </c>
      <c r="Z25" s="14">
        <v>0.35</v>
      </c>
      <c r="AA25" s="14">
        <v>0.3</v>
      </c>
      <c r="AB25" s="14">
        <v>0.35</v>
      </c>
      <c r="AC25" s="14">
        <v>0.38</v>
      </c>
      <c r="AD25" s="14">
        <v>0.4</v>
      </c>
      <c r="AE25" s="14">
        <v>0.53</v>
      </c>
      <c r="AF25" s="14">
        <v>0.37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1055</v>
      </c>
      <c r="C3" s="30"/>
      <c r="D3" s="30"/>
      <c r="E3" s="30"/>
      <c r="F3" s="30"/>
      <c r="H3" s="30" t="s">
        <v>1056</v>
      </c>
      <c r="I3" s="30"/>
      <c r="J3" s="30"/>
      <c r="K3" s="30"/>
      <c r="L3" s="30"/>
    </row>
    <row r="4" spans="1:32" ht="27" customHeight="1" x14ac:dyDescent="0.35">
      <c r="B4" s="30" t="s">
        <v>1057</v>
      </c>
      <c r="C4" s="30"/>
      <c r="D4" s="30"/>
      <c r="E4" s="30"/>
      <c r="F4" s="30"/>
      <c r="H4" s="30" t="s">
        <v>1058</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1035</v>
      </c>
      <c r="C12" s="12">
        <v>9716</v>
      </c>
      <c r="D12" s="12">
        <v>371</v>
      </c>
      <c r="E12" s="12">
        <v>367</v>
      </c>
      <c r="F12" s="12">
        <v>213</v>
      </c>
      <c r="G12" s="12">
        <v>256</v>
      </c>
      <c r="H12" s="12">
        <v>508</v>
      </c>
      <c r="I12" s="12">
        <v>620</v>
      </c>
      <c r="J12" s="12">
        <v>112</v>
      </c>
      <c r="K12" s="12">
        <v>231</v>
      </c>
      <c r="L12" s="12">
        <v>492</v>
      </c>
      <c r="M12" s="12">
        <v>271</v>
      </c>
      <c r="N12" s="12">
        <v>458</v>
      </c>
      <c r="O12" s="12">
        <v>406</v>
      </c>
      <c r="P12" s="12">
        <v>211</v>
      </c>
      <c r="Q12" s="12">
        <v>428</v>
      </c>
      <c r="R12" s="12">
        <v>116</v>
      </c>
      <c r="S12" s="12">
        <v>277</v>
      </c>
      <c r="T12" s="12">
        <v>283</v>
      </c>
      <c r="U12" s="12">
        <v>258</v>
      </c>
      <c r="V12" s="12">
        <v>309</v>
      </c>
      <c r="W12" s="12">
        <v>114</v>
      </c>
      <c r="X12" s="12">
        <v>397</v>
      </c>
      <c r="Y12" s="12">
        <v>350</v>
      </c>
      <c r="Z12" s="12">
        <v>250</v>
      </c>
      <c r="AA12" s="12">
        <v>314</v>
      </c>
      <c r="AB12" s="12">
        <v>225</v>
      </c>
      <c r="AC12" s="12">
        <v>310</v>
      </c>
      <c r="AD12" s="12">
        <v>327</v>
      </c>
      <c r="AE12" s="12">
        <v>274</v>
      </c>
      <c r="AF12" s="12">
        <v>443</v>
      </c>
    </row>
    <row r="13" spans="1:32" x14ac:dyDescent="0.35">
      <c r="A13" s="31"/>
      <c r="B13" s="13" t="s">
        <v>1036</v>
      </c>
      <c r="C13" s="14">
        <v>0.37</v>
      </c>
      <c r="D13" s="14">
        <v>0.36</v>
      </c>
      <c r="E13" s="14">
        <v>0.36</v>
      </c>
      <c r="F13" s="14">
        <v>0.21</v>
      </c>
      <c r="G13" s="14">
        <v>0.25</v>
      </c>
      <c r="H13" s="14">
        <v>0.41</v>
      </c>
      <c r="I13" s="14">
        <v>0.41</v>
      </c>
      <c r="J13" s="14">
        <v>0.38</v>
      </c>
      <c r="K13" s="14">
        <v>0.23</v>
      </c>
      <c r="L13" s="14">
        <v>0.49</v>
      </c>
      <c r="M13" s="14">
        <v>0.27</v>
      </c>
      <c r="N13" s="14">
        <v>0.46</v>
      </c>
      <c r="O13" s="14">
        <v>0.41</v>
      </c>
      <c r="P13" s="14">
        <v>0.21</v>
      </c>
      <c r="Q13" s="14">
        <v>0.41</v>
      </c>
      <c r="R13" s="14">
        <v>0.23</v>
      </c>
      <c r="S13" s="14">
        <v>0.27</v>
      </c>
      <c r="T13" s="14">
        <v>0.28000000000000003</v>
      </c>
      <c r="U13" s="14">
        <v>0.51</v>
      </c>
      <c r="V13" s="14">
        <v>0.3</v>
      </c>
      <c r="W13" s="14">
        <v>0.23</v>
      </c>
      <c r="X13" s="14">
        <v>0.39</v>
      </c>
      <c r="Y13" s="14">
        <v>0.35</v>
      </c>
      <c r="Z13" s="14">
        <v>0.25</v>
      </c>
      <c r="AA13" s="14">
        <v>0.3</v>
      </c>
      <c r="AB13" s="14">
        <v>0.21</v>
      </c>
      <c r="AC13" s="14">
        <v>0.31</v>
      </c>
      <c r="AD13" s="14">
        <v>0.33</v>
      </c>
      <c r="AE13" s="14">
        <v>0.27</v>
      </c>
      <c r="AF13" s="14">
        <v>0.44</v>
      </c>
    </row>
    <row r="14" spans="1:32" x14ac:dyDescent="0.35">
      <c r="A14" s="31"/>
      <c r="B14" s="11" t="s">
        <v>1037</v>
      </c>
      <c r="C14" s="12">
        <v>11122</v>
      </c>
      <c r="D14" s="12">
        <v>460</v>
      </c>
      <c r="E14" s="12">
        <v>398</v>
      </c>
      <c r="F14" s="12">
        <v>424</v>
      </c>
      <c r="G14" s="12">
        <v>499</v>
      </c>
      <c r="H14" s="12">
        <v>466</v>
      </c>
      <c r="I14" s="12">
        <v>588</v>
      </c>
      <c r="J14" s="12">
        <v>122</v>
      </c>
      <c r="K14" s="12">
        <v>425</v>
      </c>
      <c r="L14" s="12">
        <v>373</v>
      </c>
      <c r="M14" s="12">
        <v>541</v>
      </c>
      <c r="N14" s="12">
        <v>414</v>
      </c>
      <c r="O14" s="12">
        <v>403</v>
      </c>
      <c r="P14" s="12">
        <v>442</v>
      </c>
      <c r="Q14" s="12">
        <v>442</v>
      </c>
      <c r="R14" s="12">
        <v>212</v>
      </c>
      <c r="S14" s="12">
        <v>421</v>
      </c>
      <c r="T14" s="12">
        <v>476</v>
      </c>
      <c r="U14" s="12">
        <v>175</v>
      </c>
      <c r="V14" s="12">
        <v>527</v>
      </c>
      <c r="W14" s="12">
        <v>266</v>
      </c>
      <c r="X14" s="12">
        <v>443</v>
      </c>
      <c r="Y14" s="12">
        <v>422</v>
      </c>
      <c r="Z14" s="12">
        <v>466</v>
      </c>
      <c r="AA14" s="12">
        <v>378</v>
      </c>
      <c r="AB14" s="12">
        <v>468</v>
      </c>
      <c r="AC14" s="12">
        <v>420</v>
      </c>
      <c r="AD14" s="12">
        <v>415</v>
      </c>
      <c r="AE14" s="12">
        <v>435</v>
      </c>
      <c r="AF14" s="12">
        <v>457</v>
      </c>
    </row>
    <row r="15" spans="1:32" x14ac:dyDescent="0.35">
      <c r="A15" s="31"/>
      <c r="B15" s="13" t="s">
        <v>1038</v>
      </c>
      <c r="C15" s="14">
        <v>0.42</v>
      </c>
      <c r="D15" s="14">
        <v>0.45</v>
      </c>
      <c r="E15" s="14">
        <v>0.38</v>
      </c>
      <c r="F15" s="14">
        <v>0.42</v>
      </c>
      <c r="G15" s="14">
        <v>0.49</v>
      </c>
      <c r="H15" s="14">
        <v>0.38</v>
      </c>
      <c r="I15" s="14">
        <v>0.38</v>
      </c>
      <c r="J15" s="14">
        <v>0.41</v>
      </c>
      <c r="K15" s="14">
        <v>0.42</v>
      </c>
      <c r="L15" s="14">
        <v>0.37</v>
      </c>
      <c r="M15" s="14">
        <v>0.54</v>
      </c>
      <c r="N15" s="14">
        <v>0.41</v>
      </c>
      <c r="O15" s="14">
        <v>0.4</v>
      </c>
      <c r="P15" s="14">
        <v>0.44</v>
      </c>
      <c r="Q15" s="14">
        <v>0.43</v>
      </c>
      <c r="R15" s="14">
        <v>0.42</v>
      </c>
      <c r="S15" s="14">
        <v>0.41</v>
      </c>
      <c r="T15" s="14">
        <v>0.47</v>
      </c>
      <c r="U15" s="14">
        <v>0.34</v>
      </c>
      <c r="V15" s="14">
        <v>0.52</v>
      </c>
      <c r="W15" s="14">
        <v>0.53</v>
      </c>
      <c r="X15" s="14">
        <v>0.44</v>
      </c>
      <c r="Y15" s="14">
        <v>0.42</v>
      </c>
      <c r="Z15" s="14">
        <v>0.46</v>
      </c>
      <c r="AA15" s="14">
        <v>0.37</v>
      </c>
      <c r="AB15" s="14">
        <v>0.44</v>
      </c>
      <c r="AC15" s="14">
        <v>0.41</v>
      </c>
      <c r="AD15" s="14">
        <v>0.41</v>
      </c>
      <c r="AE15" s="14">
        <v>0.43</v>
      </c>
      <c r="AF15" s="14">
        <v>0.45</v>
      </c>
    </row>
    <row r="16" spans="1:32" x14ac:dyDescent="0.35">
      <c r="A16" s="31"/>
      <c r="B16" s="11" t="s">
        <v>1039</v>
      </c>
      <c r="C16" s="12">
        <v>3893</v>
      </c>
      <c r="D16" s="12">
        <v>147</v>
      </c>
      <c r="E16" s="12">
        <v>164</v>
      </c>
      <c r="F16" s="12">
        <v>236</v>
      </c>
      <c r="G16" s="12">
        <v>220</v>
      </c>
      <c r="H16" s="12">
        <v>185</v>
      </c>
      <c r="I16" s="12">
        <v>231</v>
      </c>
      <c r="J16" s="12">
        <v>46</v>
      </c>
      <c r="K16" s="12">
        <v>252</v>
      </c>
      <c r="L16" s="12">
        <v>99</v>
      </c>
      <c r="M16" s="12">
        <v>138</v>
      </c>
      <c r="N16" s="12">
        <v>78</v>
      </c>
      <c r="O16" s="12">
        <v>117</v>
      </c>
      <c r="P16" s="12">
        <v>264</v>
      </c>
      <c r="Q16" s="12">
        <v>105</v>
      </c>
      <c r="R16" s="12">
        <v>118</v>
      </c>
      <c r="S16" s="12">
        <v>201</v>
      </c>
      <c r="T16" s="12">
        <v>139</v>
      </c>
      <c r="U16" s="12">
        <v>54</v>
      </c>
      <c r="V16" s="12">
        <v>129</v>
      </c>
      <c r="W16" s="12">
        <v>68</v>
      </c>
      <c r="X16" s="12">
        <v>148</v>
      </c>
      <c r="Y16" s="12">
        <v>176</v>
      </c>
      <c r="Z16" s="12">
        <v>268</v>
      </c>
      <c r="AA16" s="12">
        <v>202</v>
      </c>
      <c r="AB16" s="12">
        <v>220</v>
      </c>
      <c r="AC16" s="12">
        <v>206</v>
      </c>
      <c r="AD16" s="12">
        <v>188</v>
      </c>
      <c r="AE16" s="12">
        <v>236</v>
      </c>
      <c r="AF16" s="12">
        <v>105</v>
      </c>
    </row>
    <row r="17" spans="1:32" x14ac:dyDescent="0.35">
      <c r="A17" s="31"/>
      <c r="B17" s="13" t="s">
        <v>1040</v>
      </c>
      <c r="C17" s="14">
        <v>0.15</v>
      </c>
      <c r="D17" s="14">
        <v>0.14000000000000001</v>
      </c>
      <c r="E17" s="14">
        <v>0.16</v>
      </c>
      <c r="F17" s="14">
        <v>0.23</v>
      </c>
      <c r="G17" s="14">
        <v>0.22</v>
      </c>
      <c r="H17" s="14">
        <v>0.15</v>
      </c>
      <c r="I17" s="14">
        <v>0.15</v>
      </c>
      <c r="J17" s="14">
        <v>0.15</v>
      </c>
      <c r="K17" s="14">
        <v>0.25</v>
      </c>
      <c r="L17" s="14">
        <v>0.1</v>
      </c>
      <c r="M17" s="14">
        <v>0.14000000000000001</v>
      </c>
      <c r="N17" s="14">
        <v>0.08</v>
      </c>
      <c r="O17" s="14">
        <v>0.12</v>
      </c>
      <c r="P17" s="14">
        <v>0.26</v>
      </c>
      <c r="Q17" s="14">
        <v>0.1</v>
      </c>
      <c r="R17" s="14">
        <v>0.24</v>
      </c>
      <c r="S17" s="14">
        <v>0.2</v>
      </c>
      <c r="T17" s="14">
        <v>0.13</v>
      </c>
      <c r="U17" s="14">
        <v>0.11</v>
      </c>
      <c r="V17" s="14">
        <v>0.13</v>
      </c>
      <c r="W17" s="14">
        <v>0.14000000000000001</v>
      </c>
      <c r="X17" s="14">
        <v>0.15</v>
      </c>
      <c r="Y17" s="14">
        <v>0.17</v>
      </c>
      <c r="Z17" s="14">
        <v>0.26</v>
      </c>
      <c r="AA17" s="14">
        <v>0.2</v>
      </c>
      <c r="AB17" s="14">
        <v>0.21</v>
      </c>
      <c r="AC17" s="14">
        <v>0.2</v>
      </c>
      <c r="AD17" s="14">
        <v>0.19</v>
      </c>
      <c r="AE17" s="14">
        <v>0.24</v>
      </c>
      <c r="AF17" s="14">
        <v>0.1</v>
      </c>
    </row>
    <row r="18" spans="1:32" x14ac:dyDescent="0.35">
      <c r="A18" s="31"/>
      <c r="B18" s="11" t="s">
        <v>1041</v>
      </c>
      <c r="C18" s="12">
        <v>1031</v>
      </c>
      <c r="D18" s="12">
        <v>41</v>
      </c>
      <c r="E18" s="12">
        <v>66</v>
      </c>
      <c r="F18" s="12">
        <v>123</v>
      </c>
      <c r="G18" s="12">
        <v>22</v>
      </c>
      <c r="H18" s="12">
        <v>52</v>
      </c>
      <c r="I18" s="12">
        <v>66</v>
      </c>
      <c r="J18" s="12">
        <v>14</v>
      </c>
      <c r="K18" s="12">
        <v>55</v>
      </c>
      <c r="L18" s="12">
        <v>33</v>
      </c>
      <c r="M18" s="12">
        <v>42</v>
      </c>
      <c r="N18" s="12">
        <v>20</v>
      </c>
      <c r="O18" s="12">
        <v>29</v>
      </c>
      <c r="P18" s="12">
        <v>45</v>
      </c>
      <c r="Q18" s="12">
        <v>38</v>
      </c>
      <c r="R18" s="12">
        <v>27</v>
      </c>
      <c r="S18" s="12">
        <v>69</v>
      </c>
      <c r="T18" s="12">
        <v>89</v>
      </c>
      <c r="U18" s="12">
        <v>13</v>
      </c>
      <c r="V18" s="12">
        <v>44</v>
      </c>
      <c r="W18" s="12">
        <v>26</v>
      </c>
      <c r="X18" s="12">
        <v>17</v>
      </c>
      <c r="Y18" s="12">
        <v>36</v>
      </c>
      <c r="Z18" s="12">
        <v>24</v>
      </c>
      <c r="AA18" s="12">
        <v>75</v>
      </c>
      <c r="AB18" s="12">
        <v>92</v>
      </c>
      <c r="AC18" s="12">
        <v>58</v>
      </c>
      <c r="AD18" s="12">
        <v>62</v>
      </c>
      <c r="AE18" s="12">
        <v>33</v>
      </c>
      <c r="AF18" s="12">
        <v>14</v>
      </c>
    </row>
    <row r="19" spans="1:32" x14ac:dyDescent="0.35">
      <c r="A19" s="31"/>
      <c r="B19" s="13" t="s">
        <v>1042</v>
      </c>
      <c r="C19" s="14">
        <v>0.04</v>
      </c>
      <c r="D19" s="14">
        <v>0.04</v>
      </c>
      <c r="E19" s="14">
        <v>0.06</v>
      </c>
      <c r="F19" s="14">
        <v>0.12</v>
      </c>
      <c r="G19" s="14">
        <v>0.02</v>
      </c>
      <c r="H19" s="14">
        <v>0.04</v>
      </c>
      <c r="I19" s="14">
        <v>0.04</v>
      </c>
      <c r="J19" s="14">
        <v>0.05</v>
      </c>
      <c r="K19" s="14">
        <v>0.05</v>
      </c>
      <c r="L19" s="14">
        <v>0.03</v>
      </c>
      <c r="M19" s="14">
        <v>0.04</v>
      </c>
      <c r="N19" s="14">
        <v>0.02</v>
      </c>
      <c r="O19" s="14">
        <v>0.03</v>
      </c>
      <c r="P19" s="14">
        <v>0.05</v>
      </c>
      <c r="Q19" s="14">
        <v>0.04</v>
      </c>
      <c r="R19" s="14">
        <v>0.05</v>
      </c>
      <c r="S19" s="14">
        <v>7.0000000000000007E-2</v>
      </c>
      <c r="T19" s="14">
        <v>0.09</v>
      </c>
      <c r="U19" s="14">
        <v>0.02</v>
      </c>
      <c r="V19" s="14">
        <v>0.04</v>
      </c>
      <c r="W19" s="14">
        <v>0.05</v>
      </c>
      <c r="X19" s="14">
        <v>0.02</v>
      </c>
      <c r="Y19" s="14">
        <v>0.04</v>
      </c>
      <c r="Z19" s="14">
        <v>0.02</v>
      </c>
      <c r="AA19" s="14">
        <v>7.0000000000000007E-2</v>
      </c>
      <c r="AB19" s="14">
        <v>0.09</v>
      </c>
      <c r="AC19" s="14">
        <v>0.06</v>
      </c>
      <c r="AD19" s="14">
        <v>0.06</v>
      </c>
      <c r="AE19" s="14">
        <v>0.03</v>
      </c>
      <c r="AF19" s="14">
        <v>0.01</v>
      </c>
    </row>
    <row r="20" spans="1:32" x14ac:dyDescent="0.35">
      <c r="A20" s="31"/>
      <c r="B20" s="11" t="s">
        <v>344</v>
      </c>
      <c r="C20" s="12">
        <v>649</v>
      </c>
      <c r="D20" s="12">
        <v>7</v>
      </c>
      <c r="E20" s="12">
        <v>44</v>
      </c>
      <c r="F20" s="12">
        <v>22</v>
      </c>
      <c r="G20" s="12">
        <v>20</v>
      </c>
      <c r="H20" s="12">
        <v>21</v>
      </c>
      <c r="I20" s="12">
        <v>24</v>
      </c>
      <c r="J20" s="12">
        <v>3</v>
      </c>
      <c r="K20" s="12">
        <v>46</v>
      </c>
      <c r="L20" s="12">
        <v>7</v>
      </c>
      <c r="M20" s="12">
        <v>12</v>
      </c>
      <c r="N20" s="12">
        <v>30</v>
      </c>
      <c r="O20" s="12">
        <v>45</v>
      </c>
      <c r="P20" s="12">
        <v>43</v>
      </c>
      <c r="Q20" s="12">
        <v>23</v>
      </c>
      <c r="R20" s="12">
        <v>29</v>
      </c>
      <c r="S20" s="12">
        <v>53</v>
      </c>
      <c r="T20" s="12">
        <v>30</v>
      </c>
      <c r="U20" s="12">
        <v>9</v>
      </c>
      <c r="V20" s="12">
        <v>5</v>
      </c>
      <c r="W20" s="12">
        <v>27</v>
      </c>
      <c r="X20" s="12">
        <v>5</v>
      </c>
      <c r="Y20" s="12">
        <v>19</v>
      </c>
      <c r="Z20" s="12">
        <v>10</v>
      </c>
      <c r="AA20" s="12">
        <v>61</v>
      </c>
      <c r="AB20" s="12">
        <v>51</v>
      </c>
      <c r="AC20" s="12">
        <v>19</v>
      </c>
      <c r="AD20" s="12">
        <v>12</v>
      </c>
      <c r="AE20" s="12">
        <v>29</v>
      </c>
      <c r="AF20" s="12">
        <v>1</v>
      </c>
    </row>
    <row r="21" spans="1:32" x14ac:dyDescent="0.35">
      <c r="A21" s="31"/>
      <c r="B21" s="13" t="s">
        <v>357</v>
      </c>
      <c r="C21" s="14">
        <v>0.02</v>
      </c>
      <c r="D21" s="14">
        <v>0.01</v>
      </c>
      <c r="E21" s="14">
        <v>0.04</v>
      </c>
      <c r="F21" s="14">
        <v>0.02</v>
      </c>
      <c r="G21" s="14">
        <v>0.02</v>
      </c>
      <c r="H21" s="14">
        <v>0.02</v>
      </c>
      <c r="I21" s="14">
        <v>0.02</v>
      </c>
      <c r="J21" s="14">
        <v>0.01</v>
      </c>
      <c r="K21" s="14">
        <v>0.05</v>
      </c>
      <c r="L21" s="14">
        <v>0.01</v>
      </c>
      <c r="M21" s="14">
        <v>0.01</v>
      </c>
      <c r="N21" s="14">
        <v>0.03</v>
      </c>
      <c r="O21" s="14">
        <v>0.04</v>
      </c>
      <c r="P21" s="14">
        <v>0.04</v>
      </c>
      <c r="Q21" s="14">
        <v>0.02</v>
      </c>
      <c r="R21" s="14">
        <v>0.06</v>
      </c>
      <c r="S21" s="14">
        <v>0.05</v>
      </c>
      <c r="T21" s="14">
        <v>0.03</v>
      </c>
      <c r="U21" s="14">
        <v>0.02</v>
      </c>
      <c r="V21" s="14">
        <v>0.01</v>
      </c>
      <c r="W21" s="14">
        <v>0.05</v>
      </c>
      <c r="X21" s="15" t="s">
        <v>333</v>
      </c>
      <c r="Y21" s="14">
        <v>0.02</v>
      </c>
      <c r="Z21" s="14">
        <v>0.01</v>
      </c>
      <c r="AA21" s="14">
        <v>0.06</v>
      </c>
      <c r="AB21" s="14">
        <v>0.05</v>
      </c>
      <c r="AC21" s="14">
        <v>0.02</v>
      </c>
      <c r="AD21" s="14">
        <v>0.01</v>
      </c>
      <c r="AE21" s="14">
        <v>0.03</v>
      </c>
      <c r="AF21" s="15" t="s">
        <v>333</v>
      </c>
    </row>
    <row r="22" spans="1:32" x14ac:dyDescent="0.35">
      <c r="A22" s="31"/>
      <c r="B22" s="11" t="s">
        <v>1043</v>
      </c>
      <c r="C22" s="12">
        <v>20838</v>
      </c>
      <c r="D22" s="12">
        <v>831</v>
      </c>
      <c r="E22" s="12">
        <v>765</v>
      </c>
      <c r="F22" s="12">
        <v>637</v>
      </c>
      <c r="G22" s="12">
        <v>755</v>
      </c>
      <c r="H22" s="12">
        <v>974</v>
      </c>
      <c r="I22" s="12">
        <v>1208</v>
      </c>
      <c r="J22" s="12">
        <v>234</v>
      </c>
      <c r="K22" s="12">
        <v>656</v>
      </c>
      <c r="L22" s="12">
        <v>865</v>
      </c>
      <c r="M22" s="12">
        <v>812</v>
      </c>
      <c r="N22" s="12">
        <v>872</v>
      </c>
      <c r="O22" s="12">
        <v>809</v>
      </c>
      <c r="P22" s="12">
        <v>653</v>
      </c>
      <c r="Q22" s="12">
        <v>870</v>
      </c>
      <c r="R22" s="12">
        <v>328</v>
      </c>
      <c r="S22" s="12">
        <v>698</v>
      </c>
      <c r="T22" s="12">
        <v>759</v>
      </c>
      <c r="U22" s="12">
        <v>433</v>
      </c>
      <c r="V22" s="12">
        <v>836</v>
      </c>
      <c r="W22" s="12">
        <v>380</v>
      </c>
      <c r="X22" s="12">
        <v>840</v>
      </c>
      <c r="Y22" s="12">
        <v>772</v>
      </c>
      <c r="Z22" s="12">
        <v>716</v>
      </c>
      <c r="AA22" s="12">
        <v>692</v>
      </c>
      <c r="AB22" s="12">
        <v>693</v>
      </c>
      <c r="AC22" s="12">
        <v>730</v>
      </c>
      <c r="AD22" s="12">
        <v>742</v>
      </c>
      <c r="AE22" s="12">
        <v>709</v>
      </c>
      <c r="AF22" s="12">
        <v>900</v>
      </c>
    </row>
    <row r="23" spans="1:32" x14ac:dyDescent="0.35">
      <c r="A23" s="31"/>
      <c r="B23" s="13" t="s">
        <v>1044</v>
      </c>
      <c r="C23" s="14">
        <v>0.79</v>
      </c>
      <c r="D23" s="14">
        <v>0.81</v>
      </c>
      <c r="E23" s="14">
        <v>0.74</v>
      </c>
      <c r="F23" s="14">
        <v>0.63</v>
      </c>
      <c r="G23" s="14">
        <v>0.74</v>
      </c>
      <c r="H23" s="14">
        <v>0.79</v>
      </c>
      <c r="I23" s="14">
        <v>0.79</v>
      </c>
      <c r="J23" s="14">
        <v>0.79</v>
      </c>
      <c r="K23" s="14">
        <v>0.65</v>
      </c>
      <c r="L23" s="14">
        <v>0.86</v>
      </c>
      <c r="M23" s="14">
        <v>0.81</v>
      </c>
      <c r="N23" s="14">
        <v>0.87</v>
      </c>
      <c r="O23" s="14">
        <v>0.81</v>
      </c>
      <c r="P23" s="14">
        <v>0.65</v>
      </c>
      <c r="Q23" s="14">
        <v>0.84</v>
      </c>
      <c r="R23" s="14">
        <v>0.65</v>
      </c>
      <c r="S23" s="14">
        <v>0.68</v>
      </c>
      <c r="T23" s="14">
        <v>0.75</v>
      </c>
      <c r="U23" s="14">
        <v>0.85</v>
      </c>
      <c r="V23" s="14">
        <v>0.82000000000000006</v>
      </c>
      <c r="W23" s="14">
        <v>0.76</v>
      </c>
      <c r="X23" s="14">
        <v>0.83000000000000007</v>
      </c>
      <c r="Y23" s="14">
        <v>0.77</v>
      </c>
      <c r="Z23" s="14">
        <v>0.71</v>
      </c>
      <c r="AA23" s="14">
        <v>0.67</v>
      </c>
      <c r="AB23" s="14">
        <v>0.65</v>
      </c>
      <c r="AC23" s="14">
        <v>0.72</v>
      </c>
      <c r="AD23" s="14">
        <v>0.74</v>
      </c>
      <c r="AE23" s="14">
        <v>0.70000000000000007</v>
      </c>
      <c r="AF23" s="14">
        <v>0.89</v>
      </c>
    </row>
    <row r="24" spans="1:32" x14ac:dyDescent="0.35">
      <c r="A24" s="31"/>
      <c r="B24" s="11" t="s">
        <v>1045</v>
      </c>
      <c r="C24" s="12">
        <v>4924</v>
      </c>
      <c r="D24" s="12">
        <v>188</v>
      </c>
      <c r="E24" s="12">
        <v>230</v>
      </c>
      <c r="F24" s="12">
        <v>359</v>
      </c>
      <c r="G24" s="12">
        <v>242</v>
      </c>
      <c r="H24" s="12">
        <v>237</v>
      </c>
      <c r="I24" s="12">
        <v>297</v>
      </c>
      <c r="J24" s="12">
        <v>60</v>
      </c>
      <c r="K24" s="12">
        <v>307</v>
      </c>
      <c r="L24" s="12">
        <v>132</v>
      </c>
      <c r="M24" s="12">
        <v>180</v>
      </c>
      <c r="N24" s="12">
        <v>98</v>
      </c>
      <c r="O24" s="12">
        <v>146</v>
      </c>
      <c r="P24" s="12">
        <v>309</v>
      </c>
      <c r="Q24" s="12">
        <v>143</v>
      </c>
      <c r="R24" s="12">
        <v>145</v>
      </c>
      <c r="S24" s="12">
        <v>270</v>
      </c>
      <c r="T24" s="12">
        <v>228</v>
      </c>
      <c r="U24" s="12">
        <v>67</v>
      </c>
      <c r="V24" s="12">
        <v>173</v>
      </c>
      <c r="W24" s="12">
        <v>94</v>
      </c>
      <c r="X24" s="12">
        <v>165</v>
      </c>
      <c r="Y24" s="12">
        <v>212</v>
      </c>
      <c r="Z24" s="12">
        <v>292</v>
      </c>
      <c r="AA24" s="12">
        <v>277</v>
      </c>
      <c r="AB24" s="12">
        <v>312</v>
      </c>
      <c r="AC24" s="12">
        <v>264</v>
      </c>
      <c r="AD24" s="12">
        <v>250</v>
      </c>
      <c r="AE24" s="12">
        <v>269</v>
      </c>
      <c r="AF24" s="12">
        <v>119</v>
      </c>
    </row>
    <row r="25" spans="1:32" x14ac:dyDescent="0.35">
      <c r="A25" s="31"/>
      <c r="B25" s="13" t="s">
        <v>1046</v>
      </c>
      <c r="C25" s="14">
        <v>0.19</v>
      </c>
      <c r="D25" s="14">
        <v>0.18</v>
      </c>
      <c r="E25" s="14">
        <v>0.22</v>
      </c>
      <c r="F25" s="14">
        <v>0.35</v>
      </c>
      <c r="G25" s="14">
        <v>0.24</v>
      </c>
      <c r="H25" s="14">
        <v>0.19</v>
      </c>
      <c r="I25" s="14">
        <v>0.19</v>
      </c>
      <c r="J25" s="14">
        <v>0.2</v>
      </c>
      <c r="K25" s="14">
        <v>0.3</v>
      </c>
      <c r="L25" s="14">
        <v>0.13</v>
      </c>
      <c r="M25" s="14">
        <v>0.18</v>
      </c>
      <c r="N25" s="14">
        <v>0.1</v>
      </c>
      <c r="O25" s="14">
        <v>0.15</v>
      </c>
      <c r="P25" s="14">
        <v>0.31</v>
      </c>
      <c r="Q25" s="14">
        <v>0.14000000000000001</v>
      </c>
      <c r="R25" s="14">
        <v>0.28999999999999998</v>
      </c>
      <c r="S25" s="14">
        <v>0.27</v>
      </c>
      <c r="T25" s="14">
        <v>0.22</v>
      </c>
      <c r="U25" s="14">
        <v>0.13</v>
      </c>
      <c r="V25" s="14">
        <v>0.17</v>
      </c>
      <c r="W25" s="14">
        <v>0.19</v>
      </c>
      <c r="X25" s="14">
        <v>0.17</v>
      </c>
      <c r="Y25" s="14">
        <v>0.21</v>
      </c>
      <c r="Z25" s="14">
        <v>0.28000000000000003</v>
      </c>
      <c r="AA25" s="14">
        <v>0.27</v>
      </c>
      <c r="AB25" s="14">
        <v>0.3</v>
      </c>
      <c r="AC25" s="14">
        <v>0.26</v>
      </c>
      <c r="AD25" s="14">
        <v>0.25</v>
      </c>
      <c r="AE25" s="14">
        <v>0.27</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1059</v>
      </c>
      <c r="C3" s="30"/>
      <c r="D3" s="30"/>
      <c r="E3" s="30"/>
      <c r="F3" s="30"/>
      <c r="H3" s="30" t="s">
        <v>1060</v>
      </c>
      <c r="I3" s="30"/>
      <c r="J3" s="30"/>
      <c r="K3" s="30"/>
      <c r="L3" s="30"/>
    </row>
    <row r="4" spans="1:32" ht="27" customHeight="1" x14ac:dyDescent="0.35">
      <c r="B4" s="30" t="s">
        <v>1061</v>
      </c>
      <c r="C4" s="30"/>
      <c r="D4" s="30"/>
      <c r="E4" s="30"/>
      <c r="F4" s="30"/>
      <c r="H4" s="30" t="s">
        <v>1062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HYPERLINK("#Content!A99","&lt;&lt;Back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1035</v>
      </c>
      <c r="C12" s="12">
        <v>7397</v>
      </c>
      <c r="D12" s="12">
        <v>263</v>
      </c>
      <c r="E12" s="12">
        <v>352</v>
      </c>
      <c r="F12" s="12">
        <v>168</v>
      </c>
      <c r="G12" s="12">
        <v>200</v>
      </c>
      <c r="H12" s="12">
        <v>358</v>
      </c>
      <c r="I12" s="12">
        <v>424</v>
      </c>
      <c r="J12" s="12">
        <v>66</v>
      </c>
      <c r="K12" s="12">
        <v>169</v>
      </c>
      <c r="L12" s="12">
        <v>350</v>
      </c>
      <c r="M12" s="12">
        <v>206</v>
      </c>
      <c r="N12" s="12">
        <v>375</v>
      </c>
      <c r="O12" s="12">
        <v>339</v>
      </c>
      <c r="P12" s="12">
        <v>198</v>
      </c>
      <c r="Q12" s="12">
        <v>312</v>
      </c>
      <c r="R12" s="12">
        <v>122</v>
      </c>
      <c r="S12" s="12">
        <v>210</v>
      </c>
      <c r="T12" s="12">
        <v>255</v>
      </c>
      <c r="U12" s="12">
        <v>207</v>
      </c>
      <c r="V12" s="12">
        <v>252</v>
      </c>
      <c r="W12" s="12">
        <v>92</v>
      </c>
      <c r="X12" s="12">
        <v>219</v>
      </c>
      <c r="Y12" s="12">
        <v>246</v>
      </c>
      <c r="Z12" s="12">
        <v>237</v>
      </c>
      <c r="AA12" s="12">
        <v>193</v>
      </c>
      <c r="AB12" s="12">
        <v>221</v>
      </c>
      <c r="AC12" s="12">
        <v>201</v>
      </c>
      <c r="AD12" s="12">
        <v>218</v>
      </c>
      <c r="AE12" s="12">
        <v>232</v>
      </c>
      <c r="AF12" s="12">
        <v>256</v>
      </c>
    </row>
    <row r="13" spans="1:32" x14ac:dyDescent="0.35">
      <c r="A13" s="31"/>
      <c r="B13" s="13" t="s">
        <v>1036</v>
      </c>
      <c r="C13" s="14">
        <v>0.28000000000000003</v>
      </c>
      <c r="D13" s="14">
        <v>0.26</v>
      </c>
      <c r="E13" s="14">
        <v>0.34</v>
      </c>
      <c r="F13" s="14">
        <v>0.17</v>
      </c>
      <c r="G13" s="14">
        <v>0.2</v>
      </c>
      <c r="H13" s="14">
        <v>0.28999999999999998</v>
      </c>
      <c r="I13" s="14">
        <v>0.28000000000000003</v>
      </c>
      <c r="J13" s="14">
        <v>0.22</v>
      </c>
      <c r="K13" s="14">
        <v>0.17</v>
      </c>
      <c r="L13" s="14">
        <v>0.35</v>
      </c>
      <c r="M13" s="14">
        <v>0.21</v>
      </c>
      <c r="N13" s="14">
        <v>0.38</v>
      </c>
      <c r="O13" s="14">
        <v>0.34</v>
      </c>
      <c r="P13" s="14">
        <v>0.2</v>
      </c>
      <c r="Q13" s="14">
        <v>0.3</v>
      </c>
      <c r="R13" s="14">
        <v>0.24</v>
      </c>
      <c r="S13" s="14">
        <v>0.21</v>
      </c>
      <c r="T13" s="14">
        <v>0.25</v>
      </c>
      <c r="U13" s="14">
        <v>0.4</v>
      </c>
      <c r="V13" s="14">
        <v>0.25</v>
      </c>
      <c r="W13" s="14">
        <v>0.19</v>
      </c>
      <c r="X13" s="14">
        <v>0.22</v>
      </c>
      <c r="Y13" s="14">
        <v>0.25</v>
      </c>
      <c r="Z13" s="14">
        <v>0.23</v>
      </c>
      <c r="AA13" s="14">
        <v>0.19</v>
      </c>
      <c r="AB13" s="14">
        <v>0.21</v>
      </c>
      <c r="AC13" s="14">
        <v>0.2</v>
      </c>
      <c r="AD13" s="14">
        <v>0.22</v>
      </c>
      <c r="AE13" s="14">
        <v>0.23</v>
      </c>
      <c r="AF13" s="14">
        <v>0.25</v>
      </c>
    </row>
    <row r="14" spans="1:32" x14ac:dyDescent="0.35">
      <c r="A14" s="31"/>
      <c r="B14" s="11" t="s">
        <v>1037</v>
      </c>
      <c r="C14" s="12">
        <v>10948</v>
      </c>
      <c r="D14" s="12">
        <v>428</v>
      </c>
      <c r="E14" s="12">
        <v>346</v>
      </c>
      <c r="F14" s="12">
        <v>389</v>
      </c>
      <c r="G14" s="12">
        <v>482</v>
      </c>
      <c r="H14" s="12">
        <v>512</v>
      </c>
      <c r="I14" s="12">
        <v>635</v>
      </c>
      <c r="J14" s="12">
        <v>123</v>
      </c>
      <c r="K14" s="12">
        <v>353</v>
      </c>
      <c r="L14" s="12">
        <v>391</v>
      </c>
      <c r="M14" s="12">
        <v>515</v>
      </c>
      <c r="N14" s="12">
        <v>383</v>
      </c>
      <c r="O14" s="12">
        <v>345</v>
      </c>
      <c r="P14" s="12">
        <v>411</v>
      </c>
      <c r="Q14" s="12">
        <v>479</v>
      </c>
      <c r="R14" s="12">
        <v>182</v>
      </c>
      <c r="S14" s="12">
        <v>376</v>
      </c>
      <c r="T14" s="12">
        <v>459</v>
      </c>
      <c r="U14" s="12">
        <v>177</v>
      </c>
      <c r="V14" s="12">
        <v>515</v>
      </c>
      <c r="W14" s="12">
        <v>160</v>
      </c>
      <c r="X14" s="12">
        <v>507</v>
      </c>
      <c r="Y14" s="12">
        <v>376</v>
      </c>
      <c r="Z14" s="12">
        <v>447</v>
      </c>
      <c r="AA14" s="12">
        <v>387</v>
      </c>
      <c r="AB14" s="12">
        <v>451</v>
      </c>
      <c r="AC14" s="12">
        <v>369</v>
      </c>
      <c r="AD14" s="12">
        <v>375</v>
      </c>
      <c r="AE14" s="12">
        <v>415</v>
      </c>
      <c r="AF14" s="12">
        <v>481</v>
      </c>
    </row>
    <row r="15" spans="1:32" x14ac:dyDescent="0.35">
      <c r="A15" s="31"/>
      <c r="B15" s="13" t="s">
        <v>1038</v>
      </c>
      <c r="C15" s="14">
        <v>0.42</v>
      </c>
      <c r="D15" s="14">
        <v>0.42</v>
      </c>
      <c r="E15" s="14">
        <v>0.33</v>
      </c>
      <c r="F15" s="14">
        <v>0.38</v>
      </c>
      <c r="G15" s="14">
        <v>0.48</v>
      </c>
      <c r="H15" s="14">
        <v>0.42</v>
      </c>
      <c r="I15" s="14">
        <v>0.41</v>
      </c>
      <c r="J15" s="14">
        <v>0.41</v>
      </c>
      <c r="K15" s="14">
        <v>0.35</v>
      </c>
      <c r="L15" s="14">
        <v>0.39</v>
      </c>
      <c r="M15" s="14">
        <v>0.51</v>
      </c>
      <c r="N15" s="14">
        <v>0.38</v>
      </c>
      <c r="O15" s="14">
        <v>0.35</v>
      </c>
      <c r="P15" s="14">
        <v>0.41</v>
      </c>
      <c r="Q15" s="14">
        <v>0.46</v>
      </c>
      <c r="R15" s="14">
        <v>0.37</v>
      </c>
      <c r="S15" s="14">
        <v>0.37</v>
      </c>
      <c r="T15" s="14">
        <v>0.45</v>
      </c>
      <c r="U15" s="14">
        <v>0.35</v>
      </c>
      <c r="V15" s="14">
        <v>0.51</v>
      </c>
      <c r="W15" s="14">
        <v>0.32</v>
      </c>
      <c r="X15" s="14">
        <v>0.5</v>
      </c>
      <c r="Y15" s="14">
        <v>0.37</v>
      </c>
      <c r="Z15" s="14">
        <v>0.44</v>
      </c>
      <c r="AA15" s="14">
        <v>0.37</v>
      </c>
      <c r="AB15" s="14">
        <v>0.43</v>
      </c>
      <c r="AC15" s="14">
        <v>0.37</v>
      </c>
      <c r="AD15" s="14">
        <v>0.37</v>
      </c>
      <c r="AE15" s="14">
        <v>0.41</v>
      </c>
      <c r="AF15" s="14">
        <v>0.47</v>
      </c>
    </row>
    <row r="16" spans="1:32" x14ac:dyDescent="0.35">
      <c r="A16" s="31"/>
      <c r="B16" s="11" t="s">
        <v>1039</v>
      </c>
      <c r="C16" s="12">
        <v>5911</v>
      </c>
      <c r="D16" s="12">
        <v>259</v>
      </c>
      <c r="E16" s="12">
        <v>213</v>
      </c>
      <c r="F16" s="12">
        <v>297</v>
      </c>
      <c r="G16" s="12">
        <v>268</v>
      </c>
      <c r="H16" s="12">
        <v>286</v>
      </c>
      <c r="I16" s="12">
        <v>365</v>
      </c>
      <c r="J16" s="12">
        <v>79</v>
      </c>
      <c r="K16" s="12">
        <v>361</v>
      </c>
      <c r="L16" s="12">
        <v>174</v>
      </c>
      <c r="M16" s="12">
        <v>195</v>
      </c>
      <c r="N16" s="12">
        <v>162</v>
      </c>
      <c r="O16" s="12">
        <v>223</v>
      </c>
      <c r="P16" s="12">
        <v>296</v>
      </c>
      <c r="Q16" s="12">
        <v>169</v>
      </c>
      <c r="R16" s="12">
        <v>132</v>
      </c>
      <c r="S16" s="12">
        <v>260</v>
      </c>
      <c r="T16" s="12">
        <v>163</v>
      </c>
      <c r="U16" s="12">
        <v>91</v>
      </c>
      <c r="V16" s="12">
        <v>170</v>
      </c>
      <c r="W16" s="12">
        <v>185</v>
      </c>
      <c r="X16" s="12">
        <v>255</v>
      </c>
      <c r="Y16" s="12">
        <v>269</v>
      </c>
      <c r="Z16" s="12">
        <v>292</v>
      </c>
      <c r="AA16" s="12">
        <v>265</v>
      </c>
      <c r="AB16" s="12">
        <v>245</v>
      </c>
      <c r="AC16" s="12">
        <v>327</v>
      </c>
      <c r="AD16" s="12">
        <v>307</v>
      </c>
      <c r="AE16" s="12">
        <v>306</v>
      </c>
      <c r="AF16" s="12">
        <v>247</v>
      </c>
    </row>
    <row r="17" spans="1:32" x14ac:dyDescent="0.35">
      <c r="A17" s="31"/>
      <c r="B17" s="13" t="s">
        <v>1040</v>
      </c>
      <c r="C17" s="14">
        <v>0.22</v>
      </c>
      <c r="D17" s="14">
        <v>0.25</v>
      </c>
      <c r="E17" s="14">
        <v>0.2</v>
      </c>
      <c r="F17" s="14">
        <v>0.28999999999999998</v>
      </c>
      <c r="G17" s="14">
        <v>0.26</v>
      </c>
      <c r="H17" s="14">
        <v>0.23</v>
      </c>
      <c r="I17" s="14">
        <v>0.24</v>
      </c>
      <c r="J17" s="14">
        <v>0.27</v>
      </c>
      <c r="K17" s="14">
        <v>0.36</v>
      </c>
      <c r="L17" s="14">
        <v>0.17</v>
      </c>
      <c r="M17" s="14">
        <v>0.2</v>
      </c>
      <c r="N17" s="14">
        <v>0.16</v>
      </c>
      <c r="O17" s="14">
        <v>0.22</v>
      </c>
      <c r="P17" s="14">
        <v>0.28999999999999998</v>
      </c>
      <c r="Q17" s="14">
        <v>0.16</v>
      </c>
      <c r="R17" s="14">
        <v>0.26</v>
      </c>
      <c r="S17" s="14">
        <v>0.25</v>
      </c>
      <c r="T17" s="14">
        <v>0.16</v>
      </c>
      <c r="U17" s="14">
        <v>0.18</v>
      </c>
      <c r="V17" s="14">
        <v>0.17</v>
      </c>
      <c r="W17" s="14">
        <v>0.37</v>
      </c>
      <c r="X17" s="14">
        <v>0.25</v>
      </c>
      <c r="Y17" s="14">
        <v>0.27</v>
      </c>
      <c r="Z17" s="14">
        <v>0.28999999999999998</v>
      </c>
      <c r="AA17" s="14">
        <v>0.26</v>
      </c>
      <c r="AB17" s="14">
        <v>0.23</v>
      </c>
      <c r="AC17" s="14">
        <v>0.32</v>
      </c>
      <c r="AD17" s="14">
        <v>0.31</v>
      </c>
      <c r="AE17" s="14">
        <v>0.3</v>
      </c>
      <c r="AF17" s="14">
        <v>0.24</v>
      </c>
    </row>
    <row r="18" spans="1:32" x14ac:dyDescent="0.35">
      <c r="A18" s="31"/>
      <c r="B18" s="11" t="s">
        <v>1041</v>
      </c>
      <c r="C18" s="12">
        <v>1426</v>
      </c>
      <c r="D18" s="12">
        <v>63</v>
      </c>
      <c r="E18" s="12">
        <v>79</v>
      </c>
      <c r="F18" s="12">
        <v>142</v>
      </c>
      <c r="G18" s="12">
        <v>43</v>
      </c>
      <c r="H18" s="12">
        <v>60</v>
      </c>
      <c r="I18" s="12">
        <v>82</v>
      </c>
      <c r="J18" s="12">
        <v>22</v>
      </c>
      <c r="K18" s="12">
        <v>66</v>
      </c>
      <c r="L18" s="12">
        <v>74</v>
      </c>
      <c r="M18" s="12">
        <v>53</v>
      </c>
      <c r="N18" s="12">
        <v>36</v>
      </c>
      <c r="O18" s="12">
        <v>53</v>
      </c>
      <c r="P18" s="12">
        <v>56</v>
      </c>
      <c r="Q18" s="12">
        <v>50</v>
      </c>
      <c r="R18" s="12">
        <v>40</v>
      </c>
      <c r="S18" s="12">
        <v>113</v>
      </c>
      <c r="T18" s="12">
        <v>112</v>
      </c>
      <c r="U18" s="12">
        <v>21</v>
      </c>
      <c r="V18" s="12">
        <v>67</v>
      </c>
      <c r="W18" s="12">
        <v>31</v>
      </c>
      <c r="X18" s="12">
        <v>24</v>
      </c>
      <c r="Y18" s="12">
        <v>82</v>
      </c>
      <c r="Z18" s="12">
        <v>28</v>
      </c>
      <c r="AA18" s="12">
        <v>106</v>
      </c>
      <c r="AB18" s="12">
        <v>88</v>
      </c>
      <c r="AC18" s="12">
        <v>84</v>
      </c>
      <c r="AD18" s="12">
        <v>91</v>
      </c>
      <c r="AE18" s="12">
        <v>35</v>
      </c>
      <c r="AF18" s="12">
        <v>32</v>
      </c>
    </row>
    <row r="19" spans="1:32" x14ac:dyDescent="0.35">
      <c r="A19" s="31"/>
      <c r="B19" s="13" t="s">
        <v>1042</v>
      </c>
      <c r="C19" s="14">
        <v>0.05</v>
      </c>
      <c r="D19" s="14">
        <v>0.06</v>
      </c>
      <c r="E19" s="14">
        <v>0.08</v>
      </c>
      <c r="F19" s="14">
        <v>0.14000000000000001</v>
      </c>
      <c r="G19" s="14">
        <v>0.04</v>
      </c>
      <c r="H19" s="14">
        <v>0.05</v>
      </c>
      <c r="I19" s="14">
        <v>0.05</v>
      </c>
      <c r="J19" s="14">
        <v>7.0000000000000007E-2</v>
      </c>
      <c r="K19" s="14">
        <v>0.06</v>
      </c>
      <c r="L19" s="14">
        <v>7.0000000000000007E-2</v>
      </c>
      <c r="M19" s="14">
        <v>0.05</v>
      </c>
      <c r="N19" s="14">
        <v>0.04</v>
      </c>
      <c r="O19" s="14">
        <v>0.05</v>
      </c>
      <c r="P19" s="14">
        <v>0.06</v>
      </c>
      <c r="Q19" s="14">
        <v>0.05</v>
      </c>
      <c r="R19" s="14">
        <v>0.08</v>
      </c>
      <c r="S19" s="14">
        <v>0.11</v>
      </c>
      <c r="T19" s="14">
        <v>0.11</v>
      </c>
      <c r="U19" s="14">
        <v>0.04</v>
      </c>
      <c r="V19" s="14">
        <v>0.06</v>
      </c>
      <c r="W19" s="14">
        <v>0.06</v>
      </c>
      <c r="X19" s="14">
        <v>0.02</v>
      </c>
      <c r="Y19" s="14">
        <v>0.08</v>
      </c>
      <c r="Z19" s="14">
        <v>0.03</v>
      </c>
      <c r="AA19" s="14">
        <v>0.1</v>
      </c>
      <c r="AB19" s="14">
        <v>0.08</v>
      </c>
      <c r="AC19" s="14">
        <v>0.08</v>
      </c>
      <c r="AD19" s="14">
        <v>0.09</v>
      </c>
      <c r="AE19" s="14">
        <v>0.04</v>
      </c>
      <c r="AF19" s="14">
        <v>0.03</v>
      </c>
    </row>
    <row r="20" spans="1:32" x14ac:dyDescent="0.35">
      <c r="A20" s="31"/>
      <c r="B20" s="11" t="s">
        <v>344</v>
      </c>
      <c r="C20" s="12">
        <v>728</v>
      </c>
      <c r="D20" s="12">
        <v>12</v>
      </c>
      <c r="E20" s="12">
        <v>49</v>
      </c>
      <c r="F20" s="12">
        <v>21</v>
      </c>
      <c r="G20" s="12">
        <v>24</v>
      </c>
      <c r="H20" s="12">
        <v>15</v>
      </c>
      <c r="I20" s="12">
        <v>23</v>
      </c>
      <c r="J20" s="12">
        <v>8</v>
      </c>
      <c r="K20" s="12">
        <v>61</v>
      </c>
      <c r="L20" s="12">
        <v>14</v>
      </c>
      <c r="M20" s="12">
        <v>35</v>
      </c>
      <c r="N20" s="12">
        <v>44</v>
      </c>
      <c r="O20" s="12">
        <v>40</v>
      </c>
      <c r="P20" s="12">
        <v>43</v>
      </c>
      <c r="Q20" s="12">
        <v>25</v>
      </c>
      <c r="R20" s="12">
        <v>25</v>
      </c>
      <c r="S20" s="12">
        <v>62</v>
      </c>
      <c r="T20" s="12">
        <v>28</v>
      </c>
      <c r="U20" s="12">
        <v>14</v>
      </c>
      <c r="V20" s="12">
        <v>11</v>
      </c>
      <c r="W20" s="12">
        <v>32</v>
      </c>
      <c r="X20" s="12">
        <v>5</v>
      </c>
      <c r="Y20" s="12">
        <v>29</v>
      </c>
      <c r="Z20" s="12">
        <v>15</v>
      </c>
      <c r="AA20" s="12">
        <v>79</v>
      </c>
      <c r="AB20" s="12">
        <v>51</v>
      </c>
      <c r="AC20" s="12">
        <v>32</v>
      </c>
      <c r="AD20" s="12">
        <v>14</v>
      </c>
      <c r="AE20" s="12">
        <v>20</v>
      </c>
      <c r="AF20" s="12">
        <v>3</v>
      </c>
    </row>
    <row r="21" spans="1:32" x14ac:dyDescent="0.35">
      <c r="A21" s="31"/>
      <c r="B21" s="13" t="s">
        <v>357</v>
      </c>
      <c r="C21" s="14">
        <v>0.03</v>
      </c>
      <c r="D21" s="14">
        <v>0.01</v>
      </c>
      <c r="E21" s="14">
        <v>0.05</v>
      </c>
      <c r="F21" s="14">
        <v>0.02</v>
      </c>
      <c r="G21" s="14">
        <v>0.02</v>
      </c>
      <c r="H21" s="14">
        <v>0.01</v>
      </c>
      <c r="I21" s="14">
        <v>0.02</v>
      </c>
      <c r="J21" s="14">
        <v>0.03</v>
      </c>
      <c r="K21" s="14">
        <v>0.06</v>
      </c>
      <c r="L21" s="14">
        <v>0.02</v>
      </c>
      <c r="M21" s="14">
        <v>0.03</v>
      </c>
      <c r="N21" s="14">
        <v>0.04</v>
      </c>
      <c r="O21" s="14">
        <v>0.04</v>
      </c>
      <c r="P21" s="14">
        <v>0.04</v>
      </c>
      <c r="Q21" s="14">
        <v>0.03</v>
      </c>
      <c r="R21" s="14">
        <v>0.05</v>
      </c>
      <c r="S21" s="14">
        <v>0.06</v>
      </c>
      <c r="T21" s="14">
        <v>0.03</v>
      </c>
      <c r="U21" s="14">
        <v>0.03</v>
      </c>
      <c r="V21" s="14">
        <v>0.01</v>
      </c>
      <c r="W21" s="14">
        <v>0.06</v>
      </c>
      <c r="X21" s="14">
        <v>0.01</v>
      </c>
      <c r="Y21" s="14">
        <v>0.03</v>
      </c>
      <c r="Z21" s="14">
        <v>0.01</v>
      </c>
      <c r="AA21" s="14">
        <v>0.08</v>
      </c>
      <c r="AB21" s="14">
        <v>0.05</v>
      </c>
      <c r="AC21" s="14">
        <v>0.03</v>
      </c>
      <c r="AD21" s="14">
        <v>0.01</v>
      </c>
      <c r="AE21" s="14">
        <v>0.02</v>
      </c>
      <c r="AF21" s="14">
        <v>0.01</v>
      </c>
    </row>
    <row r="22" spans="1:32" x14ac:dyDescent="0.35">
      <c r="A22" s="31"/>
      <c r="B22" s="11" t="s">
        <v>1043</v>
      </c>
      <c r="C22" s="12">
        <v>18345</v>
      </c>
      <c r="D22" s="12">
        <v>691</v>
      </c>
      <c r="E22" s="12">
        <v>698</v>
      </c>
      <c r="F22" s="12">
        <v>557</v>
      </c>
      <c r="G22" s="12">
        <v>682</v>
      </c>
      <c r="H22" s="12">
        <v>870</v>
      </c>
      <c r="I22" s="12">
        <v>1059</v>
      </c>
      <c r="J22" s="12">
        <v>189</v>
      </c>
      <c r="K22" s="12">
        <v>522</v>
      </c>
      <c r="L22" s="12">
        <v>741</v>
      </c>
      <c r="M22" s="12">
        <v>721</v>
      </c>
      <c r="N22" s="12">
        <v>758</v>
      </c>
      <c r="O22" s="12">
        <v>684</v>
      </c>
      <c r="P22" s="12">
        <v>609</v>
      </c>
      <c r="Q22" s="12">
        <v>791</v>
      </c>
      <c r="R22" s="12">
        <v>304</v>
      </c>
      <c r="S22" s="12">
        <v>586</v>
      </c>
      <c r="T22" s="12">
        <v>714</v>
      </c>
      <c r="U22" s="12">
        <v>384</v>
      </c>
      <c r="V22" s="12">
        <v>767</v>
      </c>
      <c r="W22" s="12">
        <v>252</v>
      </c>
      <c r="X22" s="12">
        <v>726</v>
      </c>
      <c r="Y22" s="12">
        <v>622</v>
      </c>
      <c r="Z22" s="12">
        <v>684</v>
      </c>
      <c r="AA22" s="12">
        <v>580</v>
      </c>
      <c r="AB22" s="12">
        <v>672</v>
      </c>
      <c r="AC22" s="12">
        <v>570</v>
      </c>
      <c r="AD22" s="12">
        <v>593</v>
      </c>
      <c r="AE22" s="12">
        <v>647</v>
      </c>
      <c r="AF22" s="12">
        <v>737</v>
      </c>
    </row>
    <row r="23" spans="1:32" x14ac:dyDescent="0.35">
      <c r="A23" s="31"/>
      <c r="B23" s="13" t="s">
        <v>1044</v>
      </c>
      <c r="C23" s="14">
        <v>0.70000000000000007</v>
      </c>
      <c r="D23" s="14">
        <v>0.68</v>
      </c>
      <c r="E23" s="14">
        <v>0.67</v>
      </c>
      <c r="F23" s="14">
        <v>0.55000000000000004</v>
      </c>
      <c r="G23" s="14">
        <v>0.68</v>
      </c>
      <c r="H23" s="14">
        <v>0.71</v>
      </c>
      <c r="I23" s="14">
        <v>0.69000000000000006</v>
      </c>
      <c r="J23" s="14">
        <v>0.63</v>
      </c>
      <c r="K23" s="14">
        <v>0.52</v>
      </c>
      <c r="L23" s="14">
        <v>0.74</v>
      </c>
      <c r="M23" s="14">
        <v>0.72</v>
      </c>
      <c r="N23" s="14">
        <v>0.76</v>
      </c>
      <c r="O23" s="14">
        <v>0.69000000000000006</v>
      </c>
      <c r="P23" s="14">
        <v>0.61</v>
      </c>
      <c r="Q23" s="14">
        <v>0.76</v>
      </c>
      <c r="R23" s="14">
        <v>0.61</v>
      </c>
      <c r="S23" s="14">
        <v>0.57999999999999996</v>
      </c>
      <c r="T23" s="14">
        <v>0.70000000000000007</v>
      </c>
      <c r="U23" s="14">
        <v>0.75</v>
      </c>
      <c r="V23" s="14">
        <v>0.76</v>
      </c>
      <c r="W23" s="14">
        <v>0.51</v>
      </c>
      <c r="X23" s="14">
        <v>0.72</v>
      </c>
      <c r="Y23" s="14">
        <v>0.62</v>
      </c>
      <c r="Z23" s="14">
        <v>0.67</v>
      </c>
      <c r="AA23" s="14">
        <v>0.56000000000000005</v>
      </c>
      <c r="AB23" s="14">
        <v>0.64</v>
      </c>
      <c r="AC23" s="14">
        <v>0.57000000000000006</v>
      </c>
      <c r="AD23" s="14">
        <v>0.59</v>
      </c>
      <c r="AE23" s="14">
        <v>0.64</v>
      </c>
      <c r="AF23" s="14">
        <v>0.72</v>
      </c>
    </row>
    <row r="24" spans="1:32" x14ac:dyDescent="0.35">
      <c r="A24" s="31"/>
      <c r="B24" s="11" t="s">
        <v>1045</v>
      </c>
      <c r="C24" s="12">
        <v>7337</v>
      </c>
      <c r="D24" s="12">
        <v>322</v>
      </c>
      <c r="E24" s="12">
        <v>292</v>
      </c>
      <c r="F24" s="12">
        <v>439</v>
      </c>
      <c r="G24" s="12">
        <v>311</v>
      </c>
      <c r="H24" s="12">
        <v>346</v>
      </c>
      <c r="I24" s="12">
        <v>447</v>
      </c>
      <c r="J24" s="12">
        <v>101</v>
      </c>
      <c r="K24" s="12">
        <v>427</v>
      </c>
      <c r="L24" s="12">
        <v>248</v>
      </c>
      <c r="M24" s="12">
        <v>248</v>
      </c>
      <c r="N24" s="12">
        <v>198</v>
      </c>
      <c r="O24" s="12">
        <v>276</v>
      </c>
      <c r="P24" s="12">
        <v>352</v>
      </c>
      <c r="Q24" s="12">
        <v>219</v>
      </c>
      <c r="R24" s="12">
        <v>172</v>
      </c>
      <c r="S24" s="12">
        <v>373</v>
      </c>
      <c r="T24" s="12">
        <v>275</v>
      </c>
      <c r="U24" s="12">
        <v>112</v>
      </c>
      <c r="V24" s="12">
        <v>237</v>
      </c>
      <c r="W24" s="12">
        <v>216</v>
      </c>
      <c r="X24" s="12">
        <v>279</v>
      </c>
      <c r="Y24" s="12">
        <v>351</v>
      </c>
      <c r="Z24" s="12">
        <v>320</v>
      </c>
      <c r="AA24" s="12">
        <v>371</v>
      </c>
      <c r="AB24" s="12">
        <v>333</v>
      </c>
      <c r="AC24" s="12">
        <v>411</v>
      </c>
      <c r="AD24" s="12">
        <v>398</v>
      </c>
      <c r="AE24" s="12">
        <v>341</v>
      </c>
      <c r="AF24" s="12">
        <v>279</v>
      </c>
    </row>
    <row r="25" spans="1:32" x14ac:dyDescent="0.35">
      <c r="A25" s="31"/>
      <c r="B25" s="13" t="s">
        <v>1046</v>
      </c>
      <c r="C25" s="14">
        <v>0.27</v>
      </c>
      <c r="D25" s="14">
        <v>0.31</v>
      </c>
      <c r="E25" s="14">
        <v>0.28000000000000003</v>
      </c>
      <c r="F25" s="14">
        <v>0.43</v>
      </c>
      <c r="G25" s="14">
        <v>0.3</v>
      </c>
      <c r="H25" s="14">
        <v>0.28000000000000003</v>
      </c>
      <c r="I25" s="14">
        <v>0.28999999999999998</v>
      </c>
      <c r="J25" s="14">
        <v>0.34</v>
      </c>
      <c r="K25" s="14">
        <v>0.42</v>
      </c>
      <c r="L25" s="14">
        <v>0.24</v>
      </c>
      <c r="M25" s="14">
        <v>0.25</v>
      </c>
      <c r="N25" s="14">
        <v>0.2</v>
      </c>
      <c r="O25" s="14">
        <v>0.27</v>
      </c>
      <c r="P25" s="14">
        <v>0.35</v>
      </c>
      <c r="Q25" s="14">
        <v>0.21</v>
      </c>
      <c r="R25" s="14">
        <v>0.34</v>
      </c>
      <c r="S25" s="14">
        <v>0.36</v>
      </c>
      <c r="T25" s="14">
        <v>0.27</v>
      </c>
      <c r="U25" s="14">
        <v>0.22</v>
      </c>
      <c r="V25" s="14">
        <v>0.23</v>
      </c>
      <c r="W25" s="14">
        <v>0.43</v>
      </c>
      <c r="X25" s="14">
        <v>0.27</v>
      </c>
      <c r="Y25" s="14">
        <v>0.35</v>
      </c>
      <c r="Z25" s="14">
        <v>0.32</v>
      </c>
      <c r="AA25" s="14">
        <v>0.36</v>
      </c>
      <c r="AB25" s="14">
        <v>0.31</v>
      </c>
      <c r="AC25" s="14">
        <v>0.4</v>
      </c>
      <c r="AD25" s="14">
        <v>0.4</v>
      </c>
      <c r="AE25" s="14">
        <v>0.34</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1063</v>
      </c>
      <c r="C3" s="30"/>
      <c r="D3" s="30"/>
      <c r="E3" s="30"/>
      <c r="F3" s="30"/>
      <c r="H3" s="30" t="s">
        <v>1064</v>
      </c>
      <c r="I3" s="30"/>
      <c r="J3" s="30"/>
      <c r="K3" s="30"/>
      <c r="L3" s="30"/>
    </row>
    <row r="4" spans="1:32" ht="27" customHeight="1" x14ac:dyDescent="0.35">
      <c r="B4" s="30" t="s">
        <v>1065</v>
      </c>
      <c r="C4" s="30"/>
      <c r="D4" s="30"/>
      <c r="E4" s="30"/>
      <c r="F4" s="30"/>
      <c r="H4" s="30" t="s">
        <v>1066</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2883</v>
      </c>
      <c r="D12" s="12">
        <v>106</v>
      </c>
      <c r="E12" s="12">
        <v>105</v>
      </c>
      <c r="F12" s="12">
        <v>90</v>
      </c>
      <c r="G12" s="12">
        <v>121</v>
      </c>
      <c r="H12" s="12">
        <v>57</v>
      </c>
      <c r="I12" s="12">
        <v>78</v>
      </c>
      <c r="J12" s="12">
        <v>21</v>
      </c>
      <c r="K12" s="12">
        <v>87</v>
      </c>
      <c r="L12" s="12">
        <v>146</v>
      </c>
      <c r="M12" s="12">
        <v>117</v>
      </c>
      <c r="N12" s="12">
        <v>171</v>
      </c>
      <c r="O12" s="12">
        <v>83</v>
      </c>
      <c r="P12" s="12">
        <v>126</v>
      </c>
      <c r="Q12" s="12">
        <v>165</v>
      </c>
      <c r="R12" s="12">
        <v>38</v>
      </c>
      <c r="S12" s="12">
        <v>70</v>
      </c>
      <c r="T12" s="12">
        <v>79</v>
      </c>
      <c r="U12" s="12">
        <v>38</v>
      </c>
      <c r="V12" s="12">
        <v>147</v>
      </c>
      <c r="W12" s="12">
        <v>64</v>
      </c>
      <c r="X12" s="12">
        <v>62</v>
      </c>
      <c r="Y12" s="12">
        <v>213</v>
      </c>
      <c r="Z12" s="12">
        <v>120</v>
      </c>
      <c r="AA12" s="12">
        <v>117</v>
      </c>
      <c r="AB12" s="12">
        <v>114</v>
      </c>
      <c r="AC12" s="12">
        <v>52</v>
      </c>
      <c r="AD12" s="12">
        <v>109</v>
      </c>
      <c r="AE12" s="12">
        <v>180</v>
      </c>
      <c r="AF12" s="12">
        <v>82</v>
      </c>
    </row>
    <row r="13" spans="1:32" x14ac:dyDescent="0.35">
      <c r="A13" s="31"/>
      <c r="B13" s="13" t="s">
        <v>503</v>
      </c>
      <c r="C13" s="14">
        <v>0.11</v>
      </c>
      <c r="D13" s="14">
        <v>0.1</v>
      </c>
      <c r="E13" s="14">
        <v>0.1</v>
      </c>
      <c r="F13" s="14">
        <v>0.09</v>
      </c>
      <c r="G13" s="14">
        <v>0.12</v>
      </c>
      <c r="H13" s="14">
        <v>0.04</v>
      </c>
      <c r="I13" s="14">
        <v>0.05</v>
      </c>
      <c r="J13" s="14">
        <v>7.0000000000000007E-2</v>
      </c>
      <c r="K13" s="14">
        <v>0.09</v>
      </c>
      <c r="L13" s="14">
        <v>0.14000000000000001</v>
      </c>
      <c r="M13" s="14">
        <v>0.12</v>
      </c>
      <c r="N13" s="14">
        <v>0.17</v>
      </c>
      <c r="O13" s="14">
        <v>0.08</v>
      </c>
      <c r="P13" s="14">
        <v>0.12</v>
      </c>
      <c r="Q13" s="14">
        <v>0.16</v>
      </c>
      <c r="R13" s="14">
        <v>0.08</v>
      </c>
      <c r="S13" s="14">
        <v>7.0000000000000007E-2</v>
      </c>
      <c r="T13" s="14">
        <v>0.08</v>
      </c>
      <c r="U13" s="14">
        <v>0.08</v>
      </c>
      <c r="V13" s="14">
        <v>0.15</v>
      </c>
      <c r="W13" s="14">
        <v>0.13</v>
      </c>
      <c r="X13" s="14">
        <v>0.06</v>
      </c>
      <c r="Y13" s="14">
        <v>0.21</v>
      </c>
      <c r="Z13" s="14">
        <v>0.12</v>
      </c>
      <c r="AA13" s="14">
        <v>0.11</v>
      </c>
      <c r="AB13" s="14">
        <v>0.11</v>
      </c>
      <c r="AC13" s="14">
        <v>0.05</v>
      </c>
      <c r="AD13" s="14">
        <v>0.11</v>
      </c>
      <c r="AE13" s="14">
        <v>0.18</v>
      </c>
      <c r="AF13" s="14">
        <v>0.08</v>
      </c>
    </row>
    <row r="14" spans="1:32" x14ac:dyDescent="0.35">
      <c r="A14" s="31"/>
      <c r="B14" s="11" t="s">
        <v>504</v>
      </c>
      <c r="C14" s="12">
        <v>10961</v>
      </c>
      <c r="D14" s="12">
        <v>460</v>
      </c>
      <c r="E14" s="12">
        <v>287</v>
      </c>
      <c r="F14" s="12">
        <v>379</v>
      </c>
      <c r="G14" s="12">
        <v>548</v>
      </c>
      <c r="H14" s="12">
        <v>464</v>
      </c>
      <c r="I14" s="12">
        <v>556</v>
      </c>
      <c r="J14" s="12">
        <v>92</v>
      </c>
      <c r="K14" s="12">
        <v>473</v>
      </c>
      <c r="L14" s="12">
        <v>361</v>
      </c>
      <c r="M14" s="12">
        <v>373</v>
      </c>
      <c r="N14" s="12">
        <v>409</v>
      </c>
      <c r="O14" s="12">
        <v>378</v>
      </c>
      <c r="P14" s="12">
        <v>448</v>
      </c>
      <c r="Q14" s="12">
        <v>479</v>
      </c>
      <c r="R14" s="12">
        <v>163</v>
      </c>
      <c r="S14" s="12">
        <v>362</v>
      </c>
      <c r="T14" s="12">
        <v>361</v>
      </c>
      <c r="U14" s="12">
        <v>225</v>
      </c>
      <c r="V14" s="12">
        <v>421</v>
      </c>
      <c r="W14" s="12">
        <v>214</v>
      </c>
      <c r="X14" s="12">
        <v>435</v>
      </c>
      <c r="Y14" s="12">
        <v>394</v>
      </c>
      <c r="Z14" s="12">
        <v>510</v>
      </c>
      <c r="AA14" s="12">
        <v>470</v>
      </c>
      <c r="AB14" s="12">
        <v>419</v>
      </c>
      <c r="AC14" s="12">
        <v>364</v>
      </c>
      <c r="AD14" s="12">
        <v>383</v>
      </c>
      <c r="AE14" s="12">
        <v>608</v>
      </c>
      <c r="AF14" s="12">
        <v>552</v>
      </c>
    </row>
    <row r="15" spans="1:32" x14ac:dyDescent="0.35">
      <c r="A15" s="31"/>
      <c r="B15" s="13" t="s">
        <v>505</v>
      </c>
      <c r="C15" s="14">
        <v>0.42</v>
      </c>
      <c r="D15" s="14">
        <v>0.45</v>
      </c>
      <c r="E15" s="14">
        <v>0.28000000000000003</v>
      </c>
      <c r="F15" s="14">
        <v>0.37</v>
      </c>
      <c r="G15" s="14">
        <v>0.54</v>
      </c>
      <c r="H15" s="14">
        <v>0.38</v>
      </c>
      <c r="I15" s="14">
        <v>0.36</v>
      </c>
      <c r="J15" s="14">
        <v>0.31</v>
      </c>
      <c r="K15" s="14">
        <v>0.47</v>
      </c>
      <c r="L15" s="14">
        <v>0.36</v>
      </c>
      <c r="M15" s="14">
        <v>0.37</v>
      </c>
      <c r="N15" s="14">
        <v>0.41</v>
      </c>
      <c r="O15" s="14">
        <v>0.38</v>
      </c>
      <c r="P15" s="14">
        <v>0.45</v>
      </c>
      <c r="Q15" s="14">
        <v>0.46</v>
      </c>
      <c r="R15" s="14">
        <v>0.32</v>
      </c>
      <c r="S15" s="14">
        <v>0.35</v>
      </c>
      <c r="T15" s="14">
        <v>0.35</v>
      </c>
      <c r="U15" s="14">
        <v>0.44</v>
      </c>
      <c r="V15" s="14">
        <v>0.41</v>
      </c>
      <c r="W15" s="14">
        <v>0.43</v>
      </c>
      <c r="X15" s="14">
        <v>0.43</v>
      </c>
      <c r="Y15" s="14">
        <v>0.39</v>
      </c>
      <c r="Z15" s="14">
        <v>0.5</v>
      </c>
      <c r="AA15" s="14">
        <v>0.46</v>
      </c>
      <c r="AB15" s="14">
        <v>0.4</v>
      </c>
      <c r="AC15" s="14">
        <v>0.36</v>
      </c>
      <c r="AD15" s="14">
        <v>0.38</v>
      </c>
      <c r="AE15" s="14">
        <v>0.6</v>
      </c>
      <c r="AF15" s="14">
        <v>0.54</v>
      </c>
    </row>
    <row r="16" spans="1:32" x14ac:dyDescent="0.35">
      <c r="A16" s="31"/>
      <c r="B16" s="11" t="s">
        <v>506</v>
      </c>
      <c r="C16" s="12">
        <v>7783</v>
      </c>
      <c r="D16" s="12">
        <v>356</v>
      </c>
      <c r="E16" s="12">
        <v>336</v>
      </c>
      <c r="F16" s="12">
        <v>311</v>
      </c>
      <c r="G16" s="12">
        <v>220</v>
      </c>
      <c r="H16" s="12">
        <v>441</v>
      </c>
      <c r="I16" s="12">
        <v>564</v>
      </c>
      <c r="J16" s="12">
        <v>123</v>
      </c>
      <c r="K16" s="12">
        <v>248</v>
      </c>
      <c r="L16" s="12">
        <v>282</v>
      </c>
      <c r="M16" s="12">
        <v>322</v>
      </c>
      <c r="N16" s="12">
        <v>198</v>
      </c>
      <c r="O16" s="12">
        <v>310</v>
      </c>
      <c r="P16" s="12">
        <v>274</v>
      </c>
      <c r="Q16" s="12">
        <v>269</v>
      </c>
      <c r="R16" s="12">
        <v>150</v>
      </c>
      <c r="S16" s="12">
        <v>337</v>
      </c>
      <c r="T16" s="12">
        <v>353</v>
      </c>
      <c r="U16" s="12">
        <v>148</v>
      </c>
      <c r="V16" s="12">
        <v>289</v>
      </c>
      <c r="W16" s="12">
        <v>163</v>
      </c>
      <c r="X16" s="12">
        <v>398</v>
      </c>
      <c r="Y16" s="12">
        <v>191</v>
      </c>
      <c r="Z16" s="12">
        <v>275</v>
      </c>
      <c r="AA16" s="12">
        <v>229</v>
      </c>
      <c r="AB16" s="12">
        <v>360</v>
      </c>
      <c r="AC16" s="12">
        <v>331</v>
      </c>
      <c r="AD16" s="12">
        <v>308</v>
      </c>
      <c r="AE16" s="12">
        <v>131</v>
      </c>
      <c r="AF16" s="12">
        <v>285</v>
      </c>
    </row>
    <row r="17" spans="1:32" x14ac:dyDescent="0.35">
      <c r="A17" s="31"/>
      <c r="B17" s="13" t="s">
        <v>507</v>
      </c>
      <c r="C17" s="14">
        <v>0.28999999999999998</v>
      </c>
      <c r="D17" s="14">
        <v>0.35</v>
      </c>
      <c r="E17" s="14">
        <v>0.32</v>
      </c>
      <c r="F17" s="14">
        <v>0.31</v>
      </c>
      <c r="G17" s="14">
        <v>0.22</v>
      </c>
      <c r="H17" s="14">
        <v>0.36</v>
      </c>
      <c r="I17" s="14">
        <v>0.37</v>
      </c>
      <c r="J17" s="14">
        <v>0.41</v>
      </c>
      <c r="K17" s="14">
        <v>0.24</v>
      </c>
      <c r="L17" s="14">
        <v>0.28000000000000003</v>
      </c>
      <c r="M17" s="14">
        <v>0.32</v>
      </c>
      <c r="N17" s="14">
        <v>0.2</v>
      </c>
      <c r="O17" s="14">
        <v>0.31</v>
      </c>
      <c r="P17" s="14">
        <v>0.27</v>
      </c>
      <c r="Q17" s="14">
        <v>0.26</v>
      </c>
      <c r="R17" s="14">
        <v>0.3</v>
      </c>
      <c r="S17" s="14">
        <v>0.33</v>
      </c>
      <c r="T17" s="14">
        <v>0.35</v>
      </c>
      <c r="U17" s="14">
        <v>0.28999999999999998</v>
      </c>
      <c r="V17" s="14">
        <v>0.28000000000000003</v>
      </c>
      <c r="W17" s="14">
        <v>0.32</v>
      </c>
      <c r="X17" s="14">
        <v>0.39</v>
      </c>
      <c r="Y17" s="14">
        <v>0.19</v>
      </c>
      <c r="Z17" s="14">
        <v>0.27</v>
      </c>
      <c r="AA17" s="14">
        <v>0.22</v>
      </c>
      <c r="AB17" s="14">
        <v>0.34</v>
      </c>
      <c r="AC17" s="14">
        <v>0.33</v>
      </c>
      <c r="AD17" s="14">
        <v>0.31</v>
      </c>
      <c r="AE17" s="14">
        <v>0.13</v>
      </c>
      <c r="AF17" s="14">
        <v>0.28000000000000003</v>
      </c>
    </row>
    <row r="18" spans="1:32" x14ac:dyDescent="0.35">
      <c r="A18" s="31"/>
      <c r="B18" s="11" t="s">
        <v>508</v>
      </c>
      <c r="C18" s="12">
        <v>2419</v>
      </c>
      <c r="D18" s="12">
        <v>64</v>
      </c>
      <c r="E18" s="12">
        <v>192</v>
      </c>
      <c r="F18" s="12">
        <v>132</v>
      </c>
      <c r="G18" s="12">
        <v>47</v>
      </c>
      <c r="H18" s="12">
        <v>123</v>
      </c>
      <c r="I18" s="12">
        <v>169</v>
      </c>
      <c r="J18" s="12">
        <v>46</v>
      </c>
      <c r="K18" s="12">
        <v>89</v>
      </c>
      <c r="L18" s="12">
        <v>88</v>
      </c>
      <c r="M18" s="12">
        <v>152</v>
      </c>
      <c r="N18" s="12">
        <v>94</v>
      </c>
      <c r="O18" s="12">
        <v>102</v>
      </c>
      <c r="P18" s="12">
        <v>87</v>
      </c>
      <c r="Q18" s="12">
        <v>78</v>
      </c>
      <c r="R18" s="12">
        <v>113</v>
      </c>
      <c r="S18" s="12">
        <v>104</v>
      </c>
      <c r="T18" s="12">
        <v>119</v>
      </c>
      <c r="U18" s="12">
        <v>31</v>
      </c>
      <c r="V18" s="12">
        <v>129</v>
      </c>
      <c r="W18" s="12">
        <v>24</v>
      </c>
      <c r="X18" s="12">
        <v>60</v>
      </c>
      <c r="Y18" s="12">
        <v>86</v>
      </c>
      <c r="Z18" s="12">
        <v>55</v>
      </c>
      <c r="AA18" s="12">
        <v>40</v>
      </c>
      <c r="AB18" s="12">
        <v>90</v>
      </c>
      <c r="AC18" s="12">
        <v>158</v>
      </c>
      <c r="AD18" s="12">
        <v>160</v>
      </c>
      <c r="AE18" s="12">
        <v>17</v>
      </c>
      <c r="AF18" s="12">
        <v>58</v>
      </c>
    </row>
    <row r="19" spans="1:32" x14ac:dyDescent="0.35">
      <c r="A19" s="31"/>
      <c r="B19" s="13" t="s">
        <v>509</v>
      </c>
      <c r="C19" s="14">
        <v>0.09</v>
      </c>
      <c r="D19" s="14">
        <v>0.06</v>
      </c>
      <c r="E19" s="14">
        <v>0.19</v>
      </c>
      <c r="F19" s="14">
        <v>0.13</v>
      </c>
      <c r="G19" s="14">
        <v>0.04</v>
      </c>
      <c r="H19" s="14">
        <v>0.1</v>
      </c>
      <c r="I19" s="14">
        <v>0.11</v>
      </c>
      <c r="J19" s="14">
        <v>0.16</v>
      </c>
      <c r="K19" s="14">
        <v>0.09</v>
      </c>
      <c r="L19" s="14">
        <v>0.09</v>
      </c>
      <c r="M19" s="14">
        <v>0.15</v>
      </c>
      <c r="N19" s="14">
        <v>0.09</v>
      </c>
      <c r="O19" s="14">
        <v>0.1</v>
      </c>
      <c r="P19" s="14">
        <v>0.09</v>
      </c>
      <c r="Q19" s="14">
        <v>0.08</v>
      </c>
      <c r="R19" s="14">
        <v>0.23</v>
      </c>
      <c r="S19" s="14">
        <v>0.1</v>
      </c>
      <c r="T19" s="14">
        <v>0.12</v>
      </c>
      <c r="U19" s="14">
        <v>0.06</v>
      </c>
      <c r="V19" s="14">
        <v>0.13</v>
      </c>
      <c r="W19" s="14">
        <v>0.05</v>
      </c>
      <c r="X19" s="14">
        <v>0.06</v>
      </c>
      <c r="Y19" s="14">
        <v>0.09</v>
      </c>
      <c r="Z19" s="14">
        <v>0.05</v>
      </c>
      <c r="AA19" s="14">
        <v>0.04</v>
      </c>
      <c r="AB19" s="14">
        <v>0.08</v>
      </c>
      <c r="AC19" s="14">
        <v>0.15</v>
      </c>
      <c r="AD19" s="14">
        <v>0.16</v>
      </c>
      <c r="AE19" s="14">
        <v>0.02</v>
      </c>
      <c r="AF19" s="14">
        <v>0.06</v>
      </c>
    </row>
    <row r="20" spans="1:32" x14ac:dyDescent="0.35">
      <c r="A20" s="31"/>
      <c r="B20" s="11" t="s">
        <v>344</v>
      </c>
      <c r="C20" s="12">
        <v>2363</v>
      </c>
      <c r="D20" s="12">
        <v>39</v>
      </c>
      <c r="E20" s="12">
        <v>118</v>
      </c>
      <c r="F20" s="12">
        <v>107</v>
      </c>
      <c r="G20" s="12">
        <v>81</v>
      </c>
      <c r="H20" s="12">
        <v>148</v>
      </c>
      <c r="I20" s="12">
        <v>163</v>
      </c>
      <c r="J20" s="12">
        <v>15</v>
      </c>
      <c r="K20" s="12">
        <v>111</v>
      </c>
      <c r="L20" s="12">
        <v>127</v>
      </c>
      <c r="M20" s="12">
        <v>40</v>
      </c>
      <c r="N20" s="12">
        <v>128</v>
      </c>
      <c r="O20" s="12">
        <v>127</v>
      </c>
      <c r="P20" s="12">
        <v>69</v>
      </c>
      <c r="Q20" s="12">
        <v>44</v>
      </c>
      <c r="R20" s="12">
        <v>37</v>
      </c>
      <c r="S20" s="12">
        <v>148</v>
      </c>
      <c r="T20" s="12">
        <v>105</v>
      </c>
      <c r="U20" s="12">
        <v>67</v>
      </c>
      <c r="V20" s="12">
        <v>28</v>
      </c>
      <c r="W20" s="12">
        <v>36</v>
      </c>
      <c r="X20" s="12">
        <v>55</v>
      </c>
      <c r="Y20" s="12">
        <v>120</v>
      </c>
      <c r="Z20" s="12">
        <v>59</v>
      </c>
      <c r="AA20" s="12">
        <v>173</v>
      </c>
      <c r="AB20" s="12">
        <v>73</v>
      </c>
      <c r="AC20" s="12">
        <v>108</v>
      </c>
      <c r="AD20" s="12">
        <v>44</v>
      </c>
      <c r="AE20" s="12">
        <v>71</v>
      </c>
      <c r="AF20" s="12">
        <v>43</v>
      </c>
    </row>
    <row r="21" spans="1:32" x14ac:dyDescent="0.35">
      <c r="A21" s="31"/>
      <c r="B21" s="13" t="s">
        <v>357</v>
      </c>
      <c r="C21" s="14">
        <v>0.09</v>
      </c>
      <c r="D21" s="14">
        <v>0.04</v>
      </c>
      <c r="E21" s="14">
        <v>0.11</v>
      </c>
      <c r="F21" s="14">
        <v>0.1</v>
      </c>
      <c r="G21" s="14">
        <v>0.08</v>
      </c>
      <c r="H21" s="14">
        <v>0.12</v>
      </c>
      <c r="I21" s="14">
        <v>0.11</v>
      </c>
      <c r="J21" s="14">
        <v>0.05</v>
      </c>
      <c r="K21" s="14">
        <v>0.11</v>
      </c>
      <c r="L21" s="14">
        <v>0.13</v>
      </c>
      <c r="M21" s="14">
        <v>0.04</v>
      </c>
      <c r="N21" s="14">
        <v>0.13</v>
      </c>
      <c r="O21" s="14">
        <v>0.13</v>
      </c>
      <c r="P21" s="14">
        <v>7.0000000000000007E-2</v>
      </c>
      <c r="Q21" s="14">
        <v>0.04</v>
      </c>
      <c r="R21" s="14">
        <v>7.0000000000000007E-2</v>
      </c>
      <c r="S21" s="14">
        <v>0.15</v>
      </c>
      <c r="T21" s="14">
        <v>0.1</v>
      </c>
      <c r="U21" s="14">
        <v>0.13</v>
      </c>
      <c r="V21" s="14">
        <v>0.03</v>
      </c>
      <c r="W21" s="14">
        <v>7.0000000000000007E-2</v>
      </c>
      <c r="X21" s="14">
        <v>0.06</v>
      </c>
      <c r="Y21" s="14">
        <v>0.12</v>
      </c>
      <c r="Z21" s="14">
        <v>0.06</v>
      </c>
      <c r="AA21" s="14">
        <v>0.17</v>
      </c>
      <c r="AB21" s="14">
        <v>7.0000000000000007E-2</v>
      </c>
      <c r="AC21" s="14">
        <v>0.11</v>
      </c>
      <c r="AD21" s="14">
        <v>0.04</v>
      </c>
      <c r="AE21" s="14">
        <v>7.0000000000000007E-2</v>
      </c>
      <c r="AF21" s="14">
        <v>0.04</v>
      </c>
    </row>
    <row r="22" spans="1:32" x14ac:dyDescent="0.35">
      <c r="A22" s="31"/>
      <c r="B22" s="11" t="s">
        <v>510</v>
      </c>
      <c r="C22" s="12">
        <v>13844</v>
      </c>
      <c r="D22" s="12">
        <v>566</v>
      </c>
      <c r="E22" s="12">
        <v>392</v>
      </c>
      <c r="F22" s="12">
        <v>469</v>
      </c>
      <c r="G22" s="12">
        <v>669</v>
      </c>
      <c r="H22" s="12">
        <v>521</v>
      </c>
      <c r="I22" s="12">
        <v>634</v>
      </c>
      <c r="J22" s="12">
        <v>113</v>
      </c>
      <c r="K22" s="12">
        <v>560</v>
      </c>
      <c r="L22" s="12">
        <v>507</v>
      </c>
      <c r="M22" s="12">
        <v>490</v>
      </c>
      <c r="N22" s="12">
        <v>580</v>
      </c>
      <c r="O22" s="12">
        <v>461</v>
      </c>
      <c r="P22" s="12">
        <v>574</v>
      </c>
      <c r="Q22" s="12">
        <v>644</v>
      </c>
      <c r="R22" s="12">
        <v>201</v>
      </c>
      <c r="S22" s="12">
        <v>432</v>
      </c>
      <c r="T22" s="12">
        <v>440</v>
      </c>
      <c r="U22" s="12">
        <v>263</v>
      </c>
      <c r="V22" s="12">
        <v>568</v>
      </c>
      <c r="W22" s="12">
        <v>278</v>
      </c>
      <c r="X22" s="12">
        <v>497</v>
      </c>
      <c r="Y22" s="12">
        <v>607</v>
      </c>
      <c r="Z22" s="12">
        <v>630</v>
      </c>
      <c r="AA22" s="12">
        <v>587</v>
      </c>
      <c r="AB22" s="12">
        <v>533</v>
      </c>
      <c r="AC22" s="12">
        <v>416</v>
      </c>
      <c r="AD22" s="12">
        <v>492</v>
      </c>
      <c r="AE22" s="12">
        <v>788</v>
      </c>
      <c r="AF22" s="12">
        <v>634</v>
      </c>
    </row>
    <row r="23" spans="1:32" x14ac:dyDescent="0.35">
      <c r="A23" s="31"/>
      <c r="B23" s="13" t="s">
        <v>511</v>
      </c>
      <c r="C23" s="14">
        <v>0.53</v>
      </c>
      <c r="D23" s="14">
        <v>0.55000000000000004</v>
      </c>
      <c r="E23" s="14">
        <v>0.38</v>
      </c>
      <c r="F23" s="14">
        <v>0.46</v>
      </c>
      <c r="G23" s="14">
        <v>0.66</v>
      </c>
      <c r="H23" s="14">
        <v>0.42</v>
      </c>
      <c r="I23" s="14">
        <v>0.41</v>
      </c>
      <c r="J23" s="14">
        <v>0.38</v>
      </c>
      <c r="K23" s="14">
        <v>0.56000000000000005</v>
      </c>
      <c r="L23" s="14">
        <v>0.5</v>
      </c>
      <c r="M23" s="14">
        <v>0.49</v>
      </c>
      <c r="N23" s="14">
        <v>0.57999999999999996</v>
      </c>
      <c r="O23" s="14">
        <v>0.46</v>
      </c>
      <c r="P23" s="14">
        <v>0.57000000000000006</v>
      </c>
      <c r="Q23" s="14">
        <v>0.62</v>
      </c>
      <c r="R23" s="14">
        <v>0.4</v>
      </c>
      <c r="S23" s="14">
        <v>0.42</v>
      </c>
      <c r="T23" s="14">
        <v>0.43</v>
      </c>
      <c r="U23" s="14">
        <v>0.52</v>
      </c>
      <c r="V23" s="14">
        <v>0.56000000000000005</v>
      </c>
      <c r="W23" s="14">
        <v>0.56000000000000005</v>
      </c>
      <c r="X23" s="14">
        <v>0.49</v>
      </c>
      <c r="Y23" s="14">
        <v>0.6</v>
      </c>
      <c r="Z23" s="14">
        <v>0.62</v>
      </c>
      <c r="AA23" s="14">
        <v>0.57000000000000006</v>
      </c>
      <c r="AB23" s="14">
        <v>0.51</v>
      </c>
      <c r="AC23" s="14">
        <v>0.41</v>
      </c>
      <c r="AD23" s="14">
        <v>0.49</v>
      </c>
      <c r="AE23" s="14">
        <v>0.78</v>
      </c>
      <c r="AF23" s="14">
        <v>0.62</v>
      </c>
    </row>
    <row r="24" spans="1:32" x14ac:dyDescent="0.35">
      <c r="A24" s="31"/>
      <c r="B24" s="11" t="s">
        <v>512</v>
      </c>
      <c r="C24" s="12">
        <v>10202</v>
      </c>
      <c r="D24" s="12">
        <v>420</v>
      </c>
      <c r="E24" s="12">
        <v>528</v>
      </c>
      <c r="F24" s="12">
        <v>443</v>
      </c>
      <c r="G24" s="12">
        <v>267</v>
      </c>
      <c r="H24" s="12">
        <v>564</v>
      </c>
      <c r="I24" s="12">
        <v>733</v>
      </c>
      <c r="J24" s="12">
        <v>169</v>
      </c>
      <c r="K24" s="12">
        <v>337</v>
      </c>
      <c r="L24" s="12">
        <v>370</v>
      </c>
      <c r="M24" s="12">
        <v>474</v>
      </c>
      <c r="N24" s="12">
        <v>292</v>
      </c>
      <c r="O24" s="12">
        <v>412</v>
      </c>
      <c r="P24" s="12">
        <v>361</v>
      </c>
      <c r="Q24" s="12">
        <v>347</v>
      </c>
      <c r="R24" s="12">
        <v>263</v>
      </c>
      <c r="S24" s="12">
        <v>441</v>
      </c>
      <c r="T24" s="12">
        <v>472</v>
      </c>
      <c r="U24" s="12">
        <v>179</v>
      </c>
      <c r="V24" s="12">
        <v>418</v>
      </c>
      <c r="W24" s="12">
        <v>187</v>
      </c>
      <c r="X24" s="12">
        <v>458</v>
      </c>
      <c r="Y24" s="12">
        <v>277</v>
      </c>
      <c r="Z24" s="12">
        <v>330</v>
      </c>
      <c r="AA24" s="12">
        <v>269</v>
      </c>
      <c r="AB24" s="12">
        <v>450</v>
      </c>
      <c r="AC24" s="12">
        <v>489</v>
      </c>
      <c r="AD24" s="12">
        <v>468</v>
      </c>
      <c r="AE24" s="12">
        <v>148</v>
      </c>
      <c r="AF24" s="12">
        <v>343</v>
      </c>
    </row>
    <row r="25" spans="1:32" x14ac:dyDescent="0.35">
      <c r="A25" s="31"/>
      <c r="B25" s="13" t="s">
        <v>513</v>
      </c>
      <c r="C25" s="14">
        <v>0.38</v>
      </c>
      <c r="D25" s="14">
        <v>0.41</v>
      </c>
      <c r="E25" s="14">
        <v>0.51</v>
      </c>
      <c r="F25" s="14">
        <v>0.44</v>
      </c>
      <c r="G25" s="14">
        <v>0.26</v>
      </c>
      <c r="H25" s="14">
        <v>0.46</v>
      </c>
      <c r="I25" s="14">
        <v>0.48</v>
      </c>
      <c r="J25" s="14">
        <v>0.57000000000000006</v>
      </c>
      <c r="K25" s="14">
        <v>0.33</v>
      </c>
      <c r="L25" s="14">
        <v>0.37</v>
      </c>
      <c r="M25" s="14">
        <v>0.47</v>
      </c>
      <c r="N25" s="14">
        <v>0.28999999999999998</v>
      </c>
      <c r="O25" s="14">
        <v>0.41</v>
      </c>
      <c r="P25" s="14">
        <v>0.36</v>
      </c>
      <c r="Q25" s="14">
        <v>0.34</v>
      </c>
      <c r="R25" s="14">
        <v>0.53</v>
      </c>
      <c r="S25" s="14">
        <v>0.43</v>
      </c>
      <c r="T25" s="14">
        <v>0.47</v>
      </c>
      <c r="U25" s="14">
        <v>0.35</v>
      </c>
      <c r="V25" s="14">
        <v>0.41</v>
      </c>
      <c r="W25" s="14">
        <v>0.37</v>
      </c>
      <c r="X25" s="14">
        <v>0.45</v>
      </c>
      <c r="Y25" s="14">
        <v>0.28000000000000003</v>
      </c>
      <c r="Z25" s="14">
        <v>0.32</v>
      </c>
      <c r="AA25" s="14">
        <v>0.26</v>
      </c>
      <c r="AB25" s="14">
        <v>0.42</v>
      </c>
      <c r="AC25" s="14">
        <v>0.48</v>
      </c>
      <c r="AD25" s="14">
        <v>0.47</v>
      </c>
      <c r="AE25" s="14">
        <v>0.15</v>
      </c>
      <c r="AF25" s="14">
        <v>0.34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1067</v>
      </c>
      <c r="C3" s="30"/>
      <c r="D3" s="30"/>
      <c r="E3" s="30"/>
      <c r="F3" s="30"/>
      <c r="H3" s="30" t="s">
        <v>1068</v>
      </c>
      <c r="I3" s="30"/>
      <c r="J3" s="30"/>
      <c r="K3" s="30"/>
      <c r="L3" s="30"/>
    </row>
    <row r="4" spans="1:32" ht="27" customHeight="1" x14ac:dyDescent="0.35">
      <c r="B4" s="30" t="s">
        <v>1069</v>
      </c>
      <c r="C4" s="30"/>
      <c r="D4" s="30"/>
      <c r="E4" s="30"/>
      <c r="F4" s="30"/>
      <c r="H4" s="30" t="s">
        <v>1070</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2874</v>
      </c>
      <c r="D12" s="12">
        <v>125</v>
      </c>
      <c r="E12" s="12">
        <v>87</v>
      </c>
      <c r="F12" s="12">
        <v>86</v>
      </c>
      <c r="G12" s="12">
        <v>130</v>
      </c>
      <c r="H12" s="12">
        <v>58</v>
      </c>
      <c r="I12" s="12">
        <v>78</v>
      </c>
      <c r="J12" s="12">
        <v>20</v>
      </c>
      <c r="K12" s="12">
        <v>98</v>
      </c>
      <c r="L12" s="12">
        <v>126</v>
      </c>
      <c r="M12" s="12">
        <v>119</v>
      </c>
      <c r="N12" s="12">
        <v>179</v>
      </c>
      <c r="O12" s="12">
        <v>83</v>
      </c>
      <c r="P12" s="12">
        <v>131</v>
      </c>
      <c r="Q12" s="12">
        <v>153</v>
      </c>
      <c r="R12" s="12">
        <v>43</v>
      </c>
      <c r="S12" s="12">
        <v>67</v>
      </c>
      <c r="T12" s="12">
        <v>61</v>
      </c>
      <c r="U12" s="12">
        <v>49</v>
      </c>
      <c r="V12" s="12">
        <v>144</v>
      </c>
      <c r="W12" s="12">
        <v>53</v>
      </c>
      <c r="X12" s="12">
        <v>69</v>
      </c>
      <c r="Y12" s="12">
        <v>187</v>
      </c>
      <c r="Z12" s="12">
        <v>124</v>
      </c>
      <c r="AA12" s="12">
        <v>99</v>
      </c>
      <c r="AB12" s="12">
        <v>121</v>
      </c>
      <c r="AC12" s="12">
        <v>50</v>
      </c>
      <c r="AD12" s="12">
        <v>104</v>
      </c>
      <c r="AE12" s="12">
        <v>174</v>
      </c>
      <c r="AF12" s="12">
        <v>108</v>
      </c>
    </row>
    <row r="13" spans="1:32" x14ac:dyDescent="0.35">
      <c r="A13" s="31"/>
      <c r="B13" s="13" t="s">
        <v>503</v>
      </c>
      <c r="C13" s="14">
        <v>0.11</v>
      </c>
      <c r="D13" s="14">
        <v>0.12</v>
      </c>
      <c r="E13" s="14">
        <v>0.09</v>
      </c>
      <c r="F13" s="14">
        <v>0.08</v>
      </c>
      <c r="G13" s="14">
        <v>0.13</v>
      </c>
      <c r="H13" s="14">
        <v>0.05</v>
      </c>
      <c r="I13" s="14">
        <v>0.05</v>
      </c>
      <c r="J13" s="14">
        <v>7.0000000000000007E-2</v>
      </c>
      <c r="K13" s="14">
        <v>0.1</v>
      </c>
      <c r="L13" s="14">
        <v>0.13</v>
      </c>
      <c r="M13" s="14">
        <v>0.12</v>
      </c>
      <c r="N13" s="14">
        <v>0.18</v>
      </c>
      <c r="O13" s="14">
        <v>0.08</v>
      </c>
      <c r="P13" s="14">
        <v>0.13</v>
      </c>
      <c r="Q13" s="14">
        <v>0.15</v>
      </c>
      <c r="R13" s="14">
        <v>0.09</v>
      </c>
      <c r="S13" s="14">
        <v>7.0000000000000007E-2</v>
      </c>
      <c r="T13" s="14">
        <v>0.06</v>
      </c>
      <c r="U13" s="14">
        <v>0.1</v>
      </c>
      <c r="V13" s="14">
        <v>0.14000000000000001</v>
      </c>
      <c r="W13" s="14">
        <v>0.11</v>
      </c>
      <c r="X13" s="14">
        <v>7.0000000000000007E-2</v>
      </c>
      <c r="Y13" s="14">
        <v>0.19</v>
      </c>
      <c r="Z13" s="14">
        <v>0.12</v>
      </c>
      <c r="AA13" s="14">
        <v>0.09</v>
      </c>
      <c r="AB13" s="14">
        <v>0.11</v>
      </c>
      <c r="AC13" s="14">
        <v>0.05</v>
      </c>
      <c r="AD13" s="14">
        <v>0.1</v>
      </c>
      <c r="AE13" s="14">
        <v>0.17</v>
      </c>
      <c r="AF13" s="14">
        <v>0.1</v>
      </c>
    </row>
    <row r="14" spans="1:32" x14ac:dyDescent="0.35">
      <c r="A14" s="31"/>
      <c r="B14" s="11" t="s">
        <v>504</v>
      </c>
      <c r="C14" s="12">
        <v>10802</v>
      </c>
      <c r="D14" s="12">
        <v>445</v>
      </c>
      <c r="E14" s="12">
        <v>305</v>
      </c>
      <c r="F14" s="12">
        <v>334</v>
      </c>
      <c r="G14" s="12">
        <v>516</v>
      </c>
      <c r="H14" s="12">
        <v>436</v>
      </c>
      <c r="I14" s="12">
        <v>524</v>
      </c>
      <c r="J14" s="12">
        <v>88</v>
      </c>
      <c r="K14" s="12">
        <v>453</v>
      </c>
      <c r="L14" s="12">
        <v>367</v>
      </c>
      <c r="M14" s="12">
        <v>407</v>
      </c>
      <c r="N14" s="12">
        <v>416</v>
      </c>
      <c r="O14" s="12">
        <v>380</v>
      </c>
      <c r="P14" s="12">
        <v>438</v>
      </c>
      <c r="Q14" s="12">
        <v>483</v>
      </c>
      <c r="R14" s="12">
        <v>140</v>
      </c>
      <c r="S14" s="12">
        <v>391</v>
      </c>
      <c r="T14" s="12">
        <v>413</v>
      </c>
      <c r="U14" s="12">
        <v>221</v>
      </c>
      <c r="V14" s="12">
        <v>412</v>
      </c>
      <c r="W14" s="12">
        <v>215</v>
      </c>
      <c r="X14" s="12">
        <v>432</v>
      </c>
      <c r="Y14" s="12">
        <v>421</v>
      </c>
      <c r="Z14" s="12">
        <v>493</v>
      </c>
      <c r="AA14" s="12">
        <v>470</v>
      </c>
      <c r="AB14" s="12">
        <v>398</v>
      </c>
      <c r="AC14" s="12">
        <v>328</v>
      </c>
      <c r="AD14" s="12">
        <v>357</v>
      </c>
      <c r="AE14" s="12">
        <v>577</v>
      </c>
      <c r="AF14" s="12">
        <v>537</v>
      </c>
    </row>
    <row r="15" spans="1:32" x14ac:dyDescent="0.35">
      <c r="A15" s="31"/>
      <c r="B15" s="13" t="s">
        <v>505</v>
      </c>
      <c r="C15" s="14">
        <v>0.41</v>
      </c>
      <c r="D15" s="14">
        <v>0.43</v>
      </c>
      <c r="E15" s="14">
        <v>0.28999999999999998</v>
      </c>
      <c r="F15" s="14">
        <v>0.33</v>
      </c>
      <c r="G15" s="14">
        <v>0.51</v>
      </c>
      <c r="H15" s="14">
        <v>0.35</v>
      </c>
      <c r="I15" s="14">
        <v>0.34</v>
      </c>
      <c r="J15" s="14">
        <v>0.28999999999999998</v>
      </c>
      <c r="K15" s="14">
        <v>0.45</v>
      </c>
      <c r="L15" s="14">
        <v>0.37</v>
      </c>
      <c r="M15" s="14">
        <v>0.4</v>
      </c>
      <c r="N15" s="14">
        <v>0.42</v>
      </c>
      <c r="O15" s="14">
        <v>0.38</v>
      </c>
      <c r="P15" s="14">
        <v>0.44</v>
      </c>
      <c r="Q15" s="14">
        <v>0.47</v>
      </c>
      <c r="R15" s="14">
        <v>0.28000000000000003</v>
      </c>
      <c r="S15" s="14">
        <v>0.38</v>
      </c>
      <c r="T15" s="14">
        <v>0.41</v>
      </c>
      <c r="U15" s="14">
        <v>0.44</v>
      </c>
      <c r="V15" s="14">
        <v>0.41</v>
      </c>
      <c r="W15" s="14">
        <v>0.43</v>
      </c>
      <c r="X15" s="14">
        <v>0.43</v>
      </c>
      <c r="Y15" s="14">
        <v>0.42</v>
      </c>
      <c r="Z15" s="14">
        <v>0.48</v>
      </c>
      <c r="AA15" s="14">
        <v>0.46</v>
      </c>
      <c r="AB15" s="14">
        <v>0.38</v>
      </c>
      <c r="AC15" s="14">
        <v>0.33</v>
      </c>
      <c r="AD15" s="14">
        <v>0.36</v>
      </c>
      <c r="AE15" s="14">
        <v>0.57000000000000006</v>
      </c>
      <c r="AF15" s="14">
        <v>0.53</v>
      </c>
    </row>
    <row r="16" spans="1:32" x14ac:dyDescent="0.35">
      <c r="A16" s="31"/>
      <c r="B16" s="11" t="s">
        <v>506</v>
      </c>
      <c r="C16" s="12">
        <v>7842</v>
      </c>
      <c r="D16" s="12">
        <v>338</v>
      </c>
      <c r="E16" s="12">
        <v>352</v>
      </c>
      <c r="F16" s="12">
        <v>344</v>
      </c>
      <c r="G16" s="12">
        <v>239</v>
      </c>
      <c r="H16" s="12">
        <v>449</v>
      </c>
      <c r="I16" s="12">
        <v>585</v>
      </c>
      <c r="J16" s="12">
        <v>136</v>
      </c>
      <c r="K16" s="12">
        <v>256</v>
      </c>
      <c r="L16" s="12">
        <v>304</v>
      </c>
      <c r="M16" s="12">
        <v>279</v>
      </c>
      <c r="N16" s="12">
        <v>193</v>
      </c>
      <c r="O16" s="12">
        <v>301</v>
      </c>
      <c r="P16" s="12">
        <v>274</v>
      </c>
      <c r="Q16" s="12">
        <v>274</v>
      </c>
      <c r="R16" s="12">
        <v>162</v>
      </c>
      <c r="S16" s="12">
        <v>347</v>
      </c>
      <c r="T16" s="12">
        <v>313</v>
      </c>
      <c r="U16" s="12">
        <v>145</v>
      </c>
      <c r="V16" s="12">
        <v>277</v>
      </c>
      <c r="W16" s="12">
        <v>162</v>
      </c>
      <c r="X16" s="12">
        <v>404</v>
      </c>
      <c r="Y16" s="12">
        <v>186</v>
      </c>
      <c r="Z16" s="12">
        <v>283</v>
      </c>
      <c r="AA16" s="12">
        <v>265</v>
      </c>
      <c r="AB16" s="12">
        <v>342</v>
      </c>
      <c r="AC16" s="12">
        <v>376</v>
      </c>
      <c r="AD16" s="12">
        <v>303</v>
      </c>
      <c r="AE16" s="12">
        <v>170</v>
      </c>
      <c r="AF16" s="12">
        <v>266</v>
      </c>
    </row>
    <row r="17" spans="1:32" x14ac:dyDescent="0.35">
      <c r="A17" s="31"/>
      <c r="B17" s="13" t="s">
        <v>507</v>
      </c>
      <c r="C17" s="14">
        <v>0.3</v>
      </c>
      <c r="D17" s="14">
        <v>0.33</v>
      </c>
      <c r="E17" s="14">
        <v>0.34</v>
      </c>
      <c r="F17" s="14">
        <v>0.34</v>
      </c>
      <c r="G17" s="14">
        <v>0.23</v>
      </c>
      <c r="H17" s="14">
        <v>0.36</v>
      </c>
      <c r="I17" s="14">
        <v>0.38</v>
      </c>
      <c r="J17" s="14">
        <v>0.46</v>
      </c>
      <c r="K17" s="14">
        <v>0.25</v>
      </c>
      <c r="L17" s="14">
        <v>0.3</v>
      </c>
      <c r="M17" s="14">
        <v>0.28000000000000003</v>
      </c>
      <c r="N17" s="14">
        <v>0.19</v>
      </c>
      <c r="O17" s="14">
        <v>0.3</v>
      </c>
      <c r="P17" s="14">
        <v>0.27</v>
      </c>
      <c r="Q17" s="14">
        <v>0.26</v>
      </c>
      <c r="R17" s="14">
        <v>0.32</v>
      </c>
      <c r="S17" s="14">
        <v>0.34</v>
      </c>
      <c r="T17" s="14">
        <v>0.31</v>
      </c>
      <c r="U17" s="14">
        <v>0.28000000000000003</v>
      </c>
      <c r="V17" s="14">
        <v>0.27</v>
      </c>
      <c r="W17" s="14">
        <v>0.32</v>
      </c>
      <c r="X17" s="14">
        <v>0.4</v>
      </c>
      <c r="Y17" s="14">
        <v>0.19</v>
      </c>
      <c r="Z17" s="14">
        <v>0.28000000000000003</v>
      </c>
      <c r="AA17" s="14">
        <v>0.26</v>
      </c>
      <c r="AB17" s="14">
        <v>0.32</v>
      </c>
      <c r="AC17" s="14">
        <v>0.37</v>
      </c>
      <c r="AD17" s="14">
        <v>0.3</v>
      </c>
      <c r="AE17" s="14">
        <v>0.17</v>
      </c>
      <c r="AF17" s="14">
        <v>0.26</v>
      </c>
    </row>
    <row r="18" spans="1:32" x14ac:dyDescent="0.35">
      <c r="A18" s="31"/>
      <c r="B18" s="11" t="s">
        <v>508</v>
      </c>
      <c r="C18" s="12">
        <v>2731</v>
      </c>
      <c r="D18" s="12">
        <v>78</v>
      </c>
      <c r="E18" s="12">
        <v>190</v>
      </c>
      <c r="F18" s="12">
        <v>145</v>
      </c>
      <c r="G18" s="12">
        <v>52</v>
      </c>
      <c r="H18" s="12">
        <v>145</v>
      </c>
      <c r="I18" s="12">
        <v>188</v>
      </c>
      <c r="J18" s="12">
        <v>43</v>
      </c>
      <c r="K18" s="12">
        <v>86</v>
      </c>
      <c r="L18" s="12">
        <v>95</v>
      </c>
      <c r="M18" s="12">
        <v>157</v>
      </c>
      <c r="N18" s="12">
        <v>106</v>
      </c>
      <c r="O18" s="12">
        <v>117</v>
      </c>
      <c r="P18" s="12">
        <v>93</v>
      </c>
      <c r="Q18" s="12">
        <v>87</v>
      </c>
      <c r="R18" s="12">
        <v>122</v>
      </c>
      <c r="S18" s="12">
        <v>94</v>
      </c>
      <c r="T18" s="12">
        <v>127</v>
      </c>
      <c r="U18" s="12">
        <v>32</v>
      </c>
      <c r="V18" s="12">
        <v>153</v>
      </c>
      <c r="W18" s="12">
        <v>35</v>
      </c>
      <c r="X18" s="12">
        <v>63</v>
      </c>
      <c r="Y18" s="12">
        <v>95</v>
      </c>
      <c r="Z18" s="12">
        <v>59</v>
      </c>
      <c r="AA18" s="12">
        <v>43</v>
      </c>
      <c r="AB18" s="12">
        <v>126</v>
      </c>
      <c r="AC18" s="12">
        <v>176</v>
      </c>
      <c r="AD18" s="12">
        <v>214</v>
      </c>
      <c r="AE18" s="12">
        <v>27</v>
      </c>
      <c r="AF18" s="12">
        <v>71</v>
      </c>
    </row>
    <row r="19" spans="1:32" x14ac:dyDescent="0.35">
      <c r="A19" s="31"/>
      <c r="B19" s="13" t="s">
        <v>509</v>
      </c>
      <c r="C19" s="14">
        <v>0.1</v>
      </c>
      <c r="D19" s="14">
        <v>0.08</v>
      </c>
      <c r="E19" s="14">
        <v>0.18</v>
      </c>
      <c r="F19" s="14">
        <v>0.14000000000000001</v>
      </c>
      <c r="G19" s="14">
        <v>0.05</v>
      </c>
      <c r="H19" s="14">
        <v>0.12</v>
      </c>
      <c r="I19" s="14">
        <v>0.13</v>
      </c>
      <c r="J19" s="14">
        <v>0.15</v>
      </c>
      <c r="K19" s="14">
        <v>0.09</v>
      </c>
      <c r="L19" s="14">
        <v>0.09</v>
      </c>
      <c r="M19" s="14">
        <v>0.16</v>
      </c>
      <c r="N19" s="14">
        <v>0.11</v>
      </c>
      <c r="O19" s="14">
        <v>0.12</v>
      </c>
      <c r="P19" s="14">
        <v>0.09</v>
      </c>
      <c r="Q19" s="14">
        <v>0.08</v>
      </c>
      <c r="R19" s="14">
        <v>0.24</v>
      </c>
      <c r="S19" s="14">
        <v>0.09</v>
      </c>
      <c r="T19" s="14">
        <v>0.12</v>
      </c>
      <c r="U19" s="14">
        <v>0.06</v>
      </c>
      <c r="V19" s="14">
        <v>0.15</v>
      </c>
      <c r="W19" s="14">
        <v>7.0000000000000007E-2</v>
      </c>
      <c r="X19" s="14">
        <v>0.06</v>
      </c>
      <c r="Y19" s="14">
        <v>0.09</v>
      </c>
      <c r="Z19" s="14">
        <v>0.06</v>
      </c>
      <c r="AA19" s="14">
        <v>0.04</v>
      </c>
      <c r="AB19" s="14">
        <v>0.12</v>
      </c>
      <c r="AC19" s="14">
        <v>0.17</v>
      </c>
      <c r="AD19" s="14">
        <v>0.21</v>
      </c>
      <c r="AE19" s="14">
        <v>0.03</v>
      </c>
      <c r="AF19" s="14">
        <v>7.0000000000000007E-2</v>
      </c>
    </row>
    <row r="20" spans="1:32" x14ac:dyDescent="0.35">
      <c r="A20" s="31"/>
      <c r="B20" s="11" t="s">
        <v>344</v>
      </c>
      <c r="C20" s="12">
        <v>2160</v>
      </c>
      <c r="D20" s="12">
        <v>40</v>
      </c>
      <c r="E20" s="12">
        <v>105</v>
      </c>
      <c r="F20" s="12">
        <v>109</v>
      </c>
      <c r="G20" s="12">
        <v>80</v>
      </c>
      <c r="H20" s="12">
        <v>144</v>
      </c>
      <c r="I20" s="12">
        <v>155</v>
      </c>
      <c r="J20" s="12">
        <v>11</v>
      </c>
      <c r="K20" s="12">
        <v>116</v>
      </c>
      <c r="L20" s="12">
        <v>113</v>
      </c>
      <c r="M20" s="12">
        <v>42</v>
      </c>
      <c r="N20" s="12">
        <v>105</v>
      </c>
      <c r="O20" s="12">
        <v>119</v>
      </c>
      <c r="P20" s="12">
        <v>68</v>
      </c>
      <c r="Q20" s="12">
        <v>38</v>
      </c>
      <c r="R20" s="12">
        <v>33</v>
      </c>
      <c r="S20" s="12">
        <v>122</v>
      </c>
      <c r="T20" s="12">
        <v>103</v>
      </c>
      <c r="U20" s="12">
        <v>63</v>
      </c>
      <c r="V20" s="12">
        <v>28</v>
      </c>
      <c r="W20" s="12">
        <v>35</v>
      </c>
      <c r="X20" s="12">
        <v>43</v>
      </c>
      <c r="Y20" s="12">
        <v>113</v>
      </c>
      <c r="Z20" s="12">
        <v>59</v>
      </c>
      <c r="AA20" s="12">
        <v>153</v>
      </c>
      <c r="AB20" s="12">
        <v>69</v>
      </c>
      <c r="AC20" s="12">
        <v>83</v>
      </c>
      <c r="AD20" s="12">
        <v>26</v>
      </c>
      <c r="AE20" s="12">
        <v>59</v>
      </c>
      <c r="AF20" s="12">
        <v>37</v>
      </c>
    </row>
    <row r="21" spans="1:32" x14ac:dyDescent="0.35">
      <c r="A21" s="31"/>
      <c r="B21" s="13" t="s">
        <v>357</v>
      </c>
      <c r="C21" s="14">
        <v>0.08</v>
      </c>
      <c r="D21" s="14">
        <v>0.04</v>
      </c>
      <c r="E21" s="14">
        <v>0.1</v>
      </c>
      <c r="F21" s="14">
        <v>0.11</v>
      </c>
      <c r="G21" s="14">
        <v>0.08</v>
      </c>
      <c r="H21" s="14">
        <v>0.12</v>
      </c>
      <c r="I21" s="14">
        <v>0.1</v>
      </c>
      <c r="J21" s="14">
        <v>0.03</v>
      </c>
      <c r="K21" s="14">
        <v>0.11</v>
      </c>
      <c r="L21" s="14">
        <v>0.11</v>
      </c>
      <c r="M21" s="14">
        <v>0.04</v>
      </c>
      <c r="N21" s="14">
        <v>0.1</v>
      </c>
      <c r="O21" s="14">
        <v>0.12</v>
      </c>
      <c r="P21" s="14">
        <v>7.0000000000000007E-2</v>
      </c>
      <c r="Q21" s="14">
        <v>0.04</v>
      </c>
      <c r="R21" s="14">
        <v>7.0000000000000007E-2</v>
      </c>
      <c r="S21" s="14">
        <v>0.12</v>
      </c>
      <c r="T21" s="14">
        <v>0.1</v>
      </c>
      <c r="U21" s="14">
        <v>0.12</v>
      </c>
      <c r="V21" s="14">
        <v>0.03</v>
      </c>
      <c r="W21" s="14">
        <v>7.0000000000000007E-2</v>
      </c>
      <c r="X21" s="14">
        <v>0.04</v>
      </c>
      <c r="Y21" s="14">
        <v>0.11</v>
      </c>
      <c r="Z21" s="14">
        <v>0.06</v>
      </c>
      <c r="AA21" s="14">
        <v>0.15</v>
      </c>
      <c r="AB21" s="14">
        <v>7.0000000000000007E-2</v>
      </c>
      <c r="AC21" s="14">
        <v>0.08</v>
      </c>
      <c r="AD21" s="14">
        <v>0.03</v>
      </c>
      <c r="AE21" s="14">
        <v>0.06</v>
      </c>
      <c r="AF21" s="14">
        <v>0.04</v>
      </c>
    </row>
    <row r="22" spans="1:32" x14ac:dyDescent="0.35">
      <c r="A22" s="31"/>
      <c r="B22" s="11" t="s">
        <v>510</v>
      </c>
      <c r="C22" s="12">
        <v>13676</v>
      </c>
      <c r="D22" s="12">
        <v>570</v>
      </c>
      <c r="E22" s="12">
        <v>392</v>
      </c>
      <c r="F22" s="12">
        <v>420</v>
      </c>
      <c r="G22" s="12">
        <v>646</v>
      </c>
      <c r="H22" s="12">
        <v>494</v>
      </c>
      <c r="I22" s="12">
        <v>602</v>
      </c>
      <c r="J22" s="12">
        <v>108</v>
      </c>
      <c r="K22" s="12">
        <v>551</v>
      </c>
      <c r="L22" s="12">
        <v>493</v>
      </c>
      <c r="M22" s="12">
        <v>526</v>
      </c>
      <c r="N22" s="12">
        <v>595</v>
      </c>
      <c r="O22" s="12">
        <v>463</v>
      </c>
      <c r="P22" s="12">
        <v>569</v>
      </c>
      <c r="Q22" s="12">
        <v>636</v>
      </c>
      <c r="R22" s="12">
        <v>183</v>
      </c>
      <c r="S22" s="12">
        <v>458</v>
      </c>
      <c r="T22" s="12">
        <v>474</v>
      </c>
      <c r="U22" s="12">
        <v>270</v>
      </c>
      <c r="V22" s="12">
        <v>556</v>
      </c>
      <c r="W22" s="12">
        <v>268</v>
      </c>
      <c r="X22" s="12">
        <v>501</v>
      </c>
      <c r="Y22" s="12">
        <v>608</v>
      </c>
      <c r="Z22" s="12">
        <v>617</v>
      </c>
      <c r="AA22" s="12">
        <v>569</v>
      </c>
      <c r="AB22" s="12">
        <v>519</v>
      </c>
      <c r="AC22" s="12">
        <v>378</v>
      </c>
      <c r="AD22" s="12">
        <v>461</v>
      </c>
      <c r="AE22" s="12">
        <v>751</v>
      </c>
      <c r="AF22" s="12">
        <v>645</v>
      </c>
    </row>
    <row r="23" spans="1:32" x14ac:dyDescent="0.35">
      <c r="A23" s="31"/>
      <c r="B23" s="13" t="s">
        <v>511</v>
      </c>
      <c r="C23" s="14">
        <v>0.52</v>
      </c>
      <c r="D23" s="14">
        <v>0.55000000000000004</v>
      </c>
      <c r="E23" s="14">
        <v>0.38</v>
      </c>
      <c r="F23" s="14">
        <v>0.41</v>
      </c>
      <c r="G23" s="14">
        <v>0.64</v>
      </c>
      <c r="H23" s="14">
        <v>0.4</v>
      </c>
      <c r="I23" s="14">
        <v>0.39</v>
      </c>
      <c r="J23" s="14">
        <v>0.36</v>
      </c>
      <c r="K23" s="14">
        <v>0.55000000000000004</v>
      </c>
      <c r="L23" s="14">
        <v>0.5</v>
      </c>
      <c r="M23" s="14">
        <v>0.52</v>
      </c>
      <c r="N23" s="14">
        <v>0.6</v>
      </c>
      <c r="O23" s="14">
        <v>0.46</v>
      </c>
      <c r="P23" s="14">
        <v>0.57000000000000006</v>
      </c>
      <c r="Q23" s="14">
        <v>0.62</v>
      </c>
      <c r="R23" s="14">
        <v>0.37</v>
      </c>
      <c r="S23" s="14">
        <v>0.45</v>
      </c>
      <c r="T23" s="14">
        <v>0.47</v>
      </c>
      <c r="U23" s="14">
        <v>0.54</v>
      </c>
      <c r="V23" s="14">
        <v>0.55000000000000004</v>
      </c>
      <c r="W23" s="14">
        <v>0.54</v>
      </c>
      <c r="X23" s="14">
        <v>0.5</v>
      </c>
      <c r="Y23" s="14">
        <v>0.61</v>
      </c>
      <c r="Z23" s="14">
        <v>0.6</v>
      </c>
      <c r="AA23" s="14">
        <v>0.55000000000000004</v>
      </c>
      <c r="AB23" s="14">
        <v>0.49</v>
      </c>
      <c r="AC23" s="14">
        <v>0.38</v>
      </c>
      <c r="AD23" s="14">
        <v>0.46</v>
      </c>
      <c r="AE23" s="14">
        <v>0.74</v>
      </c>
      <c r="AF23" s="14">
        <v>0.63</v>
      </c>
    </row>
    <row r="24" spans="1:32" x14ac:dyDescent="0.35">
      <c r="A24" s="31"/>
      <c r="B24" s="11" t="s">
        <v>512</v>
      </c>
      <c r="C24" s="12">
        <v>10573</v>
      </c>
      <c r="D24" s="12">
        <v>416</v>
      </c>
      <c r="E24" s="12">
        <v>542</v>
      </c>
      <c r="F24" s="12">
        <v>489</v>
      </c>
      <c r="G24" s="12">
        <v>291</v>
      </c>
      <c r="H24" s="12">
        <v>594</v>
      </c>
      <c r="I24" s="12">
        <v>773</v>
      </c>
      <c r="J24" s="12">
        <v>179</v>
      </c>
      <c r="K24" s="12">
        <v>342</v>
      </c>
      <c r="L24" s="12">
        <v>399</v>
      </c>
      <c r="M24" s="12">
        <v>436</v>
      </c>
      <c r="N24" s="12">
        <v>299</v>
      </c>
      <c r="O24" s="12">
        <v>418</v>
      </c>
      <c r="P24" s="12">
        <v>367</v>
      </c>
      <c r="Q24" s="12">
        <v>361</v>
      </c>
      <c r="R24" s="12">
        <v>284</v>
      </c>
      <c r="S24" s="12">
        <v>441</v>
      </c>
      <c r="T24" s="12">
        <v>440</v>
      </c>
      <c r="U24" s="12">
        <v>177</v>
      </c>
      <c r="V24" s="12">
        <v>430</v>
      </c>
      <c r="W24" s="12">
        <v>197</v>
      </c>
      <c r="X24" s="12">
        <v>467</v>
      </c>
      <c r="Y24" s="12">
        <v>281</v>
      </c>
      <c r="Z24" s="12">
        <v>342</v>
      </c>
      <c r="AA24" s="12">
        <v>308</v>
      </c>
      <c r="AB24" s="12">
        <v>468</v>
      </c>
      <c r="AC24" s="12">
        <v>552</v>
      </c>
      <c r="AD24" s="12">
        <v>517</v>
      </c>
      <c r="AE24" s="12">
        <v>197</v>
      </c>
      <c r="AF24" s="12">
        <v>337</v>
      </c>
    </row>
    <row r="25" spans="1:32" x14ac:dyDescent="0.35">
      <c r="A25" s="31"/>
      <c r="B25" s="13" t="s">
        <v>513</v>
      </c>
      <c r="C25" s="14">
        <v>0.4</v>
      </c>
      <c r="D25" s="14">
        <v>0.41</v>
      </c>
      <c r="E25" s="14">
        <v>0.52</v>
      </c>
      <c r="F25" s="14">
        <v>0.48</v>
      </c>
      <c r="G25" s="14">
        <v>0.28000000000000003</v>
      </c>
      <c r="H25" s="14">
        <v>0.48</v>
      </c>
      <c r="I25" s="14">
        <v>0.51</v>
      </c>
      <c r="J25" s="14">
        <v>0.61</v>
      </c>
      <c r="K25" s="14">
        <v>0.34</v>
      </c>
      <c r="L25" s="14">
        <v>0.39</v>
      </c>
      <c r="M25" s="14">
        <v>0.44</v>
      </c>
      <c r="N25" s="14">
        <v>0.3</v>
      </c>
      <c r="O25" s="14">
        <v>0.42</v>
      </c>
      <c r="P25" s="14">
        <v>0.36</v>
      </c>
      <c r="Q25" s="14">
        <v>0.34</v>
      </c>
      <c r="R25" s="14">
        <v>0.56000000000000005</v>
      </c>
      <c r="S25" s="14">
        <v>0.43</v>
      </c>
      <c r="T25" s="14">
        <v>0.43</v>
      </c>
      <c r="U25" s="14">
        <v>0.34</v>
      </c>
      <c r="V25" s="14">
        <v>0.42</v>
      </c>
      <c r="W25" s="14">
        <v>0.39</v>
      </c>
      <c r="X25" s="14">
        <v>0.46</v>
      </c>
      <c r="Y25" s="14">
        <v>0.28000000000000003</v>
      </c>
      <c r="Z25" s="14">
        <v>0.34</v>
      </c>
      <c r="AA25" s="14">
        <v>0.3</v>
      </c>
      <c r="AB25" s="14">
        <v>0.44</v>
      </c>
      <c r="AC25" s="14">
        <v>0.54</v>
      </c>
      <c r="AD25" s="14">
        <v>0.51</v>
      </c>
      <c r="AE25" s="14">
        <v>0.2</v>
      </c>
      <c r="AF25" s="14">
        <v>0.33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1071</v>
      </c>
      <c r="C3" s="30"/>
      <c r="D3" s="30"/>
      <c r="E3" s="30"/>
      <c r="F3" s="30"/>
      <c r="H3" s="30" t="s">
        <v>1072</v>
      </c>
      <c r="I3" s="30"/>
      <c r="J3" s="30"/>
      <c r="K3" s="30"/>
      <c r="L3" s="30"/>
    </row>
    <row r="4" spans="1:32" ht="27" customHeight="1" x14ac:dyDescent="0.35">
      <c r="B4" s="30" t="s">
        <v>1073</v>
      </c>
      <c r="C4" s="30"/>
      <c r="D4" s="30"/>
      <c r="E4" s="30"/>
      <c r="F4" s="30"/>
      <c r="H4" s="30" t="s">
        <v>1074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3067</v>
      </c>
      <c r="D12" s="12">
        <v>105</v>
      </c>
      <c r="E12" s="12">
        <v>138</v>
      </c>
      <c r="F12" s="12">
        <v>98</v>
      </c>
      <c r="G12" s="12">
        <v>115</v>
      </c>
      <c r="H12" s="12">
        <v>69</v>
      </c>
      <c r="I12" s="12">
        <v>85</v>
      </c>
      <c r="J12" s="12">
        <v>16</v>
      </c>
      <c r="K12" s="12">
        <v>79</v>
      </c>
      <c r="L12" s="12">
        <v>141</v>
      </c>
      <c r="M12" s="12">
        <v>177</v>
      </c>
      <c r="N12" s="12">
        <v>200</v>
      </c>
      <c r="O12" s="12">
        <v>84</v>
      </c>
      <c r="P12" s="12">
        <v>146</v>
      </c>
      <c r="Q12" s="12">
        <v>163</v>
      </c>
      <c r="R12" s="12">
        <v>78</v>
      </c>
      <c r="S12" s="12">
        <v>123</v>
      </c>
      <c r="T12" s="12">
        <v>82</v>
      </c>
      <c r="U12" s="12">
        <v>41</v>
      </c>
      <c r="V12" s="12">
        <v>170</v>
      </c>
      <c r="W12" s="12">
        <v>58</v>
      </c>
      <c r="X12" s="12">
        <v>52</v>
      </c>
      <c r="Y12" s="12">
        <v>202</v>
      </c>
      <c r="Z12" s="12">
        <v>132</v>
      </c>
      <c r="AA12" s="12">
        <v>138</v>
      </c>
      <c r="AB12" s="12">
        <v>139</v>
      </c>
      <c r="AC12" s="12">
        <v>58</v>
      </c>
      <c r="AD12" s="12">
        <v>132</v>
      </c>
      <c r="AE12" s="12">
        <v>65</v>
      </c>
      <c r="AF12" s="12">
        <v>60</v>
      </c>
    </row>
    <row r="13" spans="1:32" x14ac:dyDescent="0.35">
      <c r="A13" s="31"/>
      <c r="B13" s="13" t="s">
        <v>503</v>
      </c>
      <c r="C13" s="14">
        <v>0.12</v>
      </c>
      <c r="D13" s="14">
        <v>0.1</v>
      </c>
      <c r="E13" s="14">
        <v>0.13</v>
      </c>
      <c r="F13" s="14">
        <v>0.1</v>
      </c>
      <c r="G13" s="14">
        <v>0.11</v>
      </c>
      <c r="H13" s="14">
        <v>0.06</v>
      </c>
      <c r="I13" s="14">
        <v>0.06</v>
      </c>
      <c r="J13" s="14">
        <v>0.05</v>
      </c>
      <c r="K13" s="14">
        <v>0.08</v>
      </c>
      <c r="L13" s="14">
        <v>0.14000000000000001</v>
      </c>
      <c r="M13" s="14">
        <v>0.18</v>
      </c>
      <c r="N13" s="14">
        <v>0.2</v>
      </c>
      <c r="O13" s="14">
        <v>0.08</v>
      </c>
      <c r="P13" s="14">
        <v>0.15</v>
      </c>
      <c r="Q13" s="14">
        <v>0.16</v>
      </c>
      <c r="R13" s="14">
        <v>0.16</v>
      </c>
      <c r="S13" s="14">
        <v>0.12</v>
      </c>
      <c r="T13" s="14">
        <v>0.08</v>
      </c>
      <c r="U13" s="14">
        <v>0.08</v>
      </c>
      <c r="V13" s="14">
        <v>0.17</v>
      </c>
      <c r="W13" s="14">
        <v>0.12</v>
      </c>
      <c r="X13" s="14">
        <v>0.05</v>
      </c>
      <c r="Y13" s="14">
        <v>0.2</v>
      </c>
      <c r="Z13" s="14">
        <v>0.13</v>
      </c>
      <c r="AA13" s="14">
        <v>0.13</v>
      </c>
      <c r="AB13" s="14">
        <v>0.13</v>
      </c>
      <c r="AC13" s="14">
        <v>0.06</v>
      </c>
      <c r="AD13" s="14">
        <v>0.13</v>
      </c>
      <c r="AE13" s="14">
        <v>0.06</v>
      </c>
      <c r="AF13" s="14">
        <v>0.06</v>
      </c>
    </row>
    <row r="14" spans="1:32" x14ac:dyDescent="0.35">
      <c r="A14" s="31"/>
      <c r="B14" s="11" t="s">
        <v>504</v>
      </c>
      <c r="C14" s="12">
        <v>11299</v>
      </c>
      <c r="D14" s="12">
        <v>460</v>
      </c>
      <c r="E14" s="12">
        <v>426</v>
      </c>
      <c r="F14" s="12">
        <v>396</v>
      </c>
      <c r="G14" s="12">
        <v>422</v>
      </c>
      <c r="H14" s="12">
        <v>436</v>
      </c>
      <c r="I14" s="12">
        <v>537</v>
      </c>
      <c r="J14" s="12">
        <v>101</v>
      </c>
      <c r="K14" s="12">
        <v>484</v>
      </c>
      <c r="L14" s="12">
        <v>444</v>
      </c>
      <c r="M14" s="12">
        <v>479</v>
      </c>
      <c r="N14" s="12">
        <v>432</v>
      </c>
      <c r="O14" s="12">
        <v>376</v>
      </c>
      <c r="P14" s="12">
        <v>505</v>
      </c>
      <c r="Q14" s="12">
        <v>515</v>
      </c>
      <c r="R14" s="12">
        <v>202</v>
      </c>
      <c r="S14" s="12">
        <v>456</v>
      </c>
      <c r="T14" s="12">
        <v>405</v>
      </c>
      <c r="U14" s="12">
        <v>204</v>
      </c>
      <c r="V14" s="12">
        <v>446</v>
      </c>
      <c r="W14" s="12">
        <v>265</v>
      </c>
      <c r="X14" s="12">
        <v>405</v>
      </c>
      <c r="Y14" s="12">
        <v>411</v>
      </c>
      <c r="Z14" s="12">
        <v>516</v>
      </c>
      <c r="AA14" s="12">
        <v>517</v>
      </c>
      <c r="AB14" s="12">
        <v>488</v>
      </c>
      <c r="AC14" s="12">
        <v>356</v>
      </c>
      <c r="AD14" s="12">
        <v>440</v>
      </c>
      <c r="AE14" s="12">
        <v>563</v>
      </c>
      <c r="AF14" s="12">
        <v>484</v>
      </c>
    </row>
    <row r="15" spans="1:32" x14ac:dyDescent="0.35">
      <c r="A15" s="31"/>
      <c r="B15" s="13" t="s">
        <v>505</v>
      </c>
      <c r="C15" s="14">
        <v>0.43</v>
      </c>
      <c r="D15" s="14">
        <v>0.45</v>
      </c>
      <c r="E15" s="14">
        <v>0.41</v>
      </c>
      <c r="F15" s="14">
        <v>0.39</v>
      </c>
      <c r="G15" s="14">
        <v>0.41</v>
      </c>
      <c r="H15" s="14">
        <v>0.35</v>
      </c>
      <c r="I15" s="14">
        <v>0.35</v>
      </c>
      <c r="J15" s="14">
        <v>0.34</v>
      </c>
      <c r="K15" s="14">
        <v>0.48</v>
      </c>
      <c r="L15" s="14">
        <v>0.44</v>
      </c>
      <c r="M15" s="14">
        <v>0.48</v>
      </c>
      <c r="N15" s="14">
        <v>0.43</v>
      </c>
      <c r="O15" s="14">
        <v>0.38</v>
      </c>
      <c r="P15" s="14">
        <v>0.5</v>
      </c>
      <c r="Q15" s="14">
        <v>0.5</v>
      </c>
      <c r="R15" s="14">
        <v>0.4</v>
      </c>
      <c r="S15" s="14">
        <v>0.45</v>
      </c>
      <c r="T15" s="14">
        <v>0.4</v>
      </c>
      <c r="U15" s="14">
        <v>0.4</v>
      </c>
      <c r="V15" s="14">
        <v>0.44</v>
      </c>
      <c r="W15" s="14">
        <v>0.53</v>
      </c>
      <c r="X15" s="14">
        <v>0.4</v>
      </c>
      <c r="Y15" s="14">
        <v>0.41</v>
      </c>
      <c r="Z15" s="14">
        <v>0.51</v>
      </c>
      <c r="AA15" s="14">
        <v>0.5</v>
      </c>
      <c r="AB15" s="14">
        <v>0.46</v>
      </c>
      <c r="AC15" s="14">
        <v>0.35</v>
      </c>
      <c r="AD15" s="14">
        <v>0.44</v>
      </c>
      <c r="AE15" s="14">
        <v>0.56000000000000005</v>
      </c>
      <c r="AF15" s="14">
        <v>0.47</v>
      </c>
    </row>
    <row r="16" spans="1:32" x14ac:dyDescent="0.35">
      <c r="A16" s="31"/>
      <c r="B16" s="11" t="s">
        <v>506</v>
      </c>
      <c r="C16" s="12">
        <v>7254</v>
      </c>
      <c r="D16" s="12">
        <v>349</v>
      </c>
      <c r="E16" s="12">
        <v>255</v>
      </c>
      <c r="F16" s="12">
        <v>297</v>
      </c>
      <c r="G16" s="12">
        <v>274</v>
      </c>
      <c r="H16" s="12">
        <v>464</v>
      </c>
      <c r="I16" s="12">
        <v>585</v>
      </c>
      <c r="J16" s="12">
        <v>120</v>
      </c>
      <c r="K16" s="12">
        <v>225</v>
      </c>
      <c r="L16" s="12">
        <v>225</v>
      </c>
      <c r="M16" s="12">
        <v>201</v>
      </c>
      <c r="N16" s="12">
        <v>150</v>
      </c>
      <c r="O16" s="12">
        <v>297</v>
      </c>
      <c r="P16" s="12">
        <v>223</v>
      </c>
      <c r="Q16" s="12">
        <v>229</v>
      </c>
      <c r="R16" s="12">
        <v>95</v>
      </c>
      <c r="S16" s="12">
        <v>221</v>
      </c>
      <c r="T16" s="12">
        <v>331</v>
      </c>
      <c r="U16" s="12">
        <v>146</v>
      </c>
      <c r="V16" s="12">
        <v>257</v>
      </c>
      <c r="W16" s="12">
        <v>95</v>
      </c>
      <c r="X16" s="12">
        <v>416</v>
      </c>
      <c r="Y16" s="12">
        <v>179</v>
      </c>
      <c r="Z16" s="12">
        <v>260</v>
      </c>
      <c r="AA16" s="12">
        <v>183</v>
      </c>
      <c r="AB16" s="12">
        <v>267</v>
      </c>
      <c r="AC16" s="12">
        <v>350</v>
      </c>
      <c r="AD16" s="12">
        <v>251</v>
      </c>
      <c r="AE16" s="12">
        <v>250</v>
      </c>
      <c r="AF16" s="12">
        <v>334</v>
      </c>
    </row>
    <row r="17" spans="1:32" x14ac:dyDescent="0.35">
      <c r="A17" s="31"/>
      <c r="B17" s="13" t="s">
        <v>507</v>
      </c>
      <c r="C17" s="14">
        <v>0.27</v>
      </c>
      <c r="D17" s="14">
        <v>0.34</v>
      </c>
      <c r="E17" s="14">
        <v>0.25</v>
      </c>
      <c r="F17" s="14">
        <v>0.28999999999999998</v>
      </c>
      <c r="G17" s="14">
        <v>0.27</v>
      </c>
      <c r="H17" s="14">
        <v>0.38</v>
      </c>
      <c r="I17" s="14">
        <v>0.38</v>
      </c>
      <c r="J17" s="14">
        <v>0.41</v>
      </c>
      <c r="K17" s="14">
        <v>0.22</v>
      </c>
      <c r="L17" s="14">
        <v>0.23</v>
      </c>
      <c r="M17" s="14">
        <v>0.2</v>
      </c>
      <c r="N17" s="14">
        <v>0.15</v>
      </c>
      <c r="O17" s="14">
        <v>0.3</v>
      </c>
      <c r="P17" s="14">
        <v>0.22</v>
      </c>
      <c r="Q17" s="14">
        <v>0.22</v>
      </c>
      <c r="R17" s="14">
        <v>0.19</v>
      </c>
      <c r="S17" s="14">
        <v>0.22</v>
      </c>
      <c r="T17" s="14">
        <v>0.33</v>
      </c>
      <c r="U17" s="14">
        <v>0.28999999999999998</v>
      </c>
      <c r="V17" s="14">
        <v>0.25</v>
      </c>
      <c r="W17" s="14">
        <v>0.19</v>
      </c>
      <c r="X17" s="14">
        <v>0.41</v>
      </c>
      <c r="Y17" s="14">
        <v>0.18</v>
      </c>
      <c r="Z17" s="14">
        <v>0.25</v>
      </c>
      <c r="AA17" s="14">
        <v>0.18</v>
      </c>
      <c r="AB17" s="14">
        <v>0.25</v>
      </c>
      <c r="AC17" s="14">
        <v>0.34</v>
      </c>
      <c r="AD17" s="14">
        <v>0.25</v>
      </c>
      <c r="AE17" s="14">
        <v>0.25</v>
      </c>
      <c r="AF17" s="14">
        <v>0.33</v>
      </c>
    </row>
    <row r="18" spans="1:32" x14ac:dyDescent="0.35">
      <c r="A18" s="31"/>
      <c r="B18" s="11" t="s">
        <v>508</v>
      </c>
      <c r="C18" s="12">
        <v>2076</v>
      </c>
      <c r="D18" s="12">
        <v>72</v>
      </c>
      <c r="E18" s="12">
        <v>77</v>
      </c>
      <c r="F18" s="12">
        <v>87</v>
      </c>
      <c r="G18" s="12">
        <v>47</v>
      </c>
      <c r="H18" s="12">
        <v>117</v>
      </c>
      <c r="I18" s="12">
        <v>159</v>
      </c>
      <c r="J18" s="12">
        <v>42</v>
      </c>
      <c r="K18" s="12">
        <v>77</v>
      </c>
      <c r="L18" s="12">
        <v>49</v>
      </c>
      <c r="M18" s="12">
        <v>70</v>
      </c>
      <c r="N18" s="12">
        <v>83</v>
      </c>
      <c r="O18" s="12">
        <v>95</v>
      </c>
      <c r="P18" s="12">
        <v>45</v>
      </c>
      <c r="Q18" s="12">
        <v>75</v>
      </c>
      <c r="R18" s="12">
        <v>63</v>
      </c>
      <c r="S18" s="12">
        <v>51</v>
      </c>
      <c r="T18" s="12">
        <v>66</v>
      </c>
      <c r="U18" s="12">
        <v>44</v>
      </c>
      <c r="V18" s="12">
        <v>84</v>
      </c>
      <c r="W18" s="12">
        <v>22</v>
      </c>
      <c r="X18" s="12">
        <v>68</v>
      </c>
      <c r="Y18" s="12">
        <v>88</v>
      </c>
      <c r="Z18" s="12">
        <v>41</v>
      </c>
      <c r="AA18" s="12">
        <v>19</v>
      </c>
      <c r="AB18" s="12">
        <v>73</v>
      </c>
      <c r="AC18" s="12">
        <v>142</v>
      </c>
      <c r="AD18" s="12">
        <v>95</v>
      </c>
      <c r="AE18" s="12">
        <v>29</v>
      </c>
      <c r="AF18" s="12">
        <v>80</v>
      </c>
    </row>
    <row r="19" spans="1:32" x14ac:dyDescent="0.35">
      <c r="A19" s="31"/>
      <c r="B19" s="13" t="s">
        <v>509</v>
      </c>
      <c r="C19" s="14">
        <v>0.08</v>
      </c>
      <c r="D19" s="14">
        <v>7.0000000000000007E-2</v>
      </c>
      <c r="E19" s="14">
        <v>7.0000000000000007E-2</v>
      </c>
      <c r="F19" s="14">
        <v>0.08</v>
      </c>
      <c r="G19" s="14">
        <v>0.05</v>
      </c>
      <c r="H19" s="14">
        <v>0.09</v>
      </c>
      <c r="I19" s="14">
        <v>0.1</v>
      </c>
      <c r="J19" s="14">
        <v>0.14000000000000001</v>
      </c>
      <c r="K19" s="14">
        <v>0.08</v>
      </c>
      <c r="L19" s="14">
        <v>0.05</v>
      </c>
      <c r="M19" s="14">
        <v>7.0000000000000007E-2</v>
      </c>
      <c r="N19" s="14">
        <v>0.08</v>
      </c>
      <c r="O19" s="14">
        <v>0.09</v>
      </c>
      <c r="P19" s="14">
        <v>0.04</v>
      </c>
      <c r="Q19" s="14">
        <v>7.0000000000000007E-2</v>
      </c>
      <c r="R19" s="14">
        <v>0.13</v>
      </c>
      <c r="S19" s="14">
        <v>0.05</v>
      </c>
      <c r="T19" s="14">
        <v>0.06</v>
      </c>
      <c r="U19" s="14">
        <v>0.08</v>
      </c>
      <c r="V19" s="14">
        <v>0.08</v>
      </c>
      <c r="W19" s="14">
        <v>0.04</v>
      </c>
      <c r="X19" s="14">
        <v>7.0000000000000007E-2</v>
      </c>
      <c r="Y19" s="14">
        <v>0.09</v>
      </c>
      <c r="Z19" s="14">
        <v>0.04</v>
      </c>
      <c r="AA19" s="14">
        <v>0.02</v>
      </c>
      <c r="AB19" s="14">
        <v>7.0000000000000007E-2</v>
      </c>
      <c r="AC19" s="14">
        <v>0.14000000000000001</v>
      </c>
      <c r="AD19" s="14">
        <v>0.09</v>
      </c>
      <c r="AE19" s="14">
        <v>0.03</v>
      </c>
      <c r="AF19" s="14">
        <v>0.08</v>
      </c>
    </row>
    <row r="20" spans="1:32" x14ac:dyDescent="0.35">
      <c r="A20" s="31"/>
      <c r="B20" s="11" t="s">
        <v>344</v>
      </c>
      <c r="C20" s="12">
        <v>2713</v>
      </c>
      <c r="D20" s="12">
        <v>39</v>
      </c>
      <c r="E20" s="12">
        <v>143</v>
      </c>
      <c r="F20" s="12">
        <v>140</v>
      </c>
      <c r="G20" s="12">
        <v>159</v>
      </c>
      <c r="H20" s="12">
        <v>147</v>
      </c>
      <c r="I20" s="12">
        <v>165</v>
      </c>
      <c r="J20" s="12">
        <v>19</v>
      </c>
      <c r="K20" s="12">
        <v>143</v>
      </c>
      <c r="L20" s="12">
        <v>144</v>
      </c>
      <c r="M20" s="12">
        <v>76</v>
      </c>
      <c r="N20" s="12">
        <v>135</v>
      </c>
      <c r="O20" s="12">
        <v>148</v>
      </c>
      <c r="P20" s="12">
        <v>86</v>
      </c>
      <c r="Q20" s="12">
        <v>53</v>
      </c>
      <c r="R20" s="12">
        <v>61</v>
      </c>
      <c r="S20" s="12">
        <v>169</v>
      </c>
      <c r="T20" s="12">
        <v>133</v>
      </c>
      <c r="U20" s="12">
        <v>74</v>
      </c>
      <c r="V20" s="12">
        <v>57</v>
      </c>
      <c r="W20" s="12">
        <v>60</v>
      </c>
      <c r="X20" s="12">
        <v>69</v>
      </c>
      <c r="Y20" s="12">
        <v>123</v>
      </c>
      <c r="Z20" s="12">
        <v>70</v>
      </c>
      <c r="AA20" s="12">
        <v>172</v>
      </c>
      <c r="AB20" s="12">
        <v>90</v>
      </c>
      <c r="AC20" s="12">
        <v>107</v>
      </c>
      <c r="AD20" s="12">
        <v>87</v>
      </c>
      <c r="AE20" s="12">
        <v>100</v>
      </c>
      <c r="AF20" s="12">
        <v>62</v>
      </c>
    </row>
    <row r="21" spans="1:32" x14ac:dyDescent="0.35">
      <c r="A21" s="31"/>
      <c r="B21" s="13" t="s">
        <v>357</v>
      </c>
      <c r="C21" s="14">
        <v>0.1</v>
      </c>
      <c r="D21" s="14">
        <v>0.04</v>
      </c>
      <c r="E21" s="14">
        <v>0.14000000000000001</v>
      </c>
      <c r="F21" s="14">
        <v>0.14000000000000001</v>
      </c>
      <c r="G21" s="14">
        <v>0.16</v>
      </c>
      <c r="H21" s="14">
        <v>0.12</v>
      </c>
      <c r="I21" s="14">
        <v>0.11</v>
      </c>
      <c r="J21" s="14">
        <v>0.06</v>
      </c>
      <c r="K21" s="14">
        <v>0.14000000000000001</v>
      </c>
      <c r="L21" s="14">
        <v>0.14000000000000001</v>
      </c>
      <c r="M21" s="14">
        <v>7.0000000000000007E-2</v>
      </c>
      <c r="N21" s="14">
        <v>0.14000000000000001</v>
      </c>
      <c r="O21" s="14">
        <v>0.15</v>
      </c>
      <c r="P21" s="14">
        <v>0.09</v>
      </c>
      <c r="Q21" s="14">
        <v>0.05</v>
      </c>
      <c r="R21" s="14">
        <v>0.12</v>
      </c>
      <c r="S21" s="14">
        <v>0.16</v>
      </c>
      <c r="T21" s="14">
        <v>0.13</v>
      </c>
      <c r="U21" s="14">
        <v>0.15</v>
      </c>
      <c r="V21" s="14">
        <v>0.06</v>
      </c>
      <c r="W21" s="14">
        <v>0.12</v>
      </c>
      <c r="X21" s="14">
        <v>7.0000000000000007E-2</v>
      </c>
      <c r="Y21" s="14">
        <v>0.12</v>
      </c>
      <c r="Z21" s="14">
        <v>7.0000000000000007E-2</v>
      </c>
      <c r="AA21" s="14">
        <v>0.17</v>
      </c>
      <c r="AB21" s="14">
        <v>0.09</v>
      </c>
      <c r="AC21" s="14">
        <v>0.11</v>
      </c>
      <c r="AD21" s="14">
        <v>0.09</v>
      </c>
      <c r="AE21" s="14">
        <v>0.1</v>
      </c>
      <c r="AF21" s="14">
        <v>0.06</v>
      </c>
    </row>
    <row r="22" spans="1:32" x14ac:dyDescent="0.35">
      <c r="A22" s="31"/>
      <c r="B22" s="11" t="s">
        <v>510</v>
      </c>
      <c r="C22" s="12">
        <v>14366</v>
      </c>
      <c r="D22" s="12">
        <v>565</v>
      </c>
      <c r="E22" s="12">
        <v>564</v>
      </c>
      <c r="F22" s="12">
        <v>494</v>
      </c>
      <c r="G22" s="12">
        <v>537</v>
      </c>
      <c r="H22" s="12">
        <v>505</v>
      </c>
      <c r="I22" s="12">
        <v>622</v>
      </c>
      <c r="J22" s="12">
        <v>117</v>
      </c>
      <c r="K22" s="12">
        <v>563</v>
      </c>
      <c r="L22" s="12">
        <v>585</v>
      </c>
      <c r="M22" s="12">
        <v>656</v>
      </c>
      <c r="N22" s="12">
        <v>632</v>
      </c>
      <c r="O22" s="12">
        <v>460</v>
      </c>
      <c r="P22" s="12">
        <v>651</v>
      </c>
      <c r="Q22" s="12">
        <v>678</v>
      </c>
      <c r="R22" s="12">
        <v>280</v>
      </c>
      <c r="S22" s="12">
        <v>579</v>
      </c>
      <c r="T22" s="12">
        <v>487</v>
      </c>
      <c r="U22" s="12">
        <v>245</v>
      </c>
      <c r="V22" s="12">
        <v>616</v>
      </c>
      <c r="W22" s="12">
        <v>323</v>
      </c>
      <c r="X22" s="12">
        <v>457</v>
      </c>
      <c r="Y22" s="12">
        <v>613</v>
      </c>
      <c r="Z22" s="12">
        <v>648</v>
      </c>
      <c r="AA22" s="12">
        <v>655</v>
      </c>
      <c r="AB22" s="12">
        <v>627</v>
      </c>
      <c r="AC22" s="12">
        <v>414</v>
      </c>
      <c r="AD22" s="12">
        <v>572</v>
      </c>
      <c r="AE22" s="12">
        <v>628</v>
      </c>
      <c r="AF22" s="12">
        <v>544</v>
      </c>
    </row>
    <row r="23" spans="1:32" x14ac:dyDescent="0.35">
      <c r="A23" s="31"/>
      <c r="B23" s="13" t="s">
        <v>511</v>
      </c>
      <c r="C23" s="14">
        <v>0.55000000000000004</v>
      </c>
      <c r="D23" s="14">
        <v>0.55000000000000004</v>
      </c>
      <c r="E23" s="14">
        <v>0.54</v>
      </c>
      <c r="F23" s="14">
        <v>0.49</v>
      </c>
      <c r="G23" s="14">
        <v>0.52</v>
      </c>
      <c r="H23" s="14">
        <v>0.41</v>
      </c>
      <c r="I23" s="14">
        <v>0.41</v>
      </c>
      <c r="J23" s="14">
        <v>0.39</v>
      </c>
      <c r="K23" s="14">
        <v>0.56000000000000005</v>
      </c>
      <c r="L23" s="14">
        <v>0.57999999999999996</v>
      </c>
      <c r="M23" s="14">
        <v>0.66</v>
      </c>
      <c r="N23" s="14">
        <v>0.63</v>
      </c>
      <c r="O23" s="14">
        <v>0.46</v>
      </c>
      <c r="P23" s="14">
        <v>0.65</v>
      </c>
      <c r="Q23" s="14">
        <v>0.66</v>
      </c>
      <c r="R23" s="14">
        <v>0.56000000000000005</v>
      </c>
      <c r="S23" s="14">
        <v>0.57000000000000006</v>
      </c>
      <c r="T23" s="14">
        <v>0.48</v>
      </c>
      <c r="U23" s="14">
        <v>0.48</v>
      </c>
      <c r="V23" s="14">
        <v>0.61</v>
      </c>
      <c r="W23" s="14">
        <v>0.65</v>
      </c>
      <c r="X23" s="14">
        <v>0.45</v>
      </c>
      <c r="Y23" s="14">
        <v>0.61</v>
      </c>
      <c r="Z23" s="14">
        <v>0.64</v>
      </c>
      <c r="AA23" s="14">
        <v>0.63</v>
      </c>
      <c r="AB23" s="14">
        <v>0.59</v>
      </c>
      <c r="AC23" s="14">
        <v>0.41</v>
      </c>
      <c r="AD23" s="14">
        <v>0.57000000000000006</v>
      </c>
      <c r="AE23" s="14">
        <v>0.62</v>
      </c>
      <c r="AF23" s="14">
        <v>0.53</v>
      </c>
    </row>
    <row r="24" spans="1:32" x14ac:dyDescent="0.35">
      <c r="A24" s="31"/>
      <c r="B24" s="11" t="s">
        <v>512</v>
      </c>
      <c r="C24" s="12">
        <v>9330</v>
      </c>
      <c r="D24" s="12">
        <v>421</v>
      </c>
      <c r="E24" s="12">
        <v>332</v>
      </c>
      <c r="F24" s="12">
        <v>384</v>
      </c>
      <c r="G24" s="12">
        <v>321</v>
      </c>
      <c r="H24" s="12">
        <v>581</v>
      </c>
      <c r="I24" s="12">
        <v>744</v>
      </c>
      <c r="J24" s="12">
        <v>162</v>
      </c>
      <c r="K24" s="12">
        <v>302</v>
      </c>
      <c r="L24" s="12">
        <v>274</v>
      </c>
      <c r="M24" s="12">
        <v>271</v>
      </c>
      <c r="N24" s="12">
        <v>233</v>
      </c>
      <c r="O24" s="12">
        <v>392</v>
      </c>
      <c r="P24" s="12">
        <v>268</v>
      </c>
      <c r="Q24" s="12">
        <v>304</v>
      </c>
      <c r="R24" s="12">
        <v>158</v>
      </c>
      <c r="S24" s="12">
        <v>272</v>
      </c>
      <c r="T24" s="12">
        <v>397</v>
      </c>
      <c r="U24" s="12">
        <v>190</v>
      </c>
      <c r="V24" s="12">
        <v>341</v>
      </c>
      <c r="W24" s="12">
        <v>117</v>
      </c>
      <c r="X24" s="12">
        <v>484</v>
      </c>
      <c r="Y24" s="12">
        <v>267</v>
      </c>
      <c r="Z24" s="12">
        <v>301</v>
      </c>
      <c r="AA24" s="12">
        <v>202</v>
      </c>
      <c r="AB24" s="12">
        <v>340</v>
      </c>
      <c r="AC24" s="12">
        <v>492</v>
      </c>
      <c r="AD24" s="12">
        <v>346</v>
      </c>
      <c r="AE24" s="12">
        <v>279</v>
      </c>
      <c r="AF24" s="12">
        <v>414</v>
      </c>
    </row>
    <row r="25" spans="1:32" x14ac:dyDescent="0.35">
      <c r="A25" s="31"/>
      <c r="B25" s="13" t="s">
        <v>513</v>
      </c>
      <c r="C25" s="14">
        <v>0.35</v>
      </c>
      <c r="D25" s="14">
        <v>0.41</v>
      </c>
      <c r="E25" s="14">
        <v>0.32</v>
      </c>
      <c r="F25" s="14">
        <v>0.37</v>
      </c>
      <c r="G25" s="14">
        <v>0.32</v>
      </c>
      <c r="H25" s="14">
        <v>0.47</v>
      </c>
      <c r="I25" s="14">
        <v>0.48</v>
      </c>
      <c r="J25" s="14">
        <v>0.55000000000000004</v>
      </c>
      <c r="K25" s="14">
        <v>0.3</v>
      </c>
      <c r="L25" s="14">
        <v>0.28000000000000003</v>
      </c>
      <c r="M25" s="14">
        <v>0.27</v>
      </c>
      <c r="N25" s="14">
        <v>0.23</v>
      </c>
      <c r="O25" s="14">
        <v>0.39</v>
      </c>
      <c r="P25" s="14">
        <v>0.26</v>
      </c>
      <c r="Q25" s="14">
        <v>0.28999999999999998</v>
      </c>
      <c r="R25" s="14">
        <v>0.32</v>
      </c>
      <c r="S25" s="14">
        <v>0.27</v>
      </c>
      <c r="T25" s="14">
        <v>0.39</v>
      </c>
      <c r="U25" s="14">
        <v>0.37</v>
      </c>
      <c r="V25" s="14">
        <v>0.33</v>
      </c>
      <c r="W25" s="14">
        <v>0.23</v>
      </c>
      <c r="X25" s="14">
        <v>0.48</v>
      </c>
      <c r="Y25" s="14">
        <v>0.27</v>
      </c>
      <c r="Z25" s="14">
        <v>0.28999999999999998</v>
      </c>
      <c r="AA25" s="14">
        <v>0.2</v>
      </c>
      <c r="AB25" s="14">
        <v>0.32</v>
      </c>
      <c r="AC25" s="14">
        <v>0.48</v>
      </c>
      <c r="AD25" s="14">
        <v>0.34</v>
      </c>
      <c r="AE25" s="14">
        <v>0.28000000000000003</v>
      </c>
      <c r="AF25" s="14">
        <v>0.41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1075</v>
      </c>
      <c r="C3" s="30"/>
      <c r="D3" s="30"/>
      <c r="E3" s="30"/>
      <c r="F3" s="30"/>
      <c r="H3" s="30" t="s">
        <v>1076</v>
      </c>
      <c r="I3" s="30"/>
      <c r="J3" s="30"/>
      <c r="K3" s="30"/>
      <c r="L3" s="30"/>
    </row>
    <row r="4" spans="1:32" ht="27" customHeight="1" x14ac:dyDescent="0.35">
      <c r="B4" s="30" t="s">
        <v>1077</v>
      </c>
      <c r="C4" s="30"/>
      <c r="D4" s="30"/>
      <c r="E4" s="30"/>
      <c r="F4" s="30"/>
      <c r="H4" s="30" t="s">
        <v>1078</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2987</v>
      </c>
      <c r="D12" s="12">
        <v>107</v>
      </c>
      <c r="E12" s="12">
        <v>137</v>
      </c>
      <c r="F12" s="12">
        <v>77</v>
      </c>
      <c r="G12" s="12">
        <v>109</v>
      </c>
      <c r="H12" s="12">
        <v>55</v>
      </c>
      <c r="I12" s="12">
        <v>72</v>
      </c>
      <c r="J12" s="12">
        <v>17</v>
      </c>
      <c r="K12" s="12">
        <v>79</v>
      </c>
      <c r="L12" s="12">
        <v>141</v>
      </c>
      <c r="M12" s="12">
        <v>154</v>
      </c>
      <c r="N12" s="12">
        <v>206</v>
      </c>
      <c r="O12" s="12">
        <v>80</v>
      </c>
      <c r="P12" s="12">
        <v>131</v>
      </c>
      <c r="Q12" s="12">
        <v>162</v>
      </c>
      <c r="R12" s="12">
        <v>77</v>
      </c>
      <c r="S12" s="12">
        <v>122</v>
      </c>
      <c r="T12" s="12">
        <v>78</v>
      </c>
      <c r="U12" s="12">
        <v>37</v>
      </c>
      <c r="V12" s="12">
        <v>160</v>
      </c>
      <c r="W12" s="12">
        <v>50</v>
      </c>
      <c r="X12" s="12">
        <v>55</v>
      </c>
      <c r="Y12" s="12">
        <v>214</v>
      </c>
      <c r="Z12" s="12">
        <v>119</v>
      </c>
      <c r="AA12" s="12">
        <v>134</v>
      </c>
      <c r="AB12" s="12">
        <v>160</v>
      </c>
      <c r="AC12" s="12">
        <v>39</v>
      </c>
      <c r="AD12" s="12">
        <v>133</v>
      </c>
      <c r="AE12" s="12">
        <v>55</v>
      </c>
      <c r="AF12" s="12">
        <v>63</v>
      </c>
    </row>
    <row r="13" spans="1:32" x14ac:dyDescent="0.35">
      <c r="A13" s="31"/>
      <c r="B13" s="13" t="s">
        <v>503</v>
      </c>
      <c r="C13" s="14">
        <v>0.11</v>
      </c>
      <c r="D13" s="14">
        <v>0.1</v>
      </c>
      <c r="E13" s="14">
        <v>0.13</v>
      </c>
      <c r="F13" s="14">
        <v>0.08</v>
      </c>
      <c r="G13" s="14">
        <v>0.11</v>
      </c>
      <c r="H13" s="14">
        <v>0.04</v>
      </c>
      <c r="I13" s="14">
        <v>0.05</v>
      </c>
      <c r="J13" s="14">
        <v>0.06</v>
      </c>
      <c r="K13" s="14">
        <v>0.08</v>
      </c>
      <c r="L13" s="14">
        <v>0.14000000000000001</v>
      </c>
      <c r="M13" s="14">
        <v>0.15</v>
      </c>
      <c r="N13" s="14">
        <v>0.21</v>
      </c>
      <c r="O13" s="14">
        <v>0.08</v>
      </c>
      <c r="P13" s="14">
        <v>0.13</v>
      </c>
      <c r="Q13" s="14">
        <v>0.16</v>
      </c>
      <c r="R13" s="14">
        <v>0.15</v>
      </c>
      <c r="S13" s="14">
        <v>0.12</v>
      </c>
      <c r="T13" s="14">
        <v>0.08</v>
      </c>
      <c r="U13" s="14">
        <v>7.0000000000000007E-2</v>
      </c>
      <c r="V13" s="14">
        <v>0.16</v>
      </c>
      <c r="W13" s="14">
        <v>0.1</v>
      </c>
      <c r="X13" s="14">
        <v>0.05</v>
      </c>
      <c r="Y13" s="14">
        <v>0.21</v>
      </c>
      <c r="Z13" s="14">
        <v>0.12</v>
      </c>
      <c r="AA13" s="14">
        <v>0.13</v>
      </c>
      <c r="AB13" s="14">
        <v>0.15</v>
      </c>
      <c r="AC13" s="14">
        <v>0.04</v>
      </c>
      <c r="AD13" s="14">
        <v>0.13</v>
      </c>
      <c r="AE13" s="14">
        <v>0.06</v>
      </c>
      <c r="AF13" s="14">
        <v>0.06</v>
      </c>
    </row>
    <row r="14" spans="1:32" x14ac:dyDescent="0.35">
      <c r="A14" s="31"/>
      <c r="B14" s="11" t="s">
        <v>504</v>
      </c>
      <c r="C14" s="12">
        <v>10982</v>
      </c>
      <c r="D14" s="12">
        <v>470</v>
      </c>
      <c r="E14" s="12">
        <v>414</v>
      </c>
      <c r="F14" s="12">
        <v>387</v>
      </c>
      <c r="G14" s="12">
        <v>420</v>
      </c>
      <c r="H14" s="12">
        <v>404</v>
      </c>
      <c r="I14" s="12">
        <v>490</v>
      </c>
      <c r="J14" s="12">
        <v>86</v>
      </c>
      <c r="K14" s="12">
        <v>477</v>
      </c>
      <c r="L14" s="12">
        <v>438</v>
      </c>
      <c r="M14" s="12">
        <v>481</v>
      </c>
      <c r="N14" s="12">
        <v>434</v>
      </c>
      <c r="O14" s="12">
        <v>389</v>
      </c>
      <c r="P14" s="12">
        <v>489</v>
      </c>
      <c r="Q14" s="12">
        <v>489</v>
      </c>
      <c r="R14" s="12">
        <v>187</v>
      </c>
      <c r="S14" s="12">
        <v>453</v>
      </c>
      <c r="T14" s="12">
        <v>408</v>
      </c>
      <c r="U14" s="12">
        <v>196</v>
      </c>
      <c r="V14" s="12">
        <v>438</v>
      </c>
      <c r="W14" s="12">
        <v>281</v>
      </c>
      <c r="X14" s="12">
        <v>385</v>
      </c>
      <c r="Y14" s="12">
        <v>398</v>
      </c>
      <c r="Z14" s="12">
        <v>528</v>
      </c>
      <c r="AA14" s="12">
        <v>527</v>
      </c>
      <c r="AB14" s="12">
        <v>424</v>
      </c>
      <c r="AC14" s="12">
        <v>356</v>
      </c>
      <c r="AD14" s="12">
        <v>430</v>
      </c>
      <c r="AE14" s="12">
        <v>506</v>
      </c>
      <c r="AF14" s="12">
        <v>437</v>
      </c>
    </row>
    <row r="15" spans="1:32" x14ac:dyDescent="0.35">
      <c r="A15" s="31"/>
      <c r="B15" s="13" t="s">
        <v>505</v>
      </c>
      <c r="C15" s="14">
        <v>0.41</v>
      </c>
      <c r="D15" s="14">
        <v>0.46</v>
      </c>
      <c r="E15" s="14">
        <v>0.4</v>
      </c>
      <c r="F15" s="14">
        <v>0.38</v>
      </c>
      <c r="G15" s="14">
        <v>0.41</v>
      </c>
      <c r="H15" s="14">
        <v>0.33</v>
      </c>
      <c r="I15" s="14">
        <v>0.32</v>
      </c>
      <c r="J15" s="14">
        <v>0.28999999999999998</v>
      </c>
      <c r="K15" s="14">
        <v>0.47</v>
      </c>
      <c r="L15" s="14">
        <v>0.44</v>
      </c>
      <c r="M15" s="14">
        <v>0.48</v>
      </c>
      <c r="N15" s="14">
        <v>0.43</v>
      </c>
      <c r="O15" s="14">
        <v>0.39</v>
      </c>
      <c r="P15" s="14">
        <v>0.49</v>
      </c>
      <c r="Q15" s="14">
        <v>0.47</v>
      </c>
      <c r="R15" s="14">
        <v>0.37</v>
      </c>
      <c r="S15" s="14">
        <v>0.45</v>
      </c>
      <c r="T15" s="14">
        <v>0.4</v>
      </c>
      <c r="U15" s="14">
        <v>0.39</v>
      </c>
      <c r="V15" s="14">
        <v>0.43</v>
      </c>
      <c r="W15" s="14">
        <v>0.56000000000000005</v>
      </c>
      <c r="X15" s="14">
        <v>0.38</v>
      </c>
      <c r="Y15" s="14">
        <v>0.4</v>
      </c>
      <c r="Z15" s="14">
        <v>0.52</v>
      </c>
      <c r="AA15" s="14">
        <v>0.51</v>
      </c>
      <c r="AB15" s="14">
        <v>0.4</v>
      </c>
      <c r="AC15" s="14">
        <v>0.35</v>
      </c>
      <c r="AD15" s="14">
        <v>0.43</v>
      </c>
      <c r="AE15" s="14">
        <v>0.5</v>
      </c>
      <c r="AF15" s="14">
        <v>0.43</v>
      </c>
    </row>
    <row r="16" spans="1:32" x14ac:dyDescent="0.35">
      <c r="A16" s="31"/>
      <c r="B16" s="11" t="s">
        <v>506</v>
      </c>
      <c r="C16" s="12">
        <v>7559</v>
      </c>
      <c r="D16" s="12">
        <v>341</v>
      </c>
      <c r="E16" s="12">
        <v>252</v>
      </c>
      <c r="F16" s="12">
        <v>310</v>
      </c>
      <c r="G16" s="12">
        <v>268</v>
      </c>
      <c r="H16" s="12">
        <v>494</v>
      </c>
      <c r="I16" s="12">
        <v>618</v>
      </c>
      <c r="J16" s="12">
        <v>124</v>
      </c>
      <c r="K16" s="12">
        <v>242</v>
      </c>
      <c r="L16" s="12">
        <v>227</v>
      </c>
      <c r="M16" s="12">
        <v>204</v>
      </c>
      <c r="N16" s="12">
        <v>164</v>
      </c>
      <c r="O16" s="12">
        <v>292</v>
      </c>
      <c r="P16" s="12">
        <v>242</v>
      </c>
      <c r="Q16" s="12">
        <v>257</v>
      </c>
      <c r="R16" s="12">
        <v>118</v>
      </c>
      <c r="S16" s="12">
        <v>227</v>
      </c>
      <c r="T16" s="12">
        <v>335</v>
      </c>
      <c r="U16" s="12">
        <v>172</v>
      </c>
      <c r="V16" s="12">
        <v>283</v>
      </c>
      <c r="W16" s="12">
        <v>93</v>
      </c>
      <c r="X16" s="12">
        <v>442</v>
      </c>
      <c r="Y16" s="12">
        <v>176</v>
      </c>
      <c r="Z16" s="12">
        <v>240</v>
      </c>
      <c r="AA16" s="12">
        <v>178</v>
      </c>
      <c r="AB16" s="12">
        <v>296</v>
      </c>
      <c r="AC16" s="12">
        <v>366</v>
      </c>
      <c r="AD16" s="12">
        <v>258</v>
      </c>
      <c r="AE16" s="12">
        <v>295</v>
      </c>
      <c r="AF16" s="12">
        <v>363</v>
      </c>
    </row>
    <row r="17" spans="1:32" x14ac:dyDescent="0.35">
      <c r="A17" s="31"/>
      <c r="B17" s="13" t="s">
        <v>507</v>
      </c>
      <c r="C17" s="14">
        <v>0.28999999999999998</v>
      </c>
      <c r="D17" s="14">
        <v>0.33</v>
      </c>
      <c r="E17" s="14">
        <v>0.24</v>
      </c>
      <c r="F17" s="14">
        <v>0.3</v>
      </c>
      <c r="G17" s="14">
        <v>0.26</v>
      </c>
      <c r="H17" s="14">
        <v>0.4</v>
      </c>
      <c r="I17" s="14">
        <v>0.4</v>
      </c>
      <c r="J17" s="14">
        <v>0.41</v>
      </c>
      <c r="K17" s="14">
        <v>0.24</v>
      </c>
      <c r="L17" s="14">
        <v>0.22</v>
      </c>
      <c r="M17" s="14">
        <v>0.2</v>
      </c>
      <c r="N17" s="14">
        <v>0.16</v>
      </c>
      <c r="O17" s="14">
        <v>0.28999999999999998</v>
      </c>
      <c r="P17" s="14">
        <v>0.24</v>
      </c>
      <c r="Q17" s="14">
        <v>0.25</v>
      </c>
      <c r="R17" s="14">
        <v>0.24</v>
      </c>
      <c r="S17" s="14">
        <v>0.22</v>
      </c>
      <c r="T17" s="14">
        <v>0.33</v>
      </c>
      <c r="U17" s="14">
        <v>0.34</v>
      </c>
      <c r="V17" s="14">
        <v>0.28000000000000003</v>
      </c>
      <c r="W17" s="14">
        <v>0.19</v>
      </c>
      <c r="X17" s="14">
        <v>0.44</v>
      </c>
      <c r="Y17" s="14">
        <v>0.18</v>
      </c>
      <c r="Z17" s="14">
        <v>0.23</v>
      </c>
      <c r="AA17" s="14">
        <v>0.17</v>
      </c>
      <c r="AB17" s="14">
        <v>0.28000000000000003</v>
      </c>
      <c r="AC17" s="14">
        <v>0.36</v>
      </c>
      <c r="AD17" s="14">
        <v>0.26</v>
      </c>
      <c r="AE17" s="14">
        <v>0.28999999999999998</v>
      </c>
      <c r="AF17" s="14">
        <v>0.36</v>
      </c>
    </row>
    <row r="18" spans="1:32" x14ac:dyDescent="0.35">
      <c r="A18" s="31"/>
      <c r="B18" s="11" t="s">
        <v>508</v>
      </c>
      <c r="C18" s="12">
        <v>2315</v>
      </c>
      <c r="D18" s="12">
        <v>70</v>
      </c>
      <c r="E18" s="12">
        <v>96</v>
      </c>
      <c r="F18" s="12">
        <v>105</v>
      </c>
      <c r="G18" s="12">
        <v>61</v>
      </c>
      <c r="H18" s="12">
        <v>132</v>
      </c>
      <c r="I18" s="12">
        <v>182</v>
      </c>
      <c r="J18" s="12">
        <v>51</v>
      </c>
      <c r="K18" s="12">
        <v>70</v>
      </c>
      <c r="L18" s="12">
        <v>59</v>
      </c>
      <c r="M18" s="12">
        <v>78</v>
      </c>
      <c r="N18" s="12">
        <v>92</v>
      </c>
      <c r="O18" s="12">
        <v>102</v>
      </c>
      <c r="P18" s="12">
        <v>54</v>
      </c>
      <c r="Q18" s="12">
        <v>79</v>
      </c>
      <c r="R18" s="12">
        <v>58</v>
      </c>
      <c r="S18" s="12">
        <v>44</v>
      </c>
      <c r="T18" s="12">
        <v>71</v>
      </c>
      <c r="U18" s="12">
        <v>41</v>
      </c>
      <c r="V18" s="12">
        <v>80</v>
      </c>
      <c r="W18" s="12">
        <v>18</v>
      </c>
      <c r="X18" s="12">
        <v>68</v>
      </c>
      <c r="Y18" s="12">
        <v>94</v>
      </c>
      <c r="Z18" s="12">
        <v>57</v>
      </c>
      <c r="AA18" s="12">
        <v>15</v>
      </c>
      <c r="AB18" s="12">
        <v>86</v>
      </c>
      <c r="AC18" s="12">
        <v>150</v>
      </c>
      <c r="AD18" s="12">
        <v>108</v>
      </c>
      <c r="AE18" s="12">
        <v>46</v>
      </c>
      <c r="AF18" s="12">
        <v>97</v>
      </c>
    </row>
    <row r="19" spans="1:32" x14ac:dyDescent="0.35">
      <c r="A19" s="31"/>
      <c r="B19" s="13" t="s">
        <v>509</v>
      </c>
      <c r="C19" s="14">
        <v>0.09</v>
      </c>
      <c r="D19" s="14">
        <v>7.0000000000000007E-2</v>
      </c>
      <c r="E19" s="14">
        <v>0.09</v>
      </c>
      <c r="F19" s="14">
        <v>0.1</v>
      </c>
      <c r="G19" s="14">
        <v>0.06</v>
      </c>
      <c r="H19" s="14">
        <v>0.11</v>
      </c>
      <c r="I19" s="14">
        <v>0.12</v>
      </c>
      <c r="J19" s="14">
        <v>0.17</v>
      </c>
      <c r="K19" s="14">
        <v>7.0000000000000007E-2</v>
      </c>
      <c r="L19" s="14">
        <v>0.06</v>
      </c>
      <c r="M19" s="14">
        <v>0.08</v>
      </c>
      <c r="N19" s="14">
        <v>0.09</v>
      </c>
      <c r="O19" s="14">
        <v>0.1</v>
      </c>
      <c r="P19" s="14">
        <v>0.05</v>
      </c>
      <c r="Q19" s="14">
        <v>7.0000000000000007E-2</v>
      </c>
      <c r="R19" s="14">
        <v>0.12</v>
      </c>
      <c r="S19" s="14">
        <v>0.04</v>
      </c>
      <c r="T19" s="14">
        <v>7.0000000000000007E-2</v>
      </c>
      <c r="U19" s="14">
        <v>0.08</v>
      </c>
      <c r="V19" s="14">
        <v>0.08</v>
      </c>
      <c r="W19" s="14">
        <v>0.03</v>
      </c>
      <c r="X19" s="14">
        <v>7.0000000000000007E-2</v>
      </c>
      <c r="Y19" s="14">
        <v>0.09</v>
      </c>
      <c r="Z19" s="14">
        <v>0.06</v>
      </c>
      <c r="AA19" s="14">
        <v>0.02</v>
      </c>
      <c r="AB19" s="14">
        <v>0.08</v>
      </c>
      <c r="AC19" s="14">
        <v>0.15</v>
      </c>
      <c r="AD19" s="14">
        <v>0.11</v>
      </c>
      <c r="AE19" s="14">
        <v>0.05</v>
      </c>
      <c r="AF19" s="14">
        <v>0.09</v>
      </c>
    </row>
    <row r="20" spans="1:32" x14ac:dyDescent="0.35">
      <c r="A20" s="31"/>
      <c r="B20" s="11" t="s">
        <v>344</v>
      </c>
      <c r="C20" s="12">
        <v>2566</v>
      </c>
      <c r="D20" s="12">
        <v>38</v>
      </c>
      <c r="E20" s="12">
        <v>141</v>
      </c>
      <c r="F20" s="12">
        <v>139</v>
      </c>
      <c r="G20" s="12">
        <v>159</v>
      </c>
      <c r="H20" s="12">
        <v>147</v>
      </c>
      <c r="I20" s="12">
        <v>168</v>
      </c>
      <c r="J20" s="12">
        <v>20</v>
      </c>
      <c r="K20" s="12">
        <v>141</v>
      </c>
      <c r="L20" s="12">
        <v>139</v>
      </c>
      <c r="M20" s="12">
        <v>86</v>
      </c>
      <c r="N20" s="12">
        <v>104</v>
      </c>
      <c r="O20" s="12">
        <v>136</v>
      </c>
      <c r="P20" s="12">
        <v>87</v>
      </c>
      <c r="Q20" s="12">
        <v>48</v>
      </c>
      <c r="R20" s="12">
        <v>61</v>
      </c>
      <c r="S20" s="12">
        <v>175</v>
      </c>
      <c r="T20" s="12">
        <v>124</v>
      </c>
      <c r="U20" s="12">
        <v>63</v>
      </c>
      <c r="V20" s="12">
        <v>53</v>
      </c>
      <c r="W20" s="12">
        <v>59</v>
      </c>
      <c r="X20" s="12">
        <v>60</v>
      </c>
      <c r="Y20" s="12">
        <v>122</v>
      </c>
      <c r="Z20" s="12">
        <v>75</v>
      </c>
      <c r="AA20" s="12">
        <v>176</v>
      </c>
      <c r="AB20" s="12">
        <v>91</v>
      </c>
      <c r="AC20" s="12">
        <v>101</v>
      </c>
      <c r="AD20" s="12">
        <v>75</v>
      </c>
      <c r="AE20" s="12">
        <v>104</v>
      </c>
      <c r="AF20" s="12">
        <v>60</v>
      </c>
    </row>
    <row r="21" spans="1:32" x14ac:dyDescent="0.35">
      <c r="A21" s="31"/>
      <c r="B21" s="13" t="s">
        <v>357</v>
      </c>
      <c r="C21" s="14">
        <v>0.1</v>
      </c>
      <c r="D21" s="14">
        <v>0.04</v>
      </c>
      <c r="E21" s="14">
        <v>0.14000000000000001</v>
      </c>
      <c r="F21" s="14">
        <v>0.14000000000000001</v>
      </c>
      <c r="G21" s="14">
        <v>0.16</v>
      </c>
      <c r="H21" s="14">
        <v>0.12</v>
      </c>
      <c r="I21" s="14">
        <v>0.11</v>
      </c>
      <c r="J21" s="14">
        <v>7.0000000000000007E-2</v>
      </c>
      <c r="K21" s="14">
        <v>0.14000000000000001</v>
      </c>
      <c r="L21" s="14">
        <v>0.14000000000000001</v>
      </c>
      <c r="M21" s="14">
        <v>0.09</v>
      </c>
      <c r="N21" s="14">
        <v>0.11</v>
      </c>
      <c r="O21" s="14">
        <v>0.14000000000000001</v>
      </c>
      <c r="P21" s="14">
        <v>0.09</v>
      </c>
      <c r="Q21" s="14">
        <v>0.05</v>
      </c>
      <c r="R21" s="14">
        <v>0.12</v>
      </c>
      <c r="S21" s="14">
        <v>0.17</v>
      </c>
      <c r="T21" s="14">
        <v>0.12</v>
      </c>
      <c r="U21" s="14">
        <v>0.12</v>
      </c>
      <c r="V21" s="14">
        <v>0.05</v>
      </c>
      <c r="W21" s="14">
        <v>0.12</v>
      </c>
      <c r="X21" s="14">
        <v>0.06</v>
      </c>
      <c r="Y21" s="14">
        <v>0.12</v>
      </c>
      <c r="Z21" s="14">
        <v>7.0000000000000007E-2</v>
      </c>
      <c r="AA21" s="14">
        <v>0.17</v>
      </c>
      <c r="AB21" s="14">
        <v>0.09</v>
      </c>
      <c r="AC21" s="14">
        <v>0.1</v>
      </c>
      <c r="AD21" s="14">
        <v>7.0000000000000007E-2</v>
      </c>
      <c r="AE21" s="14">
        <v>0.1</v>
      </c>
      <c r="AF21" s="14">
        <v>0.06</v>
      </c>
    </row>
    <row r="22" spans="1:32" x14ac:dyDescent="0.35">
      <c r="A22" s="31"/>
      <c r="B22" s="11" t="s">
        <v>510</v>
      </c>
      <c r="C22" s="12">
        <v>13969</v>
      </c>
      <c r="D22" s="12">
        <v>577</v>
      </c>
      <c r="E22" s="12">
        <v>551</v>
      </c>
      <c r="F22" s="12">
        <v>464</v>
      </c>
      <c r="G22" s="12">
        <v>529</v>
      </c>
      <c r="H22" s="12">
        <v>459</v>
      </c>
      <c r="I22" s="12">
        <v>562</v>
      </c>
      <c r="J22" s="12">
        <v>103</v>
      </c>
      <c r="K22" s="12">
        <v>556</v>
      </c>
      <c r="L22" s="12">
        <v>579</v>
      </c>
      <c r="M22" s="12">
        <v>635</v>
      </c>
      <c r="N22" s="12">
        <v>640</v>
      </c>
      <c r="O22" s="12">
        <v>469</v>
      </c>
      <c r="P22" s="12">
        <v>620</v>
      </c>
      <c r="Q22" s="12">
        <v>651</v>
      </c>
      <c r="R22" s="12">
        <v>264</v>
      </c>
      <c r="S22" s="12">
        <v>575</v>
      </c>
      <c r="T22" s="12">
        <v>486</v>
      </c>
      <c r="U22" s="12">
        <v>233</v>
      </c>
      <c r="V22" s="12">
        <v>598</v>
      </c>
      <c r="W22" s="12">
        <v>331</v>
      </c>
      <c r="X22" s="12">
        <v>440</v>
      </c>
      <c r="Y22" s="12">
        <v>612</v>
      </c>
      <c r="Z22" s="12">
        <v>647</v>
      </c>
      <c r="AA22" s="12">
        <v>661</v>
      </c>
      <c r="AB22" s="12">
        <v>584</v>
      </c>
      <c r="AC22" s="12">
        <v>395</v>
      </c>
      <c r="AD22" s="12">
        <v>563</v>
      </c>
      <c r="AE22" s="12">
        <v>561</v>
      </c>
      <c r="AF22" s="12">
        <v>500</v>
      </c>
    </row>
    <row r="23" spans="1:32" x14ac:dyDescent="0.35">
      <c r="A23" s="31"/>
      <c r="B23" s="13" t="s">
        <v>511</v>
      </c>
      <c r="C23" s="14">
        <v>0.52</v>
      </c>
      <c r="D23" s="14">
        <v>0.56000000000000005</v>
      </c>
      <c r="E23" s="14">
        <v>0.53</v>
      </c>
      <c r="F23" s="14">
        <v>0.46</v>
      </c>
      <c r="G23" s="14">
        <v>0.52</v>
      </c>
      <c r="H23" s="14">
        <v>0.37</v>
      </c>
      <c r="I23" s="14">
        <v>0.37</v>
      </c>
      <c r="J23" s="14">
        <v>0.35</v>
      </c>
      <c r="K23" s="14">
        <v>0.55000000000000004</v>
      </c>
      <c r="L23" s="14">
        <v>0.57999999999999996</v>
      </c>
      <c r="M23" s="14">
        <v>0.63</v>
      </c>
      <c r="N23" s="14">
        <v>0.64</v>
      </c>
      <c r="O23" s="14">
        <v>0.47</v>
      </c>
      <c r="P23" s="14">
        <v>0.62</v>
      </c>
      <c r="Q23" s="14">
        <v>0.63</v>
      </c>
      <c r="R23" s="14">
        <v>0.52</v>
      </c>
      <c r="S23" s="14">
        <v>0.57000000000000006</v>
      </c>
      <c r="T23" s="14">
        <v>0.48</v>
      </c>
      <c r="U23" s="14">
        <v>0.46</v>
      </c>
      <c r="V23" s="14">
        <v>0.59</v>
      </c>
      <c r="W23" s="14">
        <v>0.66</v>
      </c>
      <c r="X23" s="14">
        <v>0.43</v>
      </c>
      <c r="Y23" s="14">
        <v>0.61</v>
      </c>
      <c r="Z23" s="14">
        <v>0.64</v>
      </c>
      <c r="AA23" s="14">
        <v>0.64</v>
      </c>
      <c r="AB23" s="14">
        <v>0.55000000000000004</v>
      </c>
      <c r="AC23" s="14">
        <v>0.39</v>
      </c>
      <c r="AD23" s="14">
        <v>0.56000000000000005</v>
      </c>
      <c r="AE23" s="14">
        <v>0.56000000000000005</v>
      </c>
      <c r="AF23" s="14">
        <v>0.49</v>
      </c>
    </row>
    <row r="24" spans="1:32" x14ac:dyDescent="0.35">
      <c r="A24" s="31"/>
      <c r="B24" s="11" t="s">
        <v>512</v>
      </c>
      <c r="C24" s="12">
        <v>9874</v>
      </c>
      <c r="D24" s="12">
        <v>411</v>
      </c>
      <c r="E24" s="12">
        <v>348</v>
      </c>
      <c r="F24" s="12">
        <v>415</v>
      </c>
      <c r="G24" s="12">
        <v>329</v>
      </c>
      <c r="H24" s="12">
        <v>626</v>
      </c>
      <c r="I24" s="12">
        <v>800</v>
      </c>
      <c r="J24" s="12">
        <v>175</v>
      </c>
      <c r="K24" s="12">
        <v>312</v>
      </c>
      <c r="L24" s="12">
        <v>286</v>
      </c>
      <c r="M24" s="12">
        <v>282</v>
      </c>
      <c r="N24" s="12">
        <v>256</v>
      </c>
      <c r="O24" s="12">
        <v>394</v>
      </c>
      <c r="P24" s="12">
        <v>296</v>
      </c>
      <c r="Q24" s="12">
        <v>336</v>
      </c>
      <c r="R24" s="12">
        <v>176</v>
      </c>
      <c r="S24" s="12">
        <v>271</v>
      </c>
      <c r="T24" s="12">
        <v>406</v>
      </c>
      <c r="U24" s="12">
        <v>213</v>
      </c>
      <c r="V24" s="12">
        <v>363</v>
      </c>
      <c r="W24" s="12">
        <v>111</v>
      </c>
      <c r="X24" s="12">
        <v>510</v>
      </c>
      <c r="Y24" s="12">
        <v>270</v>
      </c>
      <c r="Z24" s="12">
        <v>297</v>
      </c>
      <c r="AA24" s="12">
        <v>193</v>
      </c>
      <c r="AB24" s="12">
        <v>382</v>
      </c>
      <c r="AC24" s="12">
        <v>516</v>
      </c>
      <c r="AD24" s="12">
        <v>366</v>
      </c>
      <c r="AE24" s="12">
        <v>341</v>
      </c>
      <c r="AF24" s="12">
        <v>460</v>
      </c>
    </row>
    <row r="25" spans="1:32" x14ac:dyDescent="0.35">
      <c r="A25" s="31"/>
      <c r="B25" s="13" t="s">
        <v>513</v>
      </c>
      <c r="C25" s="14">
        <v>0.38</v>
      </c>
      <c r="D25" s="14">
        <v>0.4</v>
      </c>
      <c r="E25" s="14">
        <v>0.33</v>
      </c>
      <c r="F25" s="14">
        <v>0.4</v>
      </c>
      <c r="G25" s="14">
        <v>0.32</v>
      </c>
      <c r="H25" s="14">
        <v>0.51</v>
      </c>
      <c r="I25" s="14">
        <v>0.52</v>
      </c>
      <c r="J25" s="14">
        <v>0.57999999999999996</v>
      </c>
      <c r="K25" s="14">
        <v>0.31</v>
      </c>
      <c r="L25" s="14">
        <v>0.28000000000000003</v>
      </c>
      <c r="M25" s="14">
        <v>0.28000000000000003</v>
      </c>
      <c r="N25" s="14">
        <v>0.25</v>
      </c>
      <c r="O25" s="14">
        <v>0.39</v>
      </c>
      <c r="P25" s="14">
        <v>0.28999999999999998</v>
      </c>
      <c r="Q25" s="14">
        <v>0.32</v>
      </c>
      <c r="R25" s="14">
        <v>0.36</v>
      </c>
      <c r="S25" s="14">
        <v>0.26</v>
      </c>
      <c r="T25" s="14">
        <v>0.4</v>
      </c>
      <c r="U25" s="14">
        <v>0.42</v>
      </c>
      <c r="V25" s="14">
        <v>0.36</v>
      </c>
      <c r="W25" s="14">
        <v>0.22</v>
      </c>
      <c r="X25" s="14">
        <v>0.51</v>
      </c>
      <c r="Y25" s="14">
        <v>0.27</v>
      </c>
      <c r="Z25" s="14">
        <v>0.28999999999999998</v>
      </c>
      <c r="AA25" s="14">
        <v>0.19</v>
      </c>
      <c r="AB25" s="14">
        <v>0.36</v>
      </c>
      <c r="AC25" s="14">
        <v>0.51</v>
      </c>
      <c r="AD25" s="14">
        <v>0.37</v>
      </c>
      <c r="AE25" s="14">
        <v>0.34</v>
      </c>
      <c r="AF25" s="14">
        <v>0.45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1079</v>
      </c>
      <c r="C3" s="30"/>
      <c r="D3" s="30"/>
      <c r="E3" s="30"/>
      <c r="F3" s="30"/>
      <c r="H3" s="30" t="s">
        <v>1080</v>
      </c>
      <c r="I3" s="30"/>
      <c r="J3" s="30"/>
      <c r="K3" s="30"/>
      <c r="L3" s="30"/>
    </row>
    <row r="4" spans="1:32" ht="27" customHeight="1" x14ac:dyDescent="0.35">
      <c r="B4" s="30" t="s">
        <v>1081</v>
      </c>
      <c r="C4" s="30"/>
      <c r="D4" s="30"/>
      <c r="E4" s="30"/>
      <c r="F4" s="30"/>
      <c r="H4" s="30" t="s">
        <v>1082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3341</v>
      </c>
      <c r="D12" s="12">
        <v>128</v>
      </c>
      <c r="E12" s="12">
        <v>141</v>
      </c>
      <c r="F12" s="12">
        <v>124</v>
      </c>
      <c r="G12" s="12">
        <v>128</v>
      </c>
      <c r="H12" s="12">
        <v>87</v>
      </c>
      <c r="I12" s="12">
        <v>112</v>
      </c>
      <c r="J12" s="12">
        <v>25</v>
      </c>
      <c r="K12" s="12">
        <v>94</v>
      </c>
      <c r="L12" s="12">
        <v>168</v>
      </c>
      <c r="M12" s="12">
        <v>156</v>
      </c>
      <c r="N12" s="12">
        <v>165</v>
      </c>
      <c r="O12" s="12">
        <v>100</v>
      </c>
      <c r="P12" s="12">
        <v>149</v>
      </c>
      <c r="Q12" s="12">
        <v>198</v>
      </c>
      <c r="R12" s="12">
        <v>58</v>
      </c>
      <c r="S12" s="12">
        <v>101</v>
      </c>
      <c r="T12" s="12">
        <v>109</v>
      </c>
      <c r="U12" s="12">
        <v>45</v>
      </c>
      <c r="V12" s="12">
        <v>173</v>
      </c>
      <c r="W12" s="12">
        <v>63</v>
      </c>
      <c r="X12" s="12">
        <v>59</v>
      </c>
      <c r="Y12" s="12">
        <v>241</v>
      </c>
      <c r="Z12" s="12">
        <v>144</v>
      </c>
      <c r="AA12" s="12">
        <v>119</v>
      </c>
      <c r="AB12" s="12">
        <v>138</v>
      </c>
      <c r="AC12" s="12">
        <v>70</v>
      </c>
      <c r="AD12" s="12">
        <v>156</v>
      </c>
      <c r="AE12" s="12">
        <v>78</v>
      </c>
      <c r="AF12" s="12">
        <v>79</v>
      </c>
    </row>
    <row r="13" spans="1:32" x14ac:dyDescent="0.35">
      <c r="A13" s="31"/>
      <c r="B13" s="13" t="s">
        <v>503</v>
      </c>
      <c r="C13" s="14">
        <v>0.13</v>
      </c>
      <c r="D13" s="14">
        <v>0.13</v>
      </c>
      <c r="E13" s="14">
        <v>0.14000000000000001</v>
      </c>
      <c r="F13" s="14">
        <v>0.12</v>
      </c>
      <c r="G13" s="14">
        <v>0.13</v>
      </c>
      <c r="H13" s="14">
        <v>7.0000000000000007E-2</v>
      </c>
      <c r="I13" s="14">
        <v>7.0000000000000007E-2</v>
      </c>
      <c r="J13" s="14">
        <v>0.09</v>
      </c>
      <c r="K13" s="14">
        <v>0.09</v>
      </c>
      <c r="L13" s="14">
        <v>0.17</v>
      </c>
      <c r="M13" s="14">
        <v>0.16</v>
      </c>
      <c r="N13" s="14">
        <v>0.17</v>
      </c>
      <c r="O13" s="14">
        <v>0.1</v>
      </c>
      <c r="P13" s="14">
        <v>0.15</v>
      </c>
      <c r="Q13" s="14">
        <v>0.19</v>
      </c>
      <c r="R13" s="14">
        <v>0.12</v>
      </c>
      <c r="S13" s="14">
        <v>0.1</v>
      </c>
      <c r="T13" s="14">
        <v>0.11</v>
      </c>
      <c r="U13" s="14">
        <v>0.09</v>
      </c>
      <c r="V13" s="14">
        <v>0.17</v>
      </c>
      <c r="W13" s="14">
        <v>0.13</v>
      </c>
      <c r="X13" s="14">
        <v>0.06</v>
      </c>
      <c r="Y13" s="14">
        <v>0.24</v>
      </c>
      <c r="Z13" s="14">
        <v>0.14000000000000001</v>
      </c>
      <c r="AA13" s="14">
        <v>0.12</v>
      </c>
      <c r="AB13" s="14">
        <v>0.13</v>
      </c>
      <c r="AC13" s="14">
        <v>7.0000000000000007E-2</v>
      </c>
      <c r="AD13" s="14">
        <v>0.16</v>
      </c>
      <c r="AE13" s="14">
        <v>0.08</v>
      </c>
      <c r="AF13" s="14">
        <v>0.08</v>
      </c>
    </row>
    <row r="14" spans="1:32" x14ac:dyDescent="0.35">
      <c r="A14" s="31"/>
      <c r="B14" s="11" t="s">
        <v>504</v>
      </c>
      <c r="C14" s="12">
        <v>11368</v>
      </c>
      <c r="D14" s="12">
        <v>474</v>
      </c>
      <c r="E14" s="12">
        <v>412</v>
      </c>
      <c r="F14" s="12">
        <v>409</v>
      </c>
      <c r="G14" s="12">
        <v>494</v>
      </c>
      <c r="H14" s="12">
        <v>481</v>
      </c>
      <c r="I14" s="12">
        <v>580</v>
      </c>
      <c r="J14" s="12">
        <v>99</v>
      </c>
      <c r="K14" s="12">
        <v>525</v>
      </c>
      <c r="L14" s="12">
        <v>439</v>
      </c>
      <c r="M14" s="12">
        <v>415</v>
      </c>
      <c r="N14" s="12">
        <v>391</v>
      </c>
      <c r="O14" s="12">
        <v>401</v>
      </c>
      <c r="P14" s="12">
        <v>513</v>
      </c>
      <c r="Q14" s="12">
        <v>496</v>
      </c>
      <c r="R14" s="12">
        <v>207</v>
      </c>
      <c r="S14" s="12">
        <v>476</v>
      </c>
      <c r="T14" s="12">
        <v>458</v>
      </c>
      <c r="U14" s="12">
        <v>232</v>
      </c>
      <c r="V14" s="12">
        <v>452</v>
      </c>
      <c r="W14" s="12">
        <v>262</v>
      </c>
      <c r="X14" s="12">
        <v>416</v>
      </c>
      <c r="Y14" s="12">
        <v>423</v>
      </c>
      <c r="Z14" s="12">
        <v>530</v>
      </c>
      <c r="AA14" s="12">
        <v>563</v>
      </c>
      <c r="AB14" s="12">
        <v>451</v>
      </c>
      <c r="AC14" s="12">
        <v>408</v>
      </c>
      <c r="AD14" s="12">
        <v>445</v>
      </c>
      <c r="AE14" s="12">
        <v>489</v>
      </c>
      <c r="AF14" s="12">
        <v>451</v>
      </c>
    </row>
    <row r="15" spans="1:32" x14ac:dyDescent="0.35">
      <c r="A15" s="31"/>
      <c r="B15" s="13" t="s">
        <v>505</v>
      </c>
      <c r="C15" s="14">
        <v>0.43</v>
      </c>
      <c r="D15" s="14">
        <v>0.46</v>
      </c>
      <c r="E15" s="14">
        <v>0.4</v>
      </c>
      <c r="F15" s="14">
        <v>0.4</v>
      </c>
      <c r="G15" s="14">
        <v>0.48</v>
      </c>
      <c r="H15" s="14">
        <v>0.39</v>
      </c>
      <c r="I15" s="14">
        <v>0.38</v>
      </c>
      <c r="J15" s="14">
        <v>0.33</v>
      </c>
      <c r="K15" s="14">
        <v>0.52</v>
      </c>
      <c r="L15" s="14">
        <v>0.43</v>
      </c>
      <c r="M15" s="14">
        <v>0.41</v>
      </c>
      <c r="N15" s="14">
        <v>0.39</v>
      </c>
      <c r="O15" s="14">
        <v>0.4</v>
      </c>
      <c r="P15" s="14">
        <v>0.51</v>
      </c>
      <c r="Q15" s="14">
        <v>0.48</v>
      </c>
      <c r="R15" s="14">
        <v>0.41</v>
      </c>
      <c r="S15" s="14">
        <v>0.47</v>
      </c>
      <c r="T15" s="14">
        <v>0.45</v>
      </c>
      <c r="U15" s="14">
        <v>0.45</v>
      </c>
      <c r="V15" s="14">
        <v>0.45</v>
      </c>
      <c r="W15" s="14">
        <v>0.52</v>
      </c>
      <c r="X15" s="14">
        <v>0.41</v>
      </c>
      <c r="Y15" s="14">
        <v>0.42</v>
      </c>
      <c r="Z15" s="14">
        <v>0.52</v>
      </c>
      <c r="AA15" s="14">
        <v>0.55000000000000004</v>
      </c>
      <c r="AB15" s="14">
        <v>0.43</v>
      </c>
      <c r="AC15" s="14">
        <v>0.4</v>
      </c>
      <c r="AD15" s="14">
        <v>0.44</v>
      </c>
      <c r="AE15" s="14">
        <v>0.48</v>
      </c>
      <c r="AF15" s="14">
        <v>0.44</v>
      </c>
    </row>
    <row r="16" spans="1:32" x14ac:dyDescent="0.35">
      <c r="A16" s="31"/>
      <c r="B16" s="11" t="s">
        <v>506</v>
      </c>
      <c r="C16" s="12">
        <v>6893</v>
      </c>
      <c r="D16" s="12">
        <v>321</v>
      </c>
      <c r="E16" s="12">
        <v>232</v>
      </c>
      <c r="F16" s="12">
        <v>289</v>
      </c>
      <c r="G16" s="12">
        <v>217</v>
      </c>
      <c r="H16" s="12">
        <v>405</v>
      </c>
      <c r="I16" s="12">
        <v>519</v>
      </c>
      <c r="J16" s="12">
        <v>114</v>
      </c>
      <c r="K16" s="12">
        <v>213</v>
      </c>
      <c r="L16" s="12">
        <v>219</v>
      </c>
      <c r="M16" s="12">
        <v>261</v>
      </c>
      <c r="N16" s="12">
        <v>204</v>
      </c>
      <c r="O16" s="12">
        <v>255</v>
      </c>
      <c r="P16" s="12">
        <v>227</v>
      </c>
      <c r="Q16" s="12">
        <v>220</v>
      </c>
      <c r="R16" s="12">
        <v>118</v>
      </c>
      <c r="S16" s="12">
        <v>239</v>
      </c>
      <c r="T16" s="12">
        <v>219</v>
      </c>
      <c r="U16" s="12">
        <v>121</v>
      </c>
      <c r="V16" s="12">
        <v>250</v>
      </c>
      <c r="W16" s="12">
        <v>97</v>
      </c>
      <c r="X16" s="12">
        <v>397</v>
      </c>
      <c r="Y16" s="12">
        <v>143</v>
      </c>
      <c r="Z16" s="12">
        <v>241</v>
      </c>
      <c r="AA16" s="12">
        <v>137</v>
      </c>
      <c r="AB16" s="12">
        <v>284</v>
      </c>
      <c r="AC16" s="12">
        <v>301</v>
      </c>
      <c r="AD16" s="12">
        <v>238</v>
      </c>
      <c r="AE16" s="12">
        <v>291</v>
      </c>
      <c r="AF16" s="12">
        <v>349</v>
      </c>
    </row>
    <row r="17" spans="1:32" x14ac:dyDescent="0.35">
      <c r="A17" s="31"/>
      <c r="B17" s="13" t="s">
        <v>507</v>
      </c>
      <c r="C17" s="14">
        <v>0.26</v>
      </c>
      <c r="D17" s="14">
        <v>0.31</v>
      </c>
      <c r="E17" s="14">
        <v>0.22</v>
      </c>
      <c r="F17" s="14">
        <v>0.28999999999999998</v>
      </c>
      <c r="G17" s="14">
        <v>0.21</v>
      </c>
      <c r="H17" s="14">
        <v>0.33</v>
      </c>
      <c r="I17" s="14">
        <v>0.34</v>
      </c>
      <c r="J17" s="14">
        <v>0.38</v>
      </c>
      <c r="K17" s="14">
        <v>0.21</v>
      </c>
      <c r="L17" s="14">
        <v>0.22</v>
      </c>
      <c r="M17" s="14">
        <v>0.26</v>
      </c>
      <c r="N17" s="14">
        <v>0.2</v>
      </c>
      <c r="O17" s="14">
        <v>0.26</v>
      </c>
      <c r="P17" s="14">
        <v>0.23</v>
      </c>
      <c r="Q17" s="14">
        <v>0.21</v>
      </c>
      <c r="R17" s="14">
        <v>0.24</v>
      </c>
      <c r="S17" s="14">
        <v>0.23</v>
      </c>
      <c r="T17" s="14">
        <v>0.22</v>
      </c>
      <c r="U17" s="14">
        <v>0.24</v>
      </c>
      <c r="V17" s="14">
        <v>0.25</v>
      </c>
      <c r="W17" s="14">
        <v>0.19</v>
      </c>
      <c r="X17" s="14">
        <v>0.39</v>
      </c>
      <c r="Y17" s="14">
        <v>0.14000000000000001</v>
      </c>
      <c r="Z17" s="14">
        <v>0.24</v>
      </c>
      <c r="AA17" s="14">
        <v>0.13</v>
      </c>
      <c r="AB17" s="14">
        <v>0.27</v>
      </c>
      <c r="AC17" s="14">
        <v>0.3</v>
      </c>
      <c r="AD17" s="14">
        <v>0.24</v>
      </c>
      <c r="AE17" s="14">
        <v>0.28999999999999998</v>
      </c>
      <c r="AF17" s="14">
        <v>0.34</v>
      </c>
    </row>
    <row r="18" spans="1:32" x14ac:dyDescent="0.35">
      <c r="A18" s="31"/>
      <c r="B18" s="11" t="s">
        <v>508</v>
      </c>
      <c r="C18" s="12">
        <v>1943</v>
      </c>
      <c r="D18" s="12">
        <v>60</v>
      </c>
      <c r="E18" s="12">
        <v>73</v>
      </c>
      <c r="F18" s="12">
        <v>74</v>
      </c>
      <c r="G18" s="12">
        <v>49</v>
      </c>
      <c r="H18" s="12">
        <v>100</v>
      </c>
      <c r="I18" s="12">
        <v>130</v>
      </c>
      <c r="J18" s="12">
        <v>30</v>
      </c>
      <c r="K18" s="12">
        <v>56</v>
      </c>
      <c r="L18" s="12">
        <v>40</v>
      </c>
      <c r="M18" s="12">
        <v>70</v>
      </c>
      <c r="N18" s="12">
        <v>112</v>
      </c>
      <c r="O18" s="12">
        <v>85</v>
      </c>
      <c r="P18" s="12">
        <v>36</v>
      </c>
      <c r="Q18" s="12">
        <v>63</v>
      </c>
      <c r="R18" s="12">
        <v>51</v>
      </c>
      <c r="S18" s="12">
        <v>40</v>
      </c>
      <c r="T18" s="12">
        <v>54</v>
      </c>
      <c r="U18" s="12">
        <v>46</v>
      </c>
      <c r="V18" s="12">
        <v>86</v>
      </c>
      <c r="W18" s="12">
        <v>22</v>
      </c>
      <c r="X18" s="12">
        <v>64</v>
      </c>
      <c r="Y18" s="12">
        <v>72</v>
      </c>
      <c r="Z18" s="12">
        <v>34</v>
      </c>
      <c r="AA18" s="12">
        <v>24</v>
      </c>
      <c r="AB18" s="12">
        <v>94</v>
      </c>
      <c r="AC18" s="12">
        <v>124</v>
      </c>
      <c r="AD18" s="12">
        <v>93</v>
      </c>
      <c r="AE18" s="12">
        <v>37</v>
      </c>
      <c r="AF18" s="12">
        <v>51</v>
      </c>
    </row>
    <row r="19" spans="1:32" x14ac:dyDescent="0.35">
      <c r="A19" s="31"/>
      <c r="B19" s="13" t="s">
        <v>509</v>
      </c>
      <c r="C19" s="14">
        <v>7.0000000000000007E-2</v>
      </c>
      <c r="D19" s="14">
        <v>0.06</v>
      </c>
      <c r="E19" s="14">
        <v>7.0000000000000007E-2</v>
      </c>
      <c r="F19" s="14">
        <v>7.0000000000000007E-2</v>
      </c>
      <c r="G19" s="14">
        <v>0.05</v>
      </c>
      <c r="H19" s="14">
        <v>0.08</v>
      </c>
      <c r="I19" s="14">
        <v>0.09</v>
      </c>
      <c r="J19" s="14">
        <v>0.1</v>
      </c>
      <c r="K19" s="14">
        <v>0.06</v>
      </c>
      <c r="L19" s="14">
        <v>0.04</v>
      </c>
      <c r="M19" s="14">
        <v>7.0000000000000007E-2</v>
      </c>
      <c r="N19" s="14">
        <v>0.11</v>
      </c>
      <c r="O19" s="14">
        <v>0.08</v>
      </c>
      <c r="P19" s="14">
        <v>0.03</v>
      </c>
      <c r="Q19" s="14">
        <v>0.06</v>
      </c>
      <c r="R19" s="14">
        <v>0.1</v>
      </c>
      <c r="S19" s="14">
        <v>0.04</v>
      </c>
      <c r="T19" s="14">
        <v>0.05</v>
      </c>
      <c r="U19" s="14">
        <v>0.09</v>
      </c>
      <c r="V19" s="14">
        <v>0.08</v>
      </c>
      <c r="W19" s="14">
        <v>0.04</v>
      </c>
      <c r="X19" s="14">
        <v>7.0000000000000007E-2</v>
      </c>
      <c r="Y19" s="14">
        <v>7.0000000000000007E-2</v>
      </c>
      <c r="Z19" s="14">
        <v>0.03</v>
      </c>
      <c r="AA19" s="14">
        <v>0.02</v>
      </c>
      <c r="AB19" s="14">
        <v>0.09</v>
      </c>
      <c r="AC19" s="14">
        <v>0.12</v>
      </c>
      <c r="AD19" s="14">
        <v>0.09</v>
      </c>
      <c r="AE19" s="14">
        <v>0.04</v>
      </c>
      <c r="AF19" s="14">
        <v>0.05</v>
      </c>
    </row>
    <row r="20" spans="1:32" x14ac:dyDescent="0.35">
      <c r="A20" s="31"/>
      <c r="B20" s="11" t="s">
        <v>344</v>
      </c>
      <c r="C20" s="12">
        <v>2865</v>
      </c>
      <c r="D20" s="12">
        <v>42</v>
      </c>
      <c r="E20" s="12">
        <v>180</v>
      </c>
      <c r="F20" s="12">
        <v>122</v>
      </c>
      <c r="G20" s="12">
        <v>128</v>
      </c>
      <c r="H20" s="12">
        <v>159</v>
      </c>
      <c r="I20" s="12">
        <v>189</v>
      </c>
      <c r="J20" s="12">
        <v>30</v>
      </c>
      <c r="K20" s="12">
        <v>121</v>
      </c>
      <c r="L20" s="12">
        <v>138</v>
      </c>
      <c r="M20" s="12">
        <v>102</v>
      </c>
      <c r="N20" s="12">
        <v>129</v>
      </c>
      <c r="O20" s="12">
        <v>159</v>
      </c>
      <c r="P20" s="12">
        <v>79</v>
      </c>
      <c r="Q20" s="12">
        <v>57</v>
      </c>
      <c r="R20" s="12">
        <v>67</v>
      </c>
      <c r="S20" s="12">
        <v>165</v>
      </c>
      <c r="T20" s="12">
        <v>177</v>
      </c>
      <c r="U20" s="12">
        <v>65</v>
      </c>
      <c r="V20" s="12">
        <v>53</v>
      </c>
      <c r="W20" s="12">
        <v>58</v>
      </c>
      <c r="X20" s="12">
        <v>73</v>
      </c>
      <c r="Y20" s="12">
        <v>125</v>
      </c>
      <c r="Z20" s="12">
        <v>71</v>
      </c>
      <c r="AA20" s="12">
        <v>187</v>
      </c>
      <c r="AB20" s="12">
        <v>89</v>
      </c>
      <c r="AC20" s="12">
        <v>109</v>
      </c>
      <c r="AD20" s="12">
        <v>72</v>
      </c>
      <c r="AE20" s="12">
        <v>112</v>
      </c>
      <c r="AF20" s="12">
        <v>89</v>
      </c>
    </row>
    <row r="21" spans="1:32" x14ac:dyDescent="0.35">
      <c r="A21" s="31"/>
      <c r="B21" s="13" t="s">
        <v>357</v>
      </c>
      <c r="C21" s="14">
        <v>0.11</v>
      </c>
      <c r="D21" s="14">
        <v>0.04</v>
      </c>
      <c r="E21" s="14">
        <v>0.17</v>
      </c>
      <c r="F21" s="14">
        <v>0.12</v>
      </c>
      <c r="G21" s="14">
        <v>0.13</v>
      </c>
      <c r="H21" s="14">
        <v>0.13</v>
      </c>
      <c r="I21" s="14">
        <v>0.12</v>
      </c>
      <c r="J21" s="14">
        <v>0.1</v>
      </c>
      <c r="K21" s="14">
        <v>0.12</v>
      </c>
      <c r="L21" s="14">
        <v>0.14000000000000001</v>
      </c>
      <c r="M21" s="14">
        <v>0.1</v>
      </c>
      <c r="N21" s="14">
        <v>0.13</v>
      </c>
      <c r="O21" s="14">
        <v>0.16</v>
      </c>
      <c r="P21" s="14">
        <v>0.08</v>
      </c>
      <c r="Q21" s="14">
        <v>0.06</v>
      </c>
      <c r="R21" s="14">
        <v>0.13</v>
      </c>
      <c r="S21" s="14">
        <v>0.16</v>
      </c>
      <c r="T21" s="14">
        <v>0.17</v>
      </c>
      <c r="U21" s="14">
        <v>0.13</v>
      </c>
      <c r="V21" s="14">
        <v>0.05</v>
      </c>
      <c r="W21" s="14">
        <v>0.12</v>
      </c>
      <c r="X21" s="14">
        <v>7.0000000000000007E-2</v>
      </c>
      <c r="Y21" s="14">
        <v>0.13</v>
      </c>
      <c r="Z21" s="14">
        <v>7.0000000000000007E-2</v>
      </c>
      <c r="AA21" s="14">
        <v>0.18</v>
      </c>
      <c r="AB21" s="14">
        <v>0.08</v>
      </c>
      <c r="AC21" s="14">
        <v>0.11</v>
      </c>
      <c r="AD21" s="14">
        <v>7.0000000000000007E-2</v>
      </c>
      <c r="AE21" s="14">
        <v>0.11</v>
      </c>
      <c r="AF21" s="14">
        <v>0.09</v>
      </c>
    </row>
    <row r="22" spans="1:32" x14ac:dyDescent="0.35">
      <c r="A22" s="31"/>
      <c r="B22" s="11" t="s">
        <v>510</v>
      </c>
      <c r="C22" s="12">
        <v>14709</v>
      </c>
      <c r="D22" s="12">
        <v>602</v>
      </c>
      <c r="E22" s="12">
        <v>553</v>
      </c>
      <c r="F22" s="12">
        <v>533</v>
      </c>
      <c r="G22" s="12">
        <v>622</v>
      </c>
      <c r="H22" s="12">
        <v>568</v>
      </c>
      <c r="I22" s="12">
        <v>692</v>
      </c>
      <c r="J22" s="12">
        <v>124</v>
      </c>
      <c r="K22" s="12">
        <v>619</v>
      </c>
      <c r="L22" s="12">
        <v>607</v>
      </c>
      <c r="M22" s="12">
        <v>571</v>
      </c>
      <c r="N22" s="12">
        <v>556</v>
      </c>
      <c r="O22" s="12">
        <v>501</v>
      </c>
      <c r="P22" s="12">
        <v>662</v>
      </c>
      <c r="Q22" s="12">
        <v>694</v>
      </c>
      <c r="R22" s="12">
        <v>265</v>
      </c>
      <c r="S22" s="12">
        <v>577</v>
      </c>
      <c r="T22" s="12">
        <v>567</v>
      </c>
      <c r="U22" s="12">
        <v>277</v>
      </c>
      <c r="V22" s="12">
        <v>625</v>
      </c>
      <c r="W22" s="12">
        <v>325</v>
      </c>
      <c r="X22" s="12">
        <v>475</v>
      </c>
      <c r="Y22" s="12">
        <v>664</v>
      </c>
      <c r="Z22" s="12">
        <v>674</v>
      </c>
      <c r="AA22" s="12">
        <v>682</v>
      </c>
      <c r="AB22" s="12">
        <v>589</v>
      </c>
      <c r="AC22" s="12">
        <v>478</v>
      </c>
      <c r="AD22" s="12">
        <v>601</v>
      </c>
      <c r="AE22" s="12">
        <v>567</v>
      </c>
      <c r="AF22" s="12">
        <v>530</v>
      </c>
    </row>
    <row r="23" spans="1:32" x14ac:dyDescent="0.35">
      <c r="A23" s="31"/>
      <c r="B23" s="13" t="s">
        <v>511</v>
      </c>
      <c r="C23" s="14">
        <v>0.56000000000000005</v>
      </c>
      <c r="D23" s="14">
        <v>0.59</v>
      </c>
      <c r="E23" s="14">
        <v>0.54</v>
      </c>
      <c r="F23" s="14">
        <v>0.52</v>
      </c>
      <c r="G23" s="14">
        <v>0.61</v>
      </c>
      <c r="H23" s="14">
        <v>0.46</v>
      </c>
      <c r="I23" s="14">
        <v>0.45</v>
      </c>
      <c r="J23" s="14">
        <v>0.42</v>
      </c>
      <c r="K23" s="14">
        <v>0.61</v>
      </c>
      <c r="L23" s="14">
        <v>0.6</v>
      </c>
      <c r="M23" s="14">
        <v>0.57000000000000006</v>
      </c>
      <c r="N23" s="14">
        <v>0.56000000000000005</v>
      </c>
      <c r="O23" s="14">
        <v>0.5</v>
      </c>
      <c r="P23" s="14">
        <v>0.66</v>
      </c>
      <c r="Q23" s="14">
        <v>0.67</v>
      </c>
      <c r="R23" s="14">
        <v>0.53</v>
      </c>
      <c r="S23" s="14">
        <v>0.57000000000000006</v>
      </c>
      <c r="T23" s="14">
        <v>0.56000000000000005</v>
      </c>
      <c r="U23" s="14">
        <v>0.54</v>
      </c>
      <c r="V23" s="14">
        <v>0.62</v>
      </c>
      <c r="W23" s="14">
        <v>0.65</v>
      </c>
      <c r="X23" s="14">
        <v>0.47</v>
      </c>
      <c r="Y23" s="14">
        <v>0.66</v>
      </c>
      <c r="Z23" s="14">
        <v>0.66</v>
      </c>
      <c r="AA23" s="14">
        <v>0.67</v>
      </c>
      <c r="AB23" s="14">
        <v>0.56000000000000005</v>
      </c>
      <c r="AC23" s="14">
        <v>0.47</v>
      </c>
      <c r="AD23" s="14">
        <v>0.6</v>
      </c>
      <c r="AE23" s="14">
        <v>0.56000000000000005</v>
      </c>
      <c r="AF23" s="14">
        <v>0.52</v>
      </c>
    </row>
    <row r="24" spans="1:32" x14ac:dyDescent="0.35">
      <c r="A24" s="31"/>
      <c r="B24" s="11" t="s">
        <v>512</v>
      </c>
      <c r="C24" s="12">
        <v>8836</v>
      </c>
      <c r="D24" s="12">
        <v>381</v>
      </c>
      <c r="E24" s="12">
        <v>305</v>
      </c>
      <c r="F24" s="12">
        <v>363</v>
      </c>
      <c r="G24" s="12">
        <v>266</v>
      </c>
      <c r="H24" s="12">
        <v>505</v>
      </c>
      <c r="I24" s="12">
        <v>649</v>
      </c>
      <c r="J24" s="12">
        <v>144</v>
      </c>
      <c r="K24" s="12">
        <v>269</v>
      </c>
      <c r="L24" s="12">
        <v>259</v>
      </c>
      <c r="M24" s="12">
        <v>331</v>
      </c>
      <c r="N24" s="12">
        <v>316</v>
      </c>
      <c r="O24" s="12">
        <v>340</v>
      </c>
      <c r="P24" s="12">
        <v>263</v>
      </c>
      <c r="Q24" s="12">
        <v>283</v>
      </c>
      <c r="R24" s="12">
        <v>169</v>
      </c>
      <c r="S24" s="12">
        <v>279</v>
      </c>
      <c r="T24" s="12">
        <v>273</v>
      </c>
      <c r="U24" s="12">
        <v>167</v>
      </c>
      <c r="V24" s="12">
        <v>336</v>
      </c>
      <c r="W24" s="12">
        <v>119</v>
      </c>
      <c r="X24" s="12">
        <v>461</v>
      </c>
      <c r="Y24" s="12">
        <v>215</v>
      </c>
      <c r="Z24" s="12">
        <v>275</v>
      </c>
      <c r="AA24" s="12">
        <v>161</v>
      </c>
      <c r="AB24" s="12">
        <v>378</v>
      </c>
      <c r="AC24" s="12">
        <v>425</v>
      </c>
      <c r="AD24" s="12">
        <v>331</v>
      </c>
      <c r="AE24" s="12">
        <v>328</v>
      </c>
      <c r="AF24" s="12">
        <v>400</v>
      </c>
    </row>
    <row r="25" spans="1:32" x14ac:dyDescent="0.35">
      <c r="A25" s="31"/>
      <c r="B25" s="13" t="s">
        <v>513</v>
      </c>
      <c r="C25" s="14">
        <v>0.33</v>
      </c>
      <c r="D25" s="14">
        <v>0.37</v>
      </c>
      <c r="E25" s="14">
        <v>0.28999999999999998</v>
      </c>
      <c r="F25" s="14">
        <v>0.36</v>
      </c>
      <c r="G25" s="14">
        <v>0.26</v>
      </c>
      <c r="H25" s="14">
        <v>0.41</v>
      </c>
      <c r="I25" s="14">
        <v>0.43</v>
      </c>
      <c r="J25" s="14">
        <v>0.48</v>
      </c>
      <c r="K25" s="14">
        <v>0.27</v>
      </c>
      <c r="L25" s="14">
        <v>0.26</v>
      </c>
      <c r="M25" s="14">
        <v>0.33</v>
      </c>
      <c r="N25" s="14">
        <v>0.31</v>
      </c>
      <c r="O25" s="14">
        <v>0.34</v>
      </c>
      <c r="P25" s="14">
        <v>0.26</v>
      </c>
      <c r="Q25" s="14">
        <v>0.27</v>
      </c>
      <c r="R25" s="14">
        <v>0.34</v>
      </c>
      <c r="S25" s="14">
        <v>0.27</v>
      </c>
      <c r="T25" s="14">
        <v>0.27</v>
      </c>
      <c r="U25" s="14">
        <v>0.33</v>
      </c>
      <c r="V25" s="14">
        <v>0.33</v>
      </c>
      <c r="W25" s="14">
        <v>0.23</v>
      </c>
      <c r="X25" s="14">
        <v>0.46</v>
      </c>
      <c r="Y25" s="14">
        <v>0.21</v>
      </c>
      <c r="Z25" s="14">
        <v>0.27</v>
      </c>
      <c r="AA25" s="14">
        <v>0.15</v>
      </c>
      <c r="AB25" s="14">
        <v>0.36</v>
      </c>
      <c r="AC25" s="14">
        <v>0.42</v>
      </c>
      <c r="AD25" s="14">
        <v>0.33</v>
      </c>
      <c r="AE25" s="14">
        <v>0.33</v>
      </c>
      <c r="AF25" s="14">
        <v>0.39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207</v>
      </c>
      <c r="C3" s="30"/>
      <c r="D3" s="30"/>
      <c r="E3" s="30"/>
      <c r="F3" s="30"/>
      <c r="H3" s="30" t="s">
        <v>208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1083</v>
      </c>
      <c r="C12" s="12">
        <v>3251</v>
      </c>
      <c r="D12" s="12">
        <v>143</v>
      </c>
      <c r="E12" s="12">
        <v>111</v>
      </c>
      <c r="F12" s="12">
        <v>123</v>
      </c>
      <c r="G12" s="12">
        <v>147</v>
      </c>
      <c r="H12" s="12">
        <v>147</v>
      </c>
      <c r="I12" s="12">
        <v>178</v>
      </c>
      <c r="J12" s="12">
        <v>31</v>
      </c>
      <c r="K12" s="12">
        <v>125</v>
      </c>
      <c r="L12" s="12">
        <v>156</v>
      </c>
      <c r="M12" s="12">
        <v>120</v>
      </c>
      <c r="N12" s="12">
        <v>124</v>
      </c>
      <c r="O12" s="12">
        <v>144</v>
      </c>
      <c r="P12" s="12">
        <v>119</v>
      </c>
      <c r="Q12" s="12">
        <v>117</v>
      </c>
      <c r="R12" s="12">
        <v>61</v>
      </c>
      <c r="S12" s="12">
        <v>122</v>
      </c>
      <c r="T12" s="12">
        <v>113</v>
      </c>
      <c r="U12" s="12">
        <v>67</v>
      </c>
      <c r="V12" s="12">
        <v>125</v>
      </c>
      <c r="W12" s="12">
        <v>55</v>
      </c>
      <c r="X12" s="12">
        <v>146</v>
      </c>
      <c r="Y12" s="12">
        <v>122</v>
      </c>
      <c r="Z12" s="12">
        <v>118</v>
      </c>
      <c r="AA12" s="12">
        <v>122</v>
      </c>
      <c r="AB12" s="12">
        <v>137</v>
      </c>
      <c r="AC12" s="12">
        <v>116</v>
      </c>
      <c r="AD12" s="12">
        <v>117</v>
      </c>
      <c r="AE12" s="12">
        <v>131</v>
      </c>
      <c r="AF12" s="12">
        <v>54</v>
      </c>
    </row>
    <row r="13" spans="1:32" x14ac:dyDescent="0.35">
      <c r="A13" s="31"/>
      <c r="B13" s="13" t="s">
        <v>1083</v>
      </c>
      <c r="C13" s="14">
        <v>0.12</v>
      </c>
      <c r="D13" s="14">
        <v>0.14000000000000001</v>
      </c>
      <c r="E13" s="14">
        <v>0.11</v>
      </c>
      <c r="F13" s="14">
        <v>0.12</v>
      </c>
      <c r="G13" s="14">
        <v>0.15</v>
      </c>
      <c r="H13" s="14">
        <v>0.12</v>
      </c>
      <c r="I13" s="14">
        <v>0.12</v>
      </c>
      <c r="J13" s="14">
        <v>0.11</v>
      </c>
      <c r="K13" s="14">
        <v>0.12</v>
      </c>
      <c r="L13" s="14">
        <v>0.16</v>
      </c>
      <c r="M13" s="14">
        <v>0.12</v>
      </c>
      <c r="N13" s="14">
        <v>0.12</v>
      </c>
      <c r="O13" s="14">
        <v>0.14000000000000001</v>
      </c>
      <c r="P13" s="14">
        <v>0.12</v>
      </c>
      <c r="Q13" s="14">
        <v>0.11</v>
      </c>
      <c r="R13" s="14">
        <v>0.12</v>
      </c>
      <c r="S13" s="14">
        <v>0.12</v>
      </c>
      <c r="T13" s="14">
        <v>0.11</v>
      </c>
      <c r="U13" s="14">
        <v>0.13</v>
      </c>
      <c r="V13" s="14">
        <v>0.12</v>
      </c>
      <c r="W13" s="14">
        <v>0.11</v>
      </c>
      <c r="X13" s="14">
        <v>0.15</v>
      </c>
      <c r="Y13" s="14">
        <v>0.12</v>
      </c>
      <c r="Z13" s="14">
        <v>0.12</v>
      </c>
      <c r="AA13" s="14">
        <v>0.12</v>
      </c>
      <c r="AB13" s="14">
        <v>0.13</v>
      </c>
      <c r="AC13" s="14">
        <v>0.11</v>
      </c>
      <c r="AD13" s="14">
        <v>0.12</v>
      </c>
      <c r="AE13" s="14">
        <v>0.13</v>
      </c>
      <c r="AF13" s="14">
        <v>0.05</v>
      </c>
    </row>
    <row r="14" spans="1:32" x14ac:dyDescent="0.35">
      <c r="A14" s="31"/>
      <c r="B14" s="11" t="s">
        <v>1084</v>
      </c>
      <c r="C14" s="12">
        <v>5673</v>
      </c>
      <c r="D14" s="12">
        <v>238</v>
      </c>
      <c r="E14" s="12">
        <v>200</v>
      </c>
      <c r="F14" s="12">
        <v>222</v>
      </c>
      <c r="G14" s="12">
        <v>237</v>
      </c>
      <c r="H14" s="12">
        <v>277</v>
      </c>
      <c r="I14" s="12">
        <v>338</v>
      </c>
      <c r="J14" s="12">
        <v>61</v>
      </c>
      <c r="K14" s="12">
        <v>239</v>
      </c>
      <c r="L14" s="12">
        <v>240</v>
      </c>
      <c r="M14" s="12">
        <v>188</v>
      </c>
      <c r="N14" s="12">
        <v>202</v>
      </c>
      <c r="O14" s="12">
        <v>215</v>
      </c>
      <c r="P14" s="12">
        <v>212</v>
      </c>
      <c r="Q14" s="12">
        <v>192</v>
      </c>
      <c r="R14" s="12">
        <v>139</v>
      </c>
      <c r="S14" s="12">
        <v>225</v>
      </c>
      <c r="T14" s="12">
        <v>241</v>
      </c>
      <c r="U14" s="12">
        <v>143</v>
      </c>
      <c r="V14" s="12">
        <v>222</v>
      </c>
      <c r="W14" s="12">
        <v>162</v>
      </c>
      <c r="X14" s="12">
        <v>233</v>
      </c>
      <c r="Y14" s="12">
        <v>237</v>
      </c>
      <c r="Z14" s="12">
        <v>241</v>
      </c>
      <c r="AA14" s="12">
        <v>199</v>
      </c>
      <c r="AB14" s="12">
        <v>225</v>
      </c>
      <c r="AC14" s="12">
        <v>211</v>
      </c>
      <c r="AD14" s="12">
        <v>241</v>
      </c>
      <c r="AE14" s="12">
        <v>230</v>
      </c>
      <c r="AF14" s="12">
        <v>256</v>
      </c>
    </row>
    <row r="15" spans="1:32" x14ac:dyDescent="0.35">
      <c r="A15" s="31"/>
      <c r="B15" s="13" t="s">
        <v>1084</v>
      </c>
      <c r="C15" s="14">
        <v>0.21</v>
      </c>
      <c r="D15" s="14">
        <v>0.23</v>
      </c>
      <c r="E15" s="14">
        <v>0.19</v>
      </c>
      <c r="F15" s="14">
        <v>0.22</v>
      </c>
      <c r="G15" s="14">
        <v>0.23</v>
      </c>
      <c r="H15" s="14">
        <v>0.22</v>
      </c>
      <c r="I15" s="14">
        <v>0.22</v>
      </c>
      <c r="J15" s="14">
        <v>0.2</v>
      </c>
      <c r="K15" s="14">
        <v>0.24</v>
      </c>
      <c r="L15" s="14">
        <v>0.24</v>
      </c>
      <c r="M15" s="14">
        <v>0.19</v>
      </c>
      <c r="N15" s="14">
        <v>0.2</v>
      </c>
      <c r="O15" s="14">
        <v>0.22</v>
      </c>
      <c r="P15" s="14">
        <v>0.21</v>
      </c>
      <c r="Q15" s="14">
        <v>0.19</v>
      </c>
      <c r="R15" s="14">
        <v>0.28000000000000003</v>
      </c>
      <c r="S15" s="14">
        <v>0.22</v>
      </c>
      <c r="T15" s="14">
        <v>0.24</v>
      </c>
      <c r="U15" s="14">
        <v>0.28000000000000003</v>
      </c>
      <c r="V15" s="14">
        <v>0.22</v>
      </c>
      <c r="W15" s="14">
        <v>0.32</v>
      </c>
      <c r="X15" s="14">
        <v>0.23</v>
      </c>
      <c r="Y15" s="14">
        <v>0.24</v>
      </c>
      <c r="Z15" s="14">
        <v>0.24</v>
      </c>
      <c r="AA15" s="14">
        <v>0.19</v>
      </c>
      <c r="AB15" s="14">
        <v>0.21</v>
      </c>
      <c r="AC15" s="14">
        <v>0.21</v>
      </c>
      <c r="AD15" s="14">
        <v>0.24</v>
      </c>
      <c r="AE15" s="14">
        <v>0.23</v>
      </c>
      <c r="AF15" s="14">
        <v>0.25</v>
      </c>
    </row>
    <row r="16" spans="1:32" x14ac:dyDescent="0.35">
      <c r="A16" s="31"/>
      <c r="B16" s="11" t="s">
        <v>1085</v>
      </c>
      <c r="C16" s="12">
        <v>6477</v>
      </c>
      <c r="D16" s="12">
        <v>238</v>
      </c>
      <c r="E16" s="12">
        <v>271</v>
      </c>
      <c r="F16" s="12">
        <v>282</v>
      </c>
      <c r="G16" s="12">
        <v>224</v>
      </c>
      <c r="H16" s="12">
        <v>273</v>
      </c>
      <c r="I16" s="12">
        <v>338</v>
      </c>
      <c r="J16" s="12">
        <v>65</v>
      </c>
      <c r="K16" s="12">
        <v>250</v>
      </c>
      <c r="L16" s="12">
        <v>274</v>
      </c>
      <c r="M16" s="12">
        <v>262</v>
      </c>
      <c r="N16" s="12">
        <v>275</v>
      </c>
      <c r="O16" s="12">
        <v>230</v>
      </c>
      <c r="P16" s="12">
        <v>238</v>
      </c>
      <c r="Q16" s="12">
        <v>256</v>
      </c>
      <c r="R16" s="12">
        <v>125</v>
      </c>
      <c r="S16" s="12">
        <v>248</v>
      </c>
      <c r="T16" s="12">
        <v>245</v>
      </c>
      <c r="U16" s="12">
        <v>132</v>
      </c>
      <c r="V16" s="12">
        <v>278</v>
      </c>
      <c r="W16" s="12">
        <v>119</v>
      </c>
      <c r="X16" s="12">
        <v>223</v>
      </c>
      <c r="Y16" s="12">
        <v>237</v>
      </c>
      <c r="Z16" s="12">
        <v>269</v>
      </c>
      <c r="AA16" s="12">
        <v>259</v>
      </c>
      <c r="AB16" s="12">
        <v>285</v>
      </c>
      <c r="AC16" s="12">
        <v>261</v>
      </c>
      <c r="AD16" s="12">
        <v>277</v>
      </c>
      <c r="AE16" s="12">
        <v>217</v>
      </c>
      <c r="AF16" s="12">
        <v>256</v>
      </c>
    </row>
    <row r="17" spans="1:32" x14ac:dyDescent="0.35">
      <c r="A17" s="31"/>
      <c r="B17" s="13" t="s">
        <v>1085</v>
      </c>
      <c r="C17" s="14">
        <v>0.25</v>
      </c>
      <c r="D17" s="14">
        <v>0.23</v>
      </c>
      <c r="E17" s="14">
        <v>0.26</v>
      </c>
      <c r="F17" s="14">
        <v>0.28000000000000003</v>
      </c>
      <c r="G17" s="14">
        <v>0.22</v>
      </c>
      <c r="H17" s="14">
        <v>0.22</v>
      </c>
      <c r="I17" s="14">
        <v>0.22</v>
      </c>
      <c r="J17" s="14">
        <v>0.22</v>
      </c>
      <c r="K17" s="14">
        <v>0.25</v>
      </c>
      <c r="L17" s="14">
        <v>0.27</v>
      </c>
      <c r="M17" s="14">
        <v>0.26</v>
      </c>
      <c r="N17" s="14">
        <v>0.28000000000000003</v>
      </c>
      <c r="O17" s="14">
        <v>0.23</v>
      </c>
      <c r="P17" s="14">
        <v>0.24</v>
      </c>
      <c r="Q17" s="14">
        <v>0.25</v>
      </c>
      <c r="R17" s="14">
        <v>0.25</v>
      </c>
      <c r="S17" s="14">
        <v>0.24</v>
      </c>
      <c r="T17" s="14">
        <v>0.24</v>
      </c>
      <c r="U17" s="14">
        <v>0.26</v>
      </c>
      <c r="V17" s="14">
        <v>0.28000000000000003</v>
      </c>
      <c r="W17" s="14">
        <v>0.24</v>
      </c>
      <c r="X17" s="14">
        <v>0.22</v>
      </c>
      <c r="Y17" s="14">
        <v>0.24</v>
      </c>
      <c r="Z17" s="14">
        <v>0.26</v>
      </c>
      <c r="AA17" s="14">
        <v>0.25</v>
      </c>
      <c r="AB17" s="14">
        <v>0.27</v>
      </c>
      <c r="AC17" s="14">
        <v>0.26</v>
      </c>
      <c r="AD17" s="14">
        <v>0.27</v>
      </c>
      <c r="AE17" s="14">
        <v>0.22</v>
      </c>
      <c r="AF17" s="14">
        <v>0.25</v>
      </c>
    </row>
    <row r="18" spans="1:32" x14ac:dyDescent="0.35">
      <c r="A18" s="31"/>
      <c r="B18" s="11" t="s">
        <v>1086</v>
      </c>
      <c r="C18" s="12">
        <v>11009</v>
      </c>
      <c r="D18" s="12">
        <v>406</v>
      </c>
      <c r="E18" s="12">
        <v>457</v>
      </c>
      <c r="F18" s="12">
        <v>392</v>
      </c>
      <c r="G18" s="12">
        <v>408</v>
      </c>
      <c r="H18" s="12">
        <v>536</v>
      </c>
      <c r="I18" s="12">
        <v>677</v>
      </c>
      <c r="J18" s="12">
        <v>141</v>
      </c>
      <c r="K18" s="12">
        <v>395</v>
      </c>
      <c r="L18" s="12">
        <v>333</v>
      </c>
      <c r="M18" s="12">
        <v>434</v>
      </c>
      <c r="N18" s="12">
        <v>398</v>
      </c>
      <c r="O18" s="12">
        <v>411</v>
      </c>
      <c r="P18" s="12">
        <v>435</v>
      </c>
      <c r="Q18" s="12">
        <v>470</v>
      </c>
      <c r="R18" s="12">
        <v>177</v>
      </c>
      <c r="S18" s="12">
        <v>426</v>
      </c>
      <c r="T18" s="12">
        <v>418</v>
      </c>
      <c r="U18" s="12">
        <v>168</v>
      </c>
      <c r="V18" s="12">
        <v>389</v>
      </c>
      <c r="W18" s="12">
        <v>165</v>
      </c>
      <c r="X18" s="12">
        <v>407</v>
      </c>
      <c r="Y18" s="12">
        <v>407</v>
      </c>
      <c r="Z18" s="12">
        <v>391</v>
      </c>
      <c r="AA18" s="12">
        <v>450</v>
      </c>
      <c r="AB18" s="12">
        <v>409</v>
      </c>
      <c r="AC18" s="12">
        <v>425</v>
      </c>
      <c r="AD18" s="12">
        <v>369</v>
      </c>
      <c r="AE18" s="12">
        <v>428</v>
      </c>
      <c r="AF18" s="12">
        <v>453</v>
      </c>
    </row>
    <row r="19" spans="1:32" x14ac:dyDescent="0.35">
      <c r="A19" s="31"/>
      <c r="B19" s="13" t="s">
        <v>1086</v>
      </c>
      <c r="C19" s="14">
        <v>0.42</v>
      </c>
      <c r="D19" s="14">
        <v>0.4</v>
      </c>
      <c r="E19" s="14">
        <v>0.44</v>
      </c>
      <c r="F19" s="14">
        <v>0.38</v>
      </c>
      <c r="G19" s="14">
        <v>0.4</v>
      </c>
      <c r="H19" s="14">
        <v>0.44</v>
      </c>
      <c r="I19" s="14">
        <v>0.44</v>
      </c>
      <c r="J19" s="14">
        <v>0.47</v>
      </c>
      <c r="K19" s="14">
        <v>0.39</v>
      </c>
      <c r="L19" s="14">
        <v>0.33</v>
      </c>
      <c r="M19" s="14">
        <v>0.43</v>
      </c>
      <c r="N19" s="14">
        <v>0.4</v>
      </c>
      <c r="O19" s="14">
        <v>0.41</v>
      </c>
      <c r="P19" s="14">
        <v>0.43</v>
      </c>
      <c r="Q19" s="14">
        <v>0.45</v>
      </c>
      <c r="R19" s="14">
        <v>0.35</v>
      </c>
      <c r="S19" s="14">
        <v>0.42</v>
      </c>
      <c r="T19" s="14">
        <v>0.41</v>
      </c>
      <c r="U19" s="14">
        <v>0.33</v>
      </c>
      <c r="V19" s="14">
        <v>0.38</v>
      </c>
      <c r="W19" s="14">
        <v>0.33</v>
      </c>
      <c r="X19" s="14">
        <v>0.4</v>
      </c>
      <c r="Y19" s="14">
        <v>0.4</v>
      </c>
      <c r="Z19" s="14">
        <v>0.38</v>
      </c>
      <c r="AA19" s="14">
        <v>0.44</v>
      </c>
      <c r="AB19" s="14">
        <v>0.39</v>
      </c>
      <c r="AC19" s="14">
        <v>0.42</v>
      </c>
      <c r="AD19" s="14">
        <v>0.37</v>
      </c>
      <c r="AE19" s="14">
        <v>0.42</v>
      </c>
      <c r="AF19" s="14">
        <v>0.45</v>
      </c>
    </row>
    <row r="20" spans="1:32" x14ac:dyDescent="0.35">
      <c r="A20" s="31"/>
      <c r="B20" s="11" t="s">
        <v>727</v>
      </c>
      <c r="C20" s="12">
        <v>49.24</v>
      </c>
      <c r="D20" s="12">
        <v>48.21</v>
      </c>
      <c r="E20" s="12">
        <v>50.18</v>
      </c>
      <c r="F20" s="12">
        <v>48.36</v>
      </c>
      <c r="G20" s="12">
        <v>48.77</v>
      </c>
      <c r="H20" s="12">
        <v>49.65</v>
      </c>
      <c r="I20" s="12">
        <v>49.94</v>
      </c>
      <c r="J20" s="12">
        <v>51.17</v>
      </c>
      <c r="K20" s="12">
        <v>48.6</v>
      </c>
      <c r="L20" s="12">
        <v>46.09</v>
      </c>
      <c r="M20" s="12">
        <v>50.15</v>
      </c>
      <c r="N20" s="12">
        <v>48.93</v>
      </c>
      <c r="O20" s="12">
        <v>48.75</v>
      </c>
      <c r="P20" s="12">
        <v>49.26</v>
      </c>
      <c r="Q20" s="12">
        <v>50.43</v>
      </c>
      <c r="R20" s="12">
        <v>47.15</v>
      </c>
      <c r="S20" s="12">
        <v>49.42</v>
      </c>
      <c r="T20" s="12">
        <v>49.02</v>
      </c>
      <c r="U20" s="12">
        <v>46.24</v>
      </c>
      <c r="V20" s="12">
        <v>48.7</v>
      </c>
      <c r="W20" s="12">
        <v>46.55</v>
      </c>
      <c r="X20" s="12">
        <v>47.68</v>
      </c>
      <c r="Y20" s="12">
        <v>48.39</v>
      </c>
      <c r="Z20" s="12">
        <v>48.5</v>
      </c>
      <c r="AA20" s="12">
        <v>50.15</v>
      </c>
      <c r="AB20" s="12">
        <v>48.04</v>
      </c>
      <c r="AC20" s="12">
        <v>49.86</v>
      </c>
      <c r="AD20" s="12">
        <v>47.64</v>
      </c>
      <c r="AE20" s="12">
        <v>49.69</v>
      </c>
      <c r="AF20" s="12">
        <v>52.37</v>
      </c>
    </row>
    <row r="21" spans="1:32" x14ac:dyDescent="0.35">
      <c r="A21" s="31"/>
      <c r="B21" s="13" t="s">
        <v>728</v>
      </c>
      <c r="C21" s="15" t="s">
        <v>333</v>
      </c>
      <c r="D21" s="15" t="s">
        <v>333</v>
      </c>
      <c r="E21" s="15" t="s">
        <v>333</v>
      </c>
      <c r="F21" s="15" t="s">
        <v>333</v>
      </c>
      <c r="G21" s="15" t="s">
        <v>333</v>
      </c>
      <c r="H21" s="15" t="s">
        <v>333</v>
      </c>
      <c r="I21" s="15" t="s">
        <v>333</v>
      </c>
      <c r="J21" s="15" t="s">
        <v>333</v>
      </c>
      <c r="K21" s="15" t="s">
        <v>333</v>
      </c>
      <c r="L21" s="15" t="s">
        <v>333</v>
      </c>
      <c r="M21" s="15" t="s">
        <v>333</v>
      </c>
      <c r="N21" s="15" t="s">
        <v>333</v>
      </c>
      <c r="O21" s="15" t="s">
        <v>333</v>
      </c>
      <c r="P21" s="15" t="s">
        <v>333</v>
      </c>
      <c r="Q21" s="15" t="s">
        <v>333</v>
      </c>
      <c r="R21" s="15" t="s">
        <v>333</v>
      </c>
      <c r="S21" s="15" t="s">
        <v>333</v>
      </c>
      <c r="T21" s="15" t="s">
        <v>333</v>
      </c>
      <c r="U21" s="15" t="s">
        <v>333</v>
      </c>
      <c r="V21" s="15" t="s">
        <v>333</v>
      </c>
      <c r="W21" s="15" t="s">
        <v>333</v>
      </c>
      <c r="X21" s="15" t="s">
        <v>333</v>
      </c>
      <c r="Y21" s="15" t="s">
        <v>333</v>
      </c>
      <c r="Z21" s="15" t="s">
        <v>333</v>
      </c>
      <c r="AA21" s="15" t="s">
        <v>333</v>
      </c>
      <c r="AB21" s="15" t="s">
        <v>333</v>
      </c>
      <c r="AC21" s="15" t="s">
        <v>333</v>
      </c>
      <c r="AD21" s="15" t="s">
        <v>333</v>
      </c>
      <c r="AE21" s="15" t="s">
        <v>333</v>
      </c>
      <c r="AF21" s="15" t="s">
        <v>333</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209</v>
      </c>
      <c r="C3" s="30"/>
      <c r="D3" s="30"/>
      <c r="E3" s="30"/>
      <c r="F3" s="30"/>
      <c r="H3" s="30" t="s">
        <v>210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1083</v>
      </c>
      <c r="C12" s="12">
        <v>3251</v>
      </c>
      <c r="D12" s="12">
        <v>143</v>
      </c>
      <c r="E12" s="12">
        <v>111</v>
      </c>
      <c r="F12" s="12">
        <v>123</v>
      </c>
      <c r="G12" s="12">
        <v>147</v>
      </c>
      <c r="H12" s="12">
        <v>147</v>
      </c>
      <c r="I12" s="12">
        <v>178</v>
      </c>
      <c r="J12" s="12">
        <v>31</v>
      </c>
      <c r="K12" s="12">
        <v>125</v>
      </c>
      <c r="L12" s="12">
        <v>156</v>
      </c>
      <c r="M12" s="12">
        <v>120</v>
      </c>
      <c r="N12" s="12">
        <v>124</v>
      </c>
      <c r="O12" s="12">
        <v>144</v>
      </c>
      <c r="P12" s="12">
        <v>119</v>
      </c>
      <c r="Q12" s="12">
        <v>117</v>
      </c>
      <c r="R12" s="12">
        <v>61</v>
      </c>
      <c r="S12" s="12">
        <v>122</v>
      </c>
      <c r="T12" s="12">
        <v>113</v>
      </c>
      <c r="U12" s="12">
        <v>67</v>
      </c>
      <c r="V12" s="12">
        <v>125</v>
      </c>
      <c r="W12" s="12">
        <v>55</v>
      </c>
      <c r="X12" s="12">
        <v>146</v>
      </c>
      <c r="Y12" s="12">
        <v>122</v>
      </c>
      <c r="Z12" s="12">
        <v>118</v>
      </c>
      <c r="AA12" s="12">
        <v>122</v>
      </c>
      <c r="AB12" s="12">
        <v>137</v>
      </c>
      <c r="AC12" s="12">
        <v>116</v>
      </c>
      <c r="AD12" s="12">
        <v>117</v>
      </c>
      <c r="AE12" s="12">
        <v>131</v>
      </c>
      <c r="AF12" s="12">
        <v>54</v>
      </c>
    </row>
    <row r="13" spans="1:32" x14ac:dyDescent="0.35">
      <c r="A13" s="31"/>
      <c r="B13" s="13" t="s">
        <v>1083</v>
      </c>
      <c r="C13" s="14">
        <v>0.12</v>
      </c>
      <c r="D13" s="14">
        <v>0.14000000000000001</v>
      </c>
      <c r="E13" s="14">
        <v>0.11</v>
      </c>
      <c r="F13" s="14">
        <v>0.12</v>
      </c>
      <c r="G13" s="14">
        <v>0.15</v>
      </c>
      <c r="H13" s="14">
        <v>0.12</v>
      </c>
      <c r="I13" s="14">
        <v>0.12</v>
      </c>
      <c r="J13" s="14">
        <v>0.1</v>
      </c>
      <c r="K13" s="14">
        <v>0.12</v>
      </c>
      <c r="L13" s="14">
        <v>0.16</v>
      </c>
      <c r="M13" s="14">
        <v>0.12</v>
      </c>
      <c r="N13" s="14">
        <v>0.13</v>
      </c>
      <c r="O13" s="14">
        <v>0.15</v>
      </c>
      <c r="P13" s="14">
        <v>0.12</v>
      </c>
      <c r="Q13" s="14">
        <v>0.11</v>
      </c>
      <c r="R13" s="14">
        <v>0.12</v>
      </c>
      <c r="S13" s="14">
        <v>0.12</v>
      </c>
      <c r="T13" s="14">
        <v>0.11</v>
      </c>
      <c r="U13" s="14">
        <v>0.13</v>
      </c>
      <c r="V13" s="14">
        <v>0.12</v>
      </c>
      <c r="W13" s="14">
        <v>0.11</v>
      </c>
      <c r="X13" s="14">
        <v>0.15</v>
      </c>
      <c r="Y13" s="14">
        <v>0.12</v>
      </c>
      <c r="Z13" s="14">
        <v>0.11</v>
      </c>
      <c r="AA13" s="14">
        <v>0.12</v>
      </c>
      <c r="AB13" s="14">
        <v>0.13</v>
      </c>
      <c r="AC13" s="14">
        <v>0.11</v>
      </c>
      <c r="AD13" s="14">
        <v>0.12</v>
      </c>
      <c r="AE13" s="14">
        <v>0.13</v>
      </c>
      <c r="AF13" s="14">
        <v>0.05</v>
      </c>
    </row>
    <row r="14" spans="1:32" x14ac:dyDescent="0.35">
      <c r="A14" s="31"/>
      <c r="B14" s="11" t="s">
        <v>1087</v>
      </c>
      <c r="C14" s="12">
        <v>3573</v>
      </c>
      <c r="D14" s="12">
        <v>139</v>
      </c>
      <c r="E14" s="12">
        <v>120</v>
      </c>
      <c r="F14" s="12">
        <v>128</v>
      </c>
      <c r="G14" s="12">
        <v>142</v>
      </c>
      <c r="H14" s="12">
        <v>196</v>
      </c>
      <c r="I14" s="12">
        <v>228</v>
      </c>
      <c r="J14" s="12">
        <v>32</v>
      </c>
      <c r="K14" s="12">
        <v>129</v>
      </c>
      <c r="L14" s="12">
        <v>144</v>
      </c>
      <c r="M14" s="12">
        <v>111</v>
      </c>
      <c r="N14" s="12">
        <v>137</v>
      </c>
      <c r="O14" s="12">
        <v>138</v>
      </c>
      <c r="P14" s="12">
        <v>140</v>
      </c>
      <c r="Q14" s="12">
        <v>110</v>
      </c>
      <c r="R14" s="12">
        <v>87</v>
      </c>
      <c r="S14" s="12">
        <v>144</v>
      </c>
      <c r="T14" s="12">
        <v>152</v>
      </c>
      <c r="U14" s="12">
        <v>81</v>
      </c>
      <c r="V14" s="12">
        <v>133</v>
      </c>
      <c r="W14" s="12">
        <v>97</v>
      </c>
      <c r="X14" s="12">
        <v>174</v>
      </c>
      <c r="Y14" s="12">
        <v>145</v>
      </c>
      <c r="Z14" s="12">
        <v>122</v>
      </c>
      <c r="AA14" s="12">
        <v>128</v>
      </c>
      <c r="AB14" s="12">
        <v>146</v>
      </c>
      <c r="AC14" s="12">
        <v>119</v>
      </c>
      <c r="AD14" s="12">
        <v>164</v>
      </c>
      <c r="AE14" s="12">
        <v>151</v>
      </c>
      <c r="AF14" s="12">
        <v>172</v>
      </c>
    </row>
    <row r="15" spans="1:32" x14ac:dyDescent="0.35">
      <c r="A15" s="31"/>
      <c r="B15" s="13" t="s">
        <v>1087</v>
      </c>
      <c r="C15" s="14">
        <v>0.14000000000000001</v>
      </c>
      <c r="D15" s="14">
        <v>0.13</v>
      </c>
      <c r="E15" s="14">
        <v>0.12</v>
      </c>
      <c r="F15" s="14">
        <v>0.13</v>
      </c>
      <c r="G15" s="14">
        <v>0.14000000000000001</v>
      </c>
      <c r="H15" s="14">
        <v>0.16</v>
      </c>
      <c r="I15" s="14">
        <v>0.15</v>
      </c>
      <c r="J15" s="14">
        <v>0.11</v>
      </c>
      <c r="K15" s="14">
        <v>0.13</v>
      </c>
      <c r="L15" s="14">
        <v>0.14000000000000001</v>
      </c>
      <c r="M15" s="14">
        <v>0.11</v>
      </c>
      <c r="N15" s="14">
        <v>0.14000000000000001</v>
      </c>
      <c r="O15" s="14">
        <v>0.14000000000000001</v>
      </c>
      <c r="P15" s="14">
        <v>0.14000000000000001</v>
      </c>
      <c r="Q15" s="14">
        <v>0.11</v>
      </c>
      <c r="R15" s="14">
        <v>0.18</v>
      </c>
      <c r="S15" s="14">
        <v>0.14000000000000001</v>
      </c>
      <c r="T15" s="14">
        <v>0.15</v>
      </c>
      <c r="U15" s="14">
        <v>0.16</v>
      </c>
      <c r="V15" s="14">
        <v>0.13</v>
      </c>
      <c r="W15" s="14">
        <v>0.19</v>
      </c>
      <c r="X15" s="14">
        <v>0.17</v>
      </c>
      <c r="Y15" s="14">
        <v>0.15</v>
      </c>
      <c r="Z15" s="14">
        <v>0.12</v>
      </c>
      <c r="AA15" s="14">
        <v>0.12</v>
      </c>
      <c r="AB15" s="14">
        <v>0.14000000000000001</v>
      </c>
      <c r="AC15" s="14">
        <v>0.12</v>
      </c>
      <c r="AD15" s="14">
        <v>0.16</v>
      </c>
      <c r="AE15" s="14">
        <v>0.15</v>
      </c>
      <c r="AF15" s="14">
        <v>0.17</v>
      </c>
    </row>
    <row r="16" spans="1:32" x14ac:dyDescent="0.35">
      <c r="A16" s="31"/>
      <c r="B16" s="11" t="s">
        <v>1088</v>
      </c>
      <c r="C16" s="12">
        <v>4113</v>
      </c>
      <c r="D16" s="12">
        <v>167</v>
      </c>
      <c r="E16" s="12">
        <v>150</v>
      </c>
      <c r="F16" s="12">
        <v>182</v>
      </c>
      <c r="G16" s="12">
        <v>164</v>
      </c>
      <c r="H16" s="12">
        <v>159</v>
      </c>
      <c r="I16" s="12">
        <v>215</v>
      </c>
      <c r="J16" s="12">
        <v>56</v>
      </c>
      <c r="K16" s="12">
        <v>196</v>
      </c>
      <c r="L16" s="12">
        <v>189</v>
      </c>
      <c r="M16" s="12">
        <v>171</v>
      </c>
      <c r="N16" s="12">
        <v>148</v>
      </c>
      <c r="O16" s="12">
        <v>154</v>
      </c>
      <c r="P16" s="12">
        <v>143</v>
      </c>
      <c r="Q16" s="12">
        <v>156</v>
      </c>
      <c r="R16" s="12">
        <v>92</v>
      </c>
      <c r="S16" s="12">
        <v>157</v>
      </c>
      <c r="T16" s="12">
        <v>170</v>
      </c>
      <c r="U16" s="12">
        <v>116</v>
      </c>
      <c r="V16" s="12">
        <v>158</v>
      </c>
      <c r="W16" s="12">
        <v>100</v>
      </c>
      <c r="X16" s="12">
        <v>127</v>
      </c>
      <c r="Y16" s="12">
        <v>176</v>
      </c>
      <c r="Z16" s="12">
        <v>215</v>
      </c>
      <c r="AA16" s="12">
        <v>150</v>
      </c>
      <c r="AB16" s="12">
        <v>166</v>
      </c>
      <c r="AC16" s="12">
        <v>177</v>
      </c>
      <c r="AD16" s="12">
        <v>146</v>
      </c>
      <c r="AE16" s="12">
        <v>143</v>
      </c>
      <c r="AF16" s="12">
        <v>147</v>
      </c>
    </row>
    <row r="17" spans="1:32" x14ac:dyDescent="0.35">
      <c r="A17" s="31"/>
      <c r="B17" s="13" t="s">
        <v>1088</v>
      </c>
      <c r="C17" s="14">
        <v>0.16</v>
      </c>
      <c r="D17" s="14">
        <v>0.16</v>
      </c>
      <c r="E17" s="14">
        <v>0.14000000000000001</v>
      </c>
      <c r="F17" s="14">
        <v>0.18</v>
      </c>
      <c r="G17" s="14">
        <v>0.16</v>
      </c>
      <c r="H17" s="14">
        <v>0.13</v>
      </c>
      <c r="I17" s="14">
        <v>0.14000000000000001</v>
      </c>
      <c r="J17" s="14">
        <v>0.19</v>
      </c>
      <c r="K17" s="14">
        <v>0.2</v>
      </c>
      <c r="L17" s="14">
        <v>0.19</v>
      </c>
      <c r="M17" s="14">
        <v>0.17</v>
      </c>
      <c r="N17" s="14">
        <v>0.15</v>
      </c>
      <c r="O17" s="14">
        <v>0.15</v>
      </c>
      <c r="P17" s="14">
        <v>0.14000000000000001</v>
      </c>
      <c r="Q17" s="14">
        <v>0.15</v>
      </c>
      <c r="R17" s="14">
        <v>0.18</v>
      </c>
      <c r="S17" s="14">
        <v>0.15</v>
      </c>
      <c r="T17" s="14">
        <v>0.17</v>
      </c>
      <c r="U17" s="14">
        <v>0.23</v>
      </c>
      <c r="V17" s="14">
        <v>0.16</v>
      </c>
      <c r="W17" s="14">
        <v>0.2</v>
      </c>
      <c r="X17" s="14">
        <v>0.13</v>
      </c>
      <c r="Y17" s="14">
        <v>0.18</v>
      </c>
      <c r="Z17" s="14">
        <v>0.21</v>
      </c>
      <c r="AA17" s="14">
        <v>0.15</v>
      </c>
      <c r="AB17" s="14">
        <v>0.16</v>
      </c>
      <c r="AC17" s="14">
        <v>0.18</v>
      </c>
      <c r="AD17" s="14">
        <v>0.14000000000000001</v>
      </c>
      <c r="AE17" s="14">
        <v>0.14000000000000001</v>
      </c>
      <c r="AF17" s="14">
        <v>0.15</v>
      </c>
    </row>
    <row r="18" spans="1:32" x14ac:dyDescent="0.35">
      <c r="A18" s="31"/>
      <c r="B18" s="11" t="s">
        <v>1089</v>
      </c>
      <c r="C18" s="12">
        <v>4464</v>
      </c>
      <c r="D18" s="12">
        <v>170</v>
      </c>
      <c r="E18" s="12">
        <v>201</v>
      </c>
      <c r="F18" s="12">
        <v>194</v>
      </c>
      <c r="G18" s="12">
        <v>155</v>
      </c>
      <c r="H18" s="12">
        <v>194</v>
      </c>
      <c r="I18" s="12">
        <v>232</v>
      </c>
      <c r="J18" s="12">
        <v>38</v>
      </c>
      <c r="K18" s="12">
        <v>165</v>
      </c>
      <c r="L18" s="12">
        <v>181</v>
      </c>
      <c r="M18" s="12">
        <v>167</v>
      </c>
      <c r="N18" s="12">
        <v>192</v>
      </c>
      <c r="O18" s="12">
        <v>153</v>
      </c>
      <c r="P18" s="12">
        <v>167</v>
      </c>
      <c r="Q18" s="12">
        <v>183</v>
      </c>
      <c r="R18" s="12">
        <v>84</v>
      </c>
      <c r="S18" s="12">
        <v>172</v>
      </c>
      <c r="T18" s="12">
        <v>164</v>
      </c>
      <c r="U18" s="12">
        <v>78</v>
      </c>
      <c r="V18" s="12">
        <v>210</v>
      </c>
      <c r="W18" s="12">
        <v>84</v>
      </c>
      <c r="X18" s="12">
        <v>156</v>
      </c>
      <c r="Y18" s="12">
        <v>153</v>
      </c>
      <c r="Z18" s="12">
        <v>174</v>
      </c>
      <c r="AA18" s="12">
        <v>180</v>
      </c>
      <c r="AB18" s="12">
        <v>198</v>
      </c>
      <c r="AC18" s="12">
        <v>176</v>
      </c>
      <c r="AD18" s="12">
        <v>207</v>
      </c>
      <c r="AE18" s="12">
        <v>154</v>
      </c>
      <c r="AF18" s="12">
        <v>194</v>
      </c>
    </row>
    <row r="19" spans="1:32" x14ac:dyDescent="0.35">
      <c r="A19" s="31"/>
      <c r="B19" s="13" t="s">
        <v>1089</v>
      </c>
      <c r="C19" s="14">
        <v>0.17</v>
      </c>
      <c r="D19" s="14">
        <v>0.17</v>
      </c>
      <c r="E19" s="14">
        <v>0.19</v>
      </c>
      <c r="F19" s="14">
        <v>0.19</v>
      </c>
      <c r="G19" s="14">
        <v>0.15</v>
      </c>
      <c r="H19" s="14">
        <v>0.16</v>
      </c>
      <c r="I19" s="14">
        <v>0.15</v>
      </c>
      <c r="J19" s="14">
        <v>0.13</v>
      </c>
      <c r="K19" s="14">
        <v>0.16</v>
      </c>
      <c r="L19" s="14">
        <v>0.18</v>
      </c>
      <c r="M19" s="14">
        <v>0.17</v>
      </c>
      <c r="N19" s="14">
        <v>0.19</v>
      </c>
      <c r="O19" s="14">
        <v>0.15</v>
      </c>
      <c r="P19" s="14">
        <v>0.17</v>
      </c>
      <c r="Q19" s="14">
        <v>0.18</v>
      </c>
      <c r="R19" s="14">
        <v>0.17</v>
      </c>
      <c r="S19" s="14">
        <v>0.17</v>
      </c>
      <c r="T19" s="14">
        <v>0.16</v>
      </c>
      <c r="U19" s="14">
        <v>0.15</v>
      </c>
      <c r="V19" s="14">
        <v>0.21</v>
      </c>
      <c r="W19" s="14">
        <v>0.17</v>
      </c>
      <c r="X19" s="14">
        <v>0.15</v>
      </c>
      <c r="Y19" s="14">
        <v>0.15</v>
      </c>
      <c r="Z19" s="14">
        <v>0.17</v>
      </c>
      <c r="AA19" s="14">
        <v>0.17</v>
      </c>
      <c r="AB19" s="14">
        <v>0.19</v>
      </c>
      <c r="AC19" s="14">
        <v>0.17</v>
      </c>
      <c r="AD19" s="14">
        <v>0.21</v>
      </c>
      <c r="AE19" s="14">
        <v>0.15</v>
      </c>
      <c r="AF19" s="14">
        <v>0.19</v>
      </c>
    </row>
    <row r="20" spans="1:32" x14ac:dyDescent="0.35">
      <c r="A20" s="31"/>
      <c r="B20" s="11" t="s">
        <v>1090</v>
      </c>
      <c r="C20" s="12">
        <v>4303</v>
      </c>
      <c r="D20" s="12">
        <v>161</v>
      </c>
      <c r="E20" s="12">
        <v>169</v>
      </c>
      <c r="F20" s="12">
        <v>143</v>
      </c>
      <c r="G20" s="12">
        <v>159</v>
      </c>
      <c r="H20" s="12">
        <v>224</v>
      </c>
      <c r="I20" s="12">
        <v>278</v>
      </c>
      <c r="J20" s="12">
        <v>54</v>
      </c>
      <c r="K20" s="12">
        <v>149</v>
      </c>
      <c r="L20" s="12">
        <v>142</v>
      </c>
      <c r="M20" s="12">
        <v>165</v>
      </c>
      <c r="N20" s="12">
        <v>163</v>
      </c>
      <c r="O20" s="12">
        <v>153</v>
      </c>
      <c r="P20" s="12">
        <v>166</v>
      </c>
      <c r="Q20" s="12">
        <v>183</v>
      </c>
      <c r="R20" s="12">
        <v>72</v>
      </c>
      <c r="S20" s="12">
        <v>167</v>
      </c>
      <c r="T20" s="12">
        <v>176</v>
      </c>
      <c r="U20" s="12">
        <v>77</v>
      </c>
      <c r="V20" s="12">
        <v>144</v>
      </c>
      <c r="W20" s="12">
        <v>60</v>
      </c>
      <c r="X20" s="12">
        <v>164</v>
      </c>
      <c r="Y20" s="12">
        <v>175</v>
      </c>
      <c r="Z20" s="12">
        <v>145</v>
      </c>
      <c r="AA20" s="12">
        <v>166</v>
      </c>
      <c r="AB20" s="12">
        <v>157</v>
      </c>
      <c r="AC20" s="12">
        <v>166</v>
      </c>
      <c r="AD20" s="12">
        <v>150</v>
      </c>
      <c r="AE20" s="12">
        <v>152</v>
      </c>
      <c r="AF20" s="12">
        <v>166</v>
      </c>
    </row>
    <row r="21" spans="1:32" x14ac:dyDescent="0.35">
      <c r="A21" s="31"/>
      <c r="B21" s="13" t="s">
        <v>1090</v>
      </c>
      <c r="C21" s="14">
        <v>0.16</v>
      </c>
      <c r="D21" s="14">
        <v>0.16</v>
      </c>
      <c r="E21" s="14">
        <v>0.16</v>
      </c>
      <c r="F21" s="14">
        <v>0.14000000000000001</v>
      </c>
      <c r="G21" s="14">
        <v>0.16</v>
      </c>
      <c r="H21" s="14">
        <v>0.18</v>
      </c>
      <c r="I21" s="14">
        <v>0.18</v>
      </c>
      <c r="J21" s="14">
        <v>0.18</v>
      </c>
      <c r="K21" s="14">
        <v>0.15</v>
      </c>
      <c r="L21" s="14">
        <v>0.14000000000000001</v>
      </c>
      <c r="M21" s="14">
        <v>0.16</v>
      </c>
      <c r="N21" s="14">
        <v>0.16</v>
      </c>
      <c r="O21" s="14">
        <v>0.15</v>
      </c>
      <c r="P21" s="14">
        <v>0.16</v>
      </c>
      <c r="Q21" s="14">
        <v>0.18</v>
      </c>
      <c r="R21" s="14">
        <v>0.14000000000000001</v>
      </c>
      <c r="S21" s="14">
        <v>0.17</v>
      </c>
      <c r="T21" s="14">
        <v>0.17</v>
      </c>
      <c r="U21" s="14">
        <v>0.15</v>
      </c>
      <c r="V21" s="14">
        <v>0.14000000000000001</v>
      </c>
      <c r="W21" s="14">
        <v>0.12</v>
      </c>
      <c r="X21" s="14">
        <v>0.16</v>
      </c>
      <c r="Y21" s="14">
        <v>0.17</v>
      </c>
      <c r="Z21" s="14">
        <v>0.14000000000000001</v>
      </c>
      <c r="AA21" s="14">
        <v>0.16</v>
      </c>
      <c r="AB21" s="14">
        <v>0.15</v>
      </c>
      <c r="AC21" s="14">
        <v>0.16</v>
      </c>
      <c r="AD21" s="14">
        <v>0.15</v>
      </c>
      <c r="AE21" s="14">
        <v>0.15</v>
      </c>
      <c r="AF21" s="14">
        <v>0.16</v>
      </c>
    </row>
    <row r="22" spans="1:32" x14ac:dyDescent="0.35">
      <c r="A22" s="31"/>
      <c r="B22" s="11" t="s">
        <v>1091</v>
      </c>
      <c r="C22" s="12">
        <v>4191</v>
      </c>
      <c r="D22" s="12">
        <v>153</v>
      </c>
      <c r="E22" s="12">
        <v>219</v>
      </c>
      <c r="F22" s="12">
        <v>176</v>
      </c>
      <c r="G22" s="12">
        <v>136</v>
      </c>
      <c r="H22" s="12">
        <v>175</v>
      </c>
      <c r="I22" s="12">
        <v>231</v>
      </c>
      <c r="J22" s="12">
        <v>56</v>
      </c>
      <c r="K22" s="12">
        <v>154</v>
      </c>
      <c r="L22" s="12">
        <v>114</v>
      </c>
      <c r="M22" s="12">
        <v>162</v>
      </c>
      <c r="N22" s="12">
        <v>132</v>
      </c>
      <c r="O22" s="12">
        <v>151</v>
      </c>
      <c r="P22" s="12">
        <v>207</v>
      </c>
      <c r="Q22" s="12">
        <v>201</v>
      </c>
      <c r="R22" s="12">
        <v>61</v>
      </c>
      <c r="S22" s="12">
        <v>143</v>
      </c>
      <c r="T22" s="12">
        <v>137</v>
      </c>
      <c r="U22" s="12">
        <v>52</v>
      </c>
      <c r="V22" s="12">
        <v>162</v>
      </c>
      <c r="W22" s="12">
        <v>57</v>
      </c>
      <c r="X22" s="12">
        <v>171</v>
      </c>
      <c r="Y22" s="12">
        <v>165</v>
      </c>
      <c r="Z22" s="12">
        <v>159</v>
      </c>
      <c r="AA22" s="12">
        <v>170</v>
      </c>
      <c r="AB22" s="12">
        <v>191</v>
      </c>
      <c r="AC22" s="12">
        <v>150</v>
      </c>
      <c r="AD22" s="12">
        <v>162</v>
      </c>
      <c r="AE22" s="12">
        <v>168</v>
      </c>
      <c r="AF22" s="12">
        <v>127</v>
      </c>
    </row>
    <row r="23" spans="1:32" x14ac:dyDescent="0.35">
      <c r="A23" s="31"/>
      <c r="B23" s="13" t="s">
        <v>1091</v>
      </c>
      <c r="C23" s="14">
        <v>0.16</v>
      </c>
      <c r="D23" s="14">
        <v>0.15</v>
      </c>
      <c r="E23" s="14">
        <v>0.21</v>
      </c>
      <c r="F23" s="14">
        <v>0.17</v>
      </c>
      <c r="G23" s="14">
        <v>0.13</v>
      </c>
      <c r="H23" s="14">
        <v>0.14000000000000001</v>
      </c>
      <c r="I23" s="14">
        <v>0.15</v>
      </c>
      <c r="J23" s="14">
        <v>0.19</v>
      </c>
      <c r="K23" s="14">
        <v>0.15</v>
      </c>
      <c r="L23" s="14">
        <v>0.11</v>
      </c>
      <c r="M23" s="14">
        <v>0.16</v>
      </c>
      <c r="N23" s="14">
        <v>0.13</v>
      </c>
      <c r="O23" s="14">
        <v>0.15</v>
      </c>
      <c r="P23" s="14">
        <v>0.21</v>
      </c>
      <c r="Q23" s="14">
        <v>0.19</v>
      </c>
      <c r="R23" s="14">
        <v>0.12</v>
      </c>
      <c r="S23" s="14">
        <v>0.14000000000000001</v>
      </c>
      <c r="T23" s="14">
        <v>0.14000000000000001</v>
      </c>
      <c r="U23" s="14">
        <v>0.1</v>
      </c>
      <c r="V23" s="14">
        <v>0.16</v>
      </c>
      <c r="W23" s="14">
        <v>0.11</v>
      </c>
      <c r="X23" s="14">
        <v>0.17</v>
      </c>
      <c r="Y23" s="14">
        <v>0.16</v>
      </c>
      <c r="Z23" s="14">
        <v>0.16</v>
      </c>
      <c r="AA23" s="14">
        <v>0.17</v>
      </c>
      <c r="AB23" s="14">
        <v>0.18</v>
      </c>
      <c r="AC23" s="14">
        <v>0.15</v>
      </c>
      <c r="AD23" s="14">
        <v>0.16</v>
      </c>
      <c r="AE23" s="14">
        <v>0.17</v>
      </c>
      <c r="AF23" s="14">
        <v>0.12</v>
      </c>
    </row>
    <row r="24" spans="1:32" x14ac:dyDescent="0.35">
      <c r="A24" s="31"/>
      <c r="B24" s="11" t="s">
        <v>1092</v>
      </c>
      <c r="C24" s="12">
        <v>2515</v>
      </c>
      <c r="D24" s="12">
        <v>91</v>
      </c>
      <c r="E24" s="12">
        <v>68</v>
      </c>
      <c r="F24" s="12">
        <v>72</v>
      </c>
      <c r="G24" s="12">
        <v>113</v>
      </c>
      <c r="H24" s="12">
        <v>137</v>
      </c>
      <c r="I24" s="12">
        <v>168</v>
      </c>
      <c r="J24" s="12">
        <v>31</v>
      </c>
      <c r="K24" s="12">
        <v>92</v>
      </c>
      <c r="L24" s="12">
        <v>78</v>
      </c>
      <c r="M24" s="12">
        <v>107</v>
      </c>
      <c r="N24" s="12">
        <v>104</v>
      </c>
      <c r="O24" s="12">
        <v>107</v>
      </c>
      <c r="P24" s="12">
        <v>62</v>
      </c>
      <c r="Q24" s="12">
        <v>86</v>
      </c>
      <c r="R24" s="12">
        <v>44</v>
      </c>
      <c r="S24" s="12">
        <v>115</v>
      </c>
      <c r="T24" s="12">
        <v>105</v>
      </c>
      <c r="U24" s="12">
        <v>38</v>
      </c>
      <c r="V24" s="12">
        <v>83</v>
      </c>
      <c r="W24" s="12">
        <v>48</v>
      </c>
      <c r="X24" s="12">
        <v>73</v>
      </c>
      <c r="Y24" s="12">
        <v>67</v>
      </c>
      <c r="Z24" s="12">
        <v>87</v>
      </c>
      <c r="AA24" s="12">
        <v>115</v>
      </c>
      <c r="AB24" s="12">
        <v>60</v>
      </c>
      <c r="AC24" s="12">
        <v>108</v>
      </c>
      <c r="AD24" s="12">
        <v>58</v>
      </c>
      <c r="AE24" s="12">
        <v>109</v>
      </c>
      <c r="AF24" s="12">
        <v>161</v>
      </c>
    </row>
    <row r="25" spans="1:32" x14ac:dyDescent="0.35">
      <c r="A25" s="31"/>
      <c r="B25" s="13" t="s">
        <v>1092</v>
      </c>
      <c r="C25" s="14">
        <v>0.09</v>
      </c>
      <c r="D25" s="14">
        <v>0.09</v>
      </c>
      <c r="E25" s="14">
        <v>7.0000000000000007E-2</v>
      </c>
      <c r="F25" s="14">
        <v>7.0000000000000007E-2</v>
      </c>
      <c r="G25" s="14">
        <v>0.11</v>
      </c>
      <c r="H25" s="14">
        <v>0.11</v>
      </c>
      <c r="I25" s="14">
        <v>0.11</v>
      </c>
      <c r="J25" s="14">
        <v>0.1</v>
      </c>
      <c r="K25" s="14">
        <v>0.09</v>
      </c>
      <c r="L25" s="14">
        <v>0.08</v>
      </c>
      <c r="M25" s="14">
        <v>0.11</v>
      </c>
      <c r="N25" s="14">
        <v>0.1</v>
      </c>
      <c r="O25" s="14">
        <v>0.11</v>
      </c>
      <c r="P25" s="14">
        <v>0.06</v>
      </c>
      <c r="Q25" s="14">
        <v>0.08</v>
      </c>
      <c r="R25" s="14">
        <v>0.09</v>
      </c>
      <c r="S25" s="14">
        <v>0.11</v>
      </c>
      <c r="T25" s="14">
        <v>0.1</v>
      </c>
      <c r="U25" s="14">
        <v>0.08</v>
      </c>
      <c r="V25" s="14">
        <v>0.08</v>
      </c>
      <c r="W25" s="14">
        <v>0.1</v>
      </c>
      <c r="X25" s="14">
        <v>7.0000000000000007E-2</v>
      </c>
      <c r="Y25" s="14">
        <v>7.0000000000000007E-2</v>
      </c>
      <c r="Z25" s="14">
        <v>0.09</v>
      </c>
      <c r="AA25" s="14">
        <v>0.11</v>
      </c>
      <c r="AB25" s="14">
        <v>0.05</v>
      </c>
      <c r="AC25" s="14">
        <v>0.11</v>
      </c>
      <c r="AD25" s="14">
        <v>0.06</v>
      </c>
      <c r="AE25" s="14">
        <v>0.11</v>
      </c>
      <c r="AF25" s="14">
        <v>0.16</v>
      </c>
    </row>
    <row r="26" spans="1:32" x14ac:dyDescent="0.35">
      <c r="A26" s="31"/>
      <c r="B26" s="11" t="s">
        <v>727</v>
      </c>
      <c r="C26" s="12">
        <v>49.24</v>
      </c>
      <c r="D26" s="12">
        <v>48.21</v>
      </c>
      <c r="E26" s="12">
        <v>50.18</v>
      </c>
      <c r="F26" s="12">
        <v>48.36</v>
      </c>
      <c r="G26" s="12">
        <v>48.77</v>
      </c>
      <c r="H26" s="12">
        <v>49.65</v>
      </c>
      <c r="I26" s="12">
        <v>49.94</v>
      </c>
      <c r="J26" s="12">
        <v>51.17</v>
      </c>
      <c r="K26" s="12">
        <v>48.6</v>
      </c>
      <c r="L26" s="12">
        <v>46.09</v>
      </c>
      <c r="M26" s="12">
        <v>50.15</v>
      </c>
      <c r="N26" s="12">
        <v>48.93</v>
      </c>
      <c r="O26" s="12">
        <v>48.75</v>
      </c>
      <c r="P26" s="12">
        <v>49.26</v>
      </c>
      <c r="Q26" s="12">
        <v>50.43</v>
      </c>
      <c r="R26" s="12">
        <v>47.15</v>
      </c>
      <c r="S26" s="12">
        <v>49.42</v>
      </c>
      <c r="T26" s="12">
        <v>49.02</v>
      </c>
      <c r="U26" s="12">
        <v>46.24</v>
      </c>
      <c r="V26" s="12">
        <v>48.7</v>
      </c>
      <c r="W26" s="12">
        <v>46.55</v>
      </c>
      <c r="X26" s="12">
        <v>47.68</v>
      </c>
      <c r="Y26" s="12">
        <v>48.39</v>
      </c>
      <c r="Z26" s="12">
        <v>48.5</v>
      </c>
      <c r="AA26" s="12">
        <v>50.15</v>
      </c>
      <c r="AB26" s="12">
        <v>48.04</v>
      </c>
      <c r="AC26" s="12">
        <v>49.86</v>
      </c>
      <c r="AD26" s="12">
        <v>47.64</v>
      </c>
      <c r="AE26" s="12">
        <v>49.69</v>
      </c>
      <c r="AF26" s="12">
        <v>52.37</v>
      </c>
    </row>
    <row r="27" spans="1:32" x14ac:dyDescent="0.35">
      <c r="A27" s="31"/>
      <c r="B27" s="13" t="s">
        <v>728</v>
      </c>
      <c r="C27" s="15" t="s">
        <v>333</v>
      </c>
      <c r="D27" s="15" t="s">
        <v>333</v>
      </c>
      <c r="E27" s="15" t="s">
        <v>333</v>
      </c>
      <c r="F27" s="15" t="s">
        <v>333</v>
      </c>
      <c r="G27" s="15" t="s">
        <v>333</v>
      </c>
      <c r="H27" s="15" t="s">
        <v>333</v>
      </c>
      <c r="I27" s="15" t="s">
        <v>333</v>
      </c>
      <c r="J27" s="15" t="s">
        <v>333</v>
      </c>
      <c r="K27" s="15" t="s">
        <v>333</v>
      </c>
      <c r="L27" s="15" t="s">
        <v>333</v>
      </c>
      <c r="M27" s="15" t="s">
        <v>333</v>
      </c>
      <c r="N27" s="15" t="s">
        <v>333</v>
      </c>
      <c r="O27" s="15" t="s">
        <v>333</v>
      </c>
      <c r="P27" s="15" t="s">
        <v>333</v>
      </c>
      <c r="Q27" s="15" t="s">
        <v>333</v>
      </c>
      <c r="R27" s="15" t="s">
        <v>333</v>
      </c>
      <c r="S27" s="15" t="s">
        <v>333</v>
      </c>
      <c r="T27" s="15" t="s">
        <v>333</v>
      </c>
      <c r="U27" s="15" t="s">
        <v>333</v>
      </c>
      <c r="V27" s="15" t="s">
        <v>333</v>
      </c>
      <c r="W27" s="15" t="s">
        <v>333</v>
      </c>
      <c r="X27" s="15" t="s">
        <v>333</v>
      </c>
      <c r="Y27" s="15" t="s">
        <v>333</v>
      </c>
      <c r="Z27" s="15" t="s">
        <v>333</v>
      </c>
      <c r="AA27" s="15" t="s">
        <v>333</v>
      </c>
      <c r="AB27" s="15" t="s">
        <v>333</v>
      </c>
      <c r="AC27" s="15" t="s">
        <v>333</v>
      </c>
      <c r="AD27" s="15" t="s">
        <v>333</v>
      </c>
      <c r="AE27" s="15" t="s">
        <v>333</v>
      </c>
      <c r="AF27" s="15" t="s">
        <v>333</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211</v>
      </c>
      <c r="C3" s="30"/>
      <c r="D3" s="30"/>
      <c r="E3" s="30"/>
      <c r="F3" s="30"/>
      <c r="H3" s="30" t="s">
        <v>212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1093</v>
      </c>
      <c r="C12" s="12">
        <v>5423</v>
      </c>
      <c r="D12" s="12">
        <v>220</v>
      </c>
      <c r="E12" s="12">
        <v>188</v>
      </c>
      <c r="F12" s="12">
        <v>194</v>
      </c>
      <c r="G12" s="12">
        <v>216</v>
      </c>
      <c r="H12" s="12">
        <v>274</v>
      </c>
      <c r="I12" s="12">
        <v>327</v>
      </c>
      <c r="J12" s="12">
        <v>54</v>
      </c>
      <c r="K12" s="12">
        <v>194</v>
      </c>
      <c r="L12" s="12">
        <v>233</v>
      </c>
      <c r="M12" s="12">
        <v>188</v>
      </c>
      <c r="N12" s="12">
        <v>209</v>
      </c>
      <c r="O12" s="12">
        <v>233</v>
      </c>
      <c r="P12" s="12">
        <v>197</v>
      </c>
      <c r="Q12" s="12">
        <v>183</v>
      </c>
      <c r="R12" s="12">
        <v>116</v>
      </c>
      <c r="S12" s="12">
        <v>200</v>
      </c>
      <c r="T12" s="12">
        <v>198</v>
      </c>
      <c r="U12" s="12">
        <v>109</v>
      </c>
      <c r="V12" s="12">
        <v>197</v>
      </c>
      <c r="W12" s="12">
        <v>110</v>
      </c>
      <c r="X12" s="12">
        <v>274</v>
      </c>
      <c r="Y12" s="12">
        <v>196</v>
      </c>
      <c r="Z12" s="12">
        <v>189</v>
      </c>
      <c r="AA12" s="12">
        <v>194</v>
      </c>
      <c r="AB12" s="12">
        <v>222</v>
      </c>
      <c r="AC12" s="12">
        <v>180</v>
      </c>
      <c r="AD12" s="12">
        <v>204</v>
      </c>
      <c r="AE12" s="12">
        <v>223</v>
      </c>
      <c r="AF12" s="12">
        <v>122</v>
      </c>
    </row>
    <row r="13" spans="1:32" x14ac:dyDescent="0.35">
      <c r="A13" s="31"/>
      <c r="B13" s="13" t="s">
        <v>1093</v>
      </c>
      <c r="C13" s="14">
        <v>0.21</v>
      </c>
      <c r="D13" s="14">
        <v>0.21</v>
      </c>
      <c r="E13" s="14">
        <v>0.18</v>
      </c>
      <c r="F13" s="14">
        <v>0.19</v>
      </c>
      <c r="G13" s="14">
        <v>0.21</v>
      </c>
      <c r="H13" s="14">
        <v>0.22</v>
      </c>
      <c r="I13" s="14">
        <v>0.21</v>
      </c>
      <c r="J13" s="14">
        <v>0.18</v>
      </c>
      <c r="K13" s="14">
        <v>0.19</v>
      </c>
      <c r="L13" s="14">
        <v>0.23</v>
      </c>
      <c r="M13" s="14">
        <v>0.19</v>
      </c>
      <c r="N13" s="14">
        <v>0.21</v>
      </c>
      <c r="O13" s="14">
        <v>0.23</v>
      </c>
      <c r="P13" s="14">
        <v>0.2</v>
      </c>
      <c r="Q13" s="14">
        <v>0.18</v>
      </c>
      <c r="R13" s="14">
        <v>0.23</v>
      </c>
      <c r="S13" s="14">
        <v>0.2</v>
      </c>
      <c r="T13" s="14">
        <v>0.19</v>
      </c>
      <c r="U13" s="14">
        <v>0.21</v>
      </c>
      <c r="V13" s="14">
        <v>0.2</v>
      </c>
      <c r="W13" s="14">
        <v>0.22</v>
      </c>
      <c r="X13" s="14">
        <v>0.27</v>
      </c>
      <c r="Y13" s="14">
        <v>0.2</v>
      </c>
      <c r="Z13" s="14">
        <v>0.19</v>
      </c>
      <c r="AA13" s="14">
        <v>0.19</v>
      </c>
      <c r="AB13" s="14">
        <v>0.21</v>
      </c>
      <c r="AC13" s="14">
        <v>0.18</v>
      </c>
      <c r="AD13" s="14">
        <v>0.2</v>
      </c>
      <c r="AE13" s="14">
        <v>0.22</v>
      </c>
      <c r="AF13" s="14">
        <v>0.12</v>
      </c>
    </row>
    <row r="14" spans="1:32" x14ac:dyDescent="0.35">
      <c r="A14" s="31"/>
      <c r="B14" s="11" t="s">
        <v>1094</v>
      </c>
      <c r="C14" s="12">
        <v>14281</v>
      </c>
      <c r="D14" s="12">
        <v>561</v>
      </c>
      <c r="E14" s="12">
        <v>563</v>
      </c>
      <c r="F14" s="12">
        <v>576</v>
      </c>
      <c r="G14" s="12">
        <v>552</v>
      </c>
      <c r="H14" s="12">
        <v>646</v>
      </c>
      <c r="I14" s="12">
        <v>804</v>
      </c>
      <c r="J14" s="12">
        <v>158</v>
      </c>
      <c r="K14" s="12">
        <v>569</v>
      </c>
      <c r="L14" s="12">
        <v>580</v>
      </c>
      <c r="M14" s="12">
        <v>546</v>
      </c>
      <c r="N14" s="12">
        <v>556</v>
      </c>
      <c r="O14" s="12">
        <v>509</v>
      </c>
      <c r="P14" s="12">
        <v>538</v>
      </c>
      <c r="Q14" s="12">
        <v>565</v>
      </c>
      <c r="R14" s="12">
        <v>280</v>
      </c>
      <c r="S14" s="12">
        <v>563</v>
      </c>
      <c r="T14" s="12">
        <v>577</v>
      </c>
      <c r="U14" s="12">
        <v>309</v>
      </c>
      <c r="V14" s="12">
        <v>571</v>
      </c>
      <c r="W14" s="12">
        <v>286</v>
      </c>
      <c r="X14" s="12">
        <v>492</v>
      </c>
      <c r="Y14" s="12">
        <v>574</v>
      </c>
      <c r="Z14" s="12">
        <v>584</v>
      </c>
      <c r="AA14" s="12">
        <v>551</v>
      </c>
      <c r="AB14" s="12">
        <v>583</v>
      </c>
      <c r="AC14" s="12">
        <v>575</v>
      </c>
      <c r="AD14" s="12">
        <v>581</v>
      </c>
      <c r="AE14" s="12">
        <v>507</v>
      </c>
      <c r="AF14" s="12">
        <v>611</v>
      </c>
    </row>
    <row r="15" spans="1:32" x14ac:dyDescent="0.35">
      <c r="A15" s="31"/>
      <c r="B15" s="13" t="s">
        <v>1094</v>
      </c>
      <c r="C15" s="14">
        <v>0.54</v>
      </c>
      <c r="D15" s="14">
        <v>0.55000000000000004</v>
      </c>
      <c r="E15" s="14">
        <v>0.54</v>
      </c>
      <c r="F15" s="14">
        <v>0.57000000000000006</v>
      </c>
      <c r="G15" s="14">
        <v>0.54</v>
      </c>
      <c r="H15" s="14">
        <v>0.53</v>
      </c>
      <c r="I15" s="14">
        <v>0.53</v>
      </c>
      <c r="J15" s="14">
        <v>0.53</v>
      </c>
      <c r="K15" s="14">
        <v>0.57000000000000006</v>
      </c>
      <c r="L15" s="14">
        <v>0.57999999999999996</v>
      </c>
      <c r="M15" s="14">
        <v>0.54</v>
      </c>
      <c r="N15" s="14">
        <v>0.56000000000000005</v>
      </c>
      <c r="O15" s="14">
        <v>0.51</v>
      </c>
      <c r="P15" s="14">
        <v>0.53</v>
      </c>
      <c r="Q15" s="14">
        <v>0.54</v>
      </c>
      <c r="R15" s="14">
        <v>0.56000000000000005</v>
      </c>
      <c r="S15" s="14">
        <v>0.55000000000000004</v>
      </c>
      <c r="T15" s="14">
        <v>0.57000000000000006</v>
      </c>
      <c r="U15" s="14">
        <v>0.61</v>
      </c>
      <c r="V15" s="14">
        <v>0.56000000000000005</v>
      </c>
      <c r="W15" s="14">
        <v>0.57000000000000006</v>
      </c>
      <c r="X15" s="14">
        <v>0.49</v>
      </c>
      <c r="Y15" s="14">
        <v>0.57000000000000006</v>
      </c>
      <c r="Z15" s="14">
        <v>0.57000000000000006</v>
      </c>
      <c r="AA15" s="14">
        <v>0.53</v>
      </c>
      <c r="AB15" s="14">
        <v>0.55000000000000004</v>
      </c>
      <c r="AC15" s="14">
        <v>0.57000000000000006</v>
      </c>
      <c r="AD15" s="14">
        <v>0.57999999999999996</v>
      </c>
      <c r="AE15" s="14">
        <v>0.5</v>
      </c>
      <c r="AF15" s="14">
        <v>0.6</v>
      </c>
    </row>
    <row r="16" spans="1:32" x14ac:dyDescent="0.35">
      <c r="A16" s="31"/>
      <c r="B16" s="11" t="s">
        <v>1095</v>
      </c>
      <c r="C16" s="12">
        <v>6706</v>
      </c>
      <c r="D16" s="12">
        <v>244</v>
      </c>
      <c r="E16" s="12">
        <v>287</v>
      </c>
      <c r="F16" s="12">
        <v>248</v>
      </c>
      <c r="G16" s="12">
        <v>249</v>
      </c>
      <c r="H16" s="12">
        <v>312</v>
      </c>
      <c r="I16" s="12">
        <v>399</v>
      </c>
      <c r="J16" s="12">
        <v>87</v>
      </c>
      <c r="K16" s="12">
        <v>246</v>
      </c>
      <c r="L16" s="12">
        <v>191</v>
      </c>
      <c r="M16" s="12">
        <v>269</v>
      </c>
      <c r="N16" s="12">
        <v>235</v>
      </c>
      <c r="O16" s="12">
        <v>258</v>
      </c>
      <c r="P16" s="12">
        <v>269</v>
      </c>
      <c r="Q16" s="12">
        <v>287</v>
      </c>
      <c r="R16" s="12">
        <v>105</v>
      </c>
      <c r="S16" s="12">
        <v>258</v>
      </c>
      <c r="T16" s="12">
        <v>242</v>
      </c>
      <c r="U16" s="12">
        <v>91</v>
      </c>
      <c r="V16" s="12">
        <v>245</v>
      </c>
      <c r="W16" s="12">
        <v>105</v>
      </c>
      <c r="X16" s="12">
        <v>244</v>
      </c>
      <c r="Y16" s="12">
        <v>232</v>
      </c>
      <c r="Z16" s="12">
        <v>246</v>
      </c>
      <c r="AA16" s="12">
        <v>285</v>
      </c>
      <c r="AB16" s="12">
        <v>251</v>
      </c>
      <c r="AC16" s="12">
        <v>259</v>
      </c>
      <c r="AD16" s="12">
        <v>219</v>
      </c>
      <c r="AE16" s="12">
        <v>276</v>
      </c>
      <c r="AF16" s="12">
        <v>288</v>
      </c>
    </row>
    <row r="17" spans="1:32" x14ac:dyDescent="0.35">
      <c r="A17" s="31"/>
      <c r="B17" s="13" t="s">
        <v>1095</v>
      </c>
      <c r="C17" s="14">
        <v>0.25</v>
      </c>
      <c r="D17" s="14">
        <v>0.24</v>
      </c>
      <c r="E17" s="14">
        <v>0.28000000000000003</v>
      </c>
      <c r="F17" s="14">
        <v>0.24</v>
      </c>
      <c r="G17" s="14">
        <v>0.25</v>
      </c>
      <c r="H17" s="14">
        <v>0.25</v>
      </c>
      <c r="I17" s="14">
        <v>0.26</v>
      </c>
      <c r="J17" s="14">
        <v>0.28999999999999998</v>
      </c>
      <c r="K17" s="14">
        <v>0.24</v>
      </c>
      <c r="L17" s="14">
        <v>0.19</v>
      </c>
      <c r="M17" s="14">
        <v>0.27</v>
      </c>
      <c r="N17" s="14">
        <v>0.23</v>
      </c>
      <c r="O17" s="14">
        <v>0.26</v>
      </c>
      <c r="P17" s="14">
        <v>0.27</v>
      </c>
      <c r="Q17" s="14">
        <v>0.28000000000000003</v>
      </c>
      <c r="R17" s="14">
        <v>0.21</v>
      </c>
      <c r="S17" s="14">
        <v>0.25</v>
      </c>
      <c r="T17" s="14">
        <v>0.24</v>
      </c>
      <c r="U17" s="14">
        <v>0.18</v>
      </c>
      <c r="V17" s="14">
        <v>0.24</v>
      </c>
      <c r="W17" s="14">
        <v>0.21</v>
      </c>
      <c r="X17" s="14">
        <v>0.24</v>
      </c>
      <c r="Y17" s="14">
        <v>0.23</v>
      </c>
      <c r="Z17" s="14">
        <v>0.24</v>
      </c>
      <c r="AA17" s="14">
        <v>0.28000000000000003</v>
      </c>
      <c r="AB17" s="14">
        <v>0.24</v>
      </c>
      <c r="AC17" s="14">
        <v>0.25</v>
      </c>
      <c r="AD17" s="14">
        <v>0.22</v>
      </c>
      <c r="AE17" s="14">
        <v>0.28000000000000003</v>
      </c>
      <c r="AF17" s="14">
        <v>0.28000000000000003</v>
      </c>
    </row>
    <row r="18" spans="1:32" x14ac:dyDescent="0.35">
      <c r="A18" s="31"/>
      <c r="B18" s="11" t="s">
        <v>727</v>
      </c>
      <c r="C18" s="12">
        <v>49.24</v>
      </c>
      <c r="D18" s="12">
        <v>48.21</v>
      </c>
      <c r="E18" s="12">
        <v>50.18</v>
      </c>
      <c r="F18" s="12">
        <v>48.36</v>
      </c>
      <c r="G18" s="12">
        <v>48.77</v>
      </c>
      <c r="H18" s="12">
        <v>49.65</v>
      </c>
      <c r="I18" s="12">
        <v>49.94</v>
      </c>
      <c r="J18" s="12">
        <v>51.17</v>
      </c>
      <c r="K18" s="12">
        <v>48.6</v>
      </c>
      <c r="L18" s="12">
        <v>46.09</v>
      </c>
      <c r="M18" s="12">
        <v>50.15</v>
      </c>
      <c r="N18" s="12">
        <v>48.93</v>
      </c>
      <c r="O18" s="12">
        <v>48.75</v>
      </c>
      <c r="P18" s="12">
        <v>49.26</v>
      </c>
      <c r="Q18" s="12">
        <v>50.43</v>
      </c>
      <c r="R18" s="12">
        <v>47.15</v>
      </c>
      <c r="S18" s="12">
        <v>49.42</v>
      </c>
      <c r="T18" s="12">
        <v>49.02</v>
      </c>
      <c r="U18" s="12">
        <v>46.24</v>
      </c>
      <c r="V18" s="12">
        <v>48.7</v>
      </c>
      <c r="W18" s="12">
        <v>46.55</v>
      </c>
      <c r="X18" s="12">
        <v>47.68</v>
      </c>
      <c r="Y18" s="12">
        <v>48.39</v>
      </c>
      <c r="Z18" s="12">
        <v>48.5</v>
      </c>
      <c r="AA18" s="12">
        <v>50.15</v>
      </c>
      <c r="AB18" s="12">
        <v>48.04</v>
      </c>
      <c r="AC18" s="12">
        <v>49.86</v>
      </c>
      <c r="AD18" s="12">
        <v>47.64</v>
      </c>
      <c r="AE18" s="12">
        <v>49.69</v>
      </c>
      <c r="AF18" s="12">
        <v>52.37</v>
      </c>
    </row>
    <row r="19" spans="1:32" x14ac:dyDescent="0.35">
      <c r="A19" s="31"/>
      <c r="B19" s="13" t="s">
        <v>728</v>
      </c>
      <c r="C19" s="15" t="s">
        <v>333</v>
      </c>
      <c r="D19" s="15" t="s">
        <v>333</v>
      </c>
      <c r="E19" s="15" t="s">
        <v>333</v>
      </c>
      <c r="F19" s="15" t="s">
        <v>333</v>
      </c>
      <c r="G19" s="15" t="s">
        <v>333</v>
      </c>
      <c r="H19" s="15" t="s">
        <v>333</v>
      </c>
      <c r="I19" s="15" t="s">
        <v>333</v>
      </c>
      <c r="J19" s="15" t="s">
        <v>333</v>
      </c>
      <c r="K19" s="15" t="s">
        <v>333</v>
      </c>
      <c r="L19" s="15" t="s">
        <v>333</v>
      </c>
      <c r="M19" s="15" t="s">
        <v>333</v>
      </c>
      <c r="N19" s="15" t="s">
        <v>333</v>
      </c>
      <c r="O19" s="15" t="s">
        <v>333</v>
      </c>
      <c r="P19" s="15" t="s">
        <v>333</v>
      </c>
      <c r="Q19" s="15" t="s">
        <v>333</v>
      </c>
      <c r="R19" s="15" t="s">
        <v>333</v>
      </c>
      <c r="S19" s="15" t="s">
        <v>333</v>
      </c>
      <c r="T19" s="15" t="s">
        <v>333</v>
      </c>
      <c r="U19" s="15" t="s">
        <v>333</v>
      </c>
      <c r="V19" s="15" t="s">
        <v>333</v>
      </c>
      <c r="W19" s="15" t="s">
        <v>333</v>
      </c>
      <c r="X19" s="15" t="s">
        <v>333</v>
      </c>
      <c r="Y19" s="15" t="s">
        <v>333</v>
      </c>
      <c r="Z19" s="15" t="s">
        <v>333</v>
      </c>
      <c r="AA19" s="15" t="s">
        <v>333</v>
      </c>
      <c r="AB19" s="15" t="s">
        <v>333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213</v>
      </c>
      <c r="C3" s="30"/>
      <c r="D3" s="30"/>
      <c r="E3" s="30"/>
      <c r="F3" s="30"/>
      <c r="H3" s="30" t="s">
        <v>214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1096</v>
      </c>
      <c r="C12" s="12">
        <v>1181</v>
      </c>
      <c r="D12" s="12">
        <v>44</v>
      </c>
      <c r="E12" s="12">
        <v>29</v>
      </c>
      <c r="F12" s="12">
        <v>24</v>
      </c>
      <c r="G12" s="12">
        <v>59</v>
      </c>
      <c r="H12" s="12">
        <v>81</v>
      </c>
      <c r="I12" s="12">
        <v>100</v>
      </c>
      <c r="J12" s="12">
        <v>19</v>
      </c>
      <c r="K12" s="12">
        <v>48</v>
      </c>
      <c r="L12" s="12">
        <v>36</v>
      </c>
      <c r="M12" s="12">
        <v>49</v>
      </c>
      <c r="N12" s="12">
        <v>51</v>
      </c>
      <c r="O12" s="12">
        <v>50</v>
      </c>
      <c r="P12" s="12">
        <v>30</v>
      </c>
      <c r="Q12" s="12">
        <v>33</v>
      </c>
      <c r="R12" s="12">
        <v>22</v>
      </c>
      <c r="S12" s="12">
        <v>50</v>
      </c>
      <c r="T12" s="12">
        <v>47</v>
      </c>
      <c r="U12" s="12">
        <v>21</v>
      </c>
      <c r="V12" s="12">
        <v>29</v>
      </c>
      <c r="W12" s="12">
        <v>23</v>
      </c>
      <c r="X12" s="12">
        <v>19</v>
      </c>
      <c r="Y12" s="12">
        <v>31</v>
      </c>
      <c r="Z12" s="12">
        <v>34</v>
      </c>
      <c r="AA12" s="12">
        <v>51</v>
      </c>
      <c r="AB12" s="12">
        <v>22</v>
      </c>
      <c r="AC12" s="12">
        <v>53</v>
      </c>
      <c r="AD12" s="12">
        <v>12</v>
      </c>
      <c r="AE12" s="12">
        <v>52</v>
      </c>
      <c r="AF12" s="12">
        <v>87</v>
      </c>
    </row>
    <row r="13" spans="1:32" x14ac:dyDescent="0.35">
      <c r="A13" s="31"/>
      <c r="B13" s="13" t="s">
        <v>1097</v>
      </c>
      <c r="C13" s="14">
        <v>0.05</v>
      </c>
      <c r="D13" s="14">
        <v>0.04</v>
      </c>
      <c r="E13" s="14">
        <v>0.03</v>
      </c>
      <c r="F13" s="14">
        <v>0.02</v>
      </c>
      <c r="G13" s="14">
        <v>0.06</v>
      </c>
      <c r="H13" s="14">
        <v>0.06</v>
      </c>
      <c r="I13" s="14">
        <v>0.06</v>
      </c>
      <c r="J13" s="14">
        <v>0.06</v>
      </c>
      <c r="K13" s="14">
        <v>0.05</v>
      </c>
      <c r="L13" s="14">
        <v>0.03</v>
      </c>
      <c r="M13" s="14">
        <v>0.05</v>
      </c>
      <c r="N13" s="14">
        <v>0.05</v>
      </c>
      <c r="O13" s="14">
        <v>0.05</v>
      </c>
      <c r="P13" s="14">
        <v>0.03</v>
      </c>
      <c r="Q13" s="14">
        <v>0.03</v>
      </c>
      <c r="R13" s="14">
        <v>0.04</v>
      </c>
      <c r="S13" s="14">
        <v>0.05</v>
      </c>
      <c r="T13" s="14">
        <v>0.04</v>
      </c>
      <c r="U13" s="14">
        <v>0.04</v>
      </c>
      <c r="V13" s="14">
        <v>0.03</v>
      </c>
      <c r="W13" s="14">
        <v>0.05</v>
      </c>
      <c r="X13" s="14">
        <v>0.02</v>
      </c>
      <c r="Y13" s="14">
        <v>0.03</v>
      </c>
      <c r="Z13" s="14">
        <v>0.04</v>
      </c>
      <c r="AA13" s="14">
        <v>0.05</v>
      </c>
      <c r="AB13" s="14">
        <v>0.02</v>
      </c>
      <c r="AC13" s="14">
        <v>0.05</v>
      </c>
      <c r="AD13" s="14">
        <v>0.01</v>
      </c>
      <c r="AE13" s="14">
        <v>0.05</v>
      </c>
      <c r="AF13" s="14">
        <v>0.09</v>
      </c>
    </row>
    <row r="14" spans="1:32" x14ac:dyDescent="0.35">
      <c r="A14" s="31"/>
      <c r="B14" s="11" t="s">
        <v>1098</v>
      </c>
      <c r="C14" s="12">
        <v>7188</v>
      </c>
      <c r="D14" s="12">
        <v>277</v>
      </c>
      <c r="E14" s="12">
        <v>311</v>
      </c>
      <c r="F14" s="12">
        <v>273</v>
      </c>
      <c r="G14" s="12">
        <v>263</v>
      </c>
      <c r="H14" s="12">
        <v>318</v>
      </c>
      <c r="I14" s="12">
        <v>410</v>
      </c>
      <c r="J14" s="12">
        <v>92</v>
      </c>
      <c r="K14" s="12">
        <v>255</v>
      </c>
      <c r="L14" s="12">
        <v>199</v>
      </c>
      <c r="M14" s="12">
        <v>284</v>
      </c>
      <c r="N14" s="12">
        <v>238</v>
      </c>
      <c r="O14" s="12">
        <v>271</v>
      </c>
      <c r="P14" s="12">
        <v>292</v>
      </c>
      <c r="Q14" s="12">
        <v>327</v>
      </c>
      <c r="R14" s="12">
        <v>114</v>
      </c>
      <c r="S14" s="12">
        <v>288</v>
      </c>
      <c r="T14" s="12">
        <v>271</v>
      </c>
      <c r="U14" s="12">
        <v>106</v>
      </c>
      <c r="V14" s="12">
        <v>265</v>
      </c>
      <c r="W14" s="12">
        <v>116</v>
      </c>
      <c r="X14" s="12">
        <v>303</v>
      </c>
      <c r="Y14" s="12">
        <v>272</v>
      </c>
      <c r="Z14" s="12">
        <v>266</v>
      </c>
      <c r="AA14" s="12">
        <v>283</v>
      </c>
      <c r="AB14" s="12">
        <v>279</v>
      </c>
      <c r="AC14" s="12">
        <v>275</v>
      </c>
      <c r="AD14" s="12">
        <v>256</v>
      </c>
      <c r="AE14" s="12">
        <v>293</v>
      </c>
      <c r="AF14" s="12">
        <v>265</v>
      </c>
    </row>
    <row r="15" spans="1:32" x14ac:dyDescent="0.35">
      <c r="A15" s="31"/>
      <c r="B15" s="13" t="s">
        <v>1098</v>
      </c>
      <c r="C15" s="14">
        <v>0.27</v>
      </c>
      <c r="D15" s="14">
        <v>0.27</v>
      </c>
      <c r="E15" s="14">
        <v>0.3</v>
      </c>
      <c r="F15" s="14">
        <v>0.27</v>
      </c>
      <c r="G15" s="14">
        <v>0.26</v>
      </c>
      <c r="H15" s="14">
        <v>0.26</v>
      </c>
      <c r="I15" s="14">
        <v>0.27</v>
      </c>
      <c r="J15" s="14">
        <v>0.31</v>
      </c>
      <c r="K15" s="14">
        <v>0.25</v>
      </c>
      <c r="L15" s="14">
        <v>0.2</v>
      </c>
      <c r="M15" s="14">
        <v>0.28000000000000003</v>
      </c>
      <c r="N15" s="14">
        <v>0.24</v>
      </c>
      <c r="O15" s="14">
        <v>0.27</v>
      </c>
      <c r="P15" s="14">
        <v>0.28999999999999998</v>
      </c>
      <c r="Q15" s="14">
        <v>0.32</v>
      </c>
      <c r="R15" s="14">
        <v>0.23</v>
      </c>
      <c r="S15" s="14">
        <v>0.28000000000000003</v>
      </c>
      <c r="T15" s="14">
        <v>0.27</v>
      </c>
      <c r="U15" s="14">
        <v>0.21</v>
      </c>
      <c r="V15" s="14">
        <v>0.26</v>
      </c>
      <c r="W15" s="14">
        <v>0.23</v>
      </c>
      <c r="X15" s="14">
        <v>0.3</v>
      </c>
      <c r="Y15" s="14">
        <v>0.27</v>
      </c>
      <c r="Z15" s="14">
        <v>0.26</v>
      </c>
      <c r="AA15" s="14">
        <v>0.27</v>
      </c>
      <c r="AB15" s="14">
        <v>0.26</v>
      </c>
      <c r="AC15" s="14">
        <v>0.27</v>
      </c>
      <c r="AD15" s="14">
        <v>0.25</v>
      </c>
      <c r="AE15" s="14">
        <v>0.28999999999999998</v>
      </c>
      <c r="AF15" s="14">
        <v>0.26</v>
      </c>
    </row>
    <row r="16" spans="1:32" x14ac:dyDescent="0.35">
      <c r="A16" s="31"/>
      <c r="B16" s="11" t="s">
        <v>1099</v>
      </c>
      <c r="C16" s="12">
        <v>7104</v>
      </c>
      <c r="D16" s="12">
        <v>255</v>
      </c>
      <c r="E16" s="12">
        <v>317</v>
      </c>
      <c r="F16" s="12">
        <v>289</v>
      </c>
      <c r="G16" s="12">
        <v>242</v>
      </c>
      <c r="H16" s="12">
        <v>332</v>
      </c>
      <c r="I16" s="12">
        <v>399</v>
      </c>
      <c r="J16" s="12">
        <v>67</v>
      </c>
      <c r="K16" s="12">
        <v>257</v>
      </c>
      <c r="L16" s="12">
        <v>279</v>
      </c>
      <c r="M16" s="12">
        <v>268</v>
      </c>
      <c r="N16" s="12">
        <v>301</v>
      </c>
      <c r="O16" s="12">
        <v>242</v>
      </c>
      <c r="P16" s="12">
        <v>281</v>
      </c>
      <c r="Q16" s="12">
        <v>292</v>
      </c>
      <c r="R16" s="12">
        <v>125</v>
      </c>
      <c r="S16" s="12">
        <v>260</v>
      </c>
      <c r="T16" s="12">
        <v>264</v>
      </c>
      <c r="U16" s="12">
        <v>119</v>
      </c>
      <c r="V16" s="12">
        <v>304</v>
      </c>
      <c r="W16" s="12">
        <v>110</v>
      </c>
      <c r="X16" s="12">
        <v>242</v>
      </c>
      <c r="Y16" s="12">
        <v>257</v>
      </c>
      <c r="Z16" s="12">
        <v>265</v>
      </c>
      <c r="AA16" s="12">
        <v>297</v>
      </c>
      <c r="AB16" s="12">
        <v>306</v>
      </c>
      <c r="AC16" s="12">
        <v>273</v>
      </c>
      <c r="AD16" s="12">
        <v>309</v>
      </c>
      <c r="AE16" s="12">
        <v>237</v>
      </c>
      <c r="AF16" s="12">
        <v>294</v>
      </c>
    </row>
    <row r="17" spans="1:32" x14ac:dyDescent="0.35">
      <c r="A17" s="31"/>
      <c r="B17" s="13" t="s">
        <v>1099</v>
      </c>
      <c r="C17" s="14">
        <v>0.27</v>
      </c>
      <c r="D17" s="14">
        <v>0.25</v>
      </c>
      <c r="E17" s="14">
        <v>0.3</v>
      </c>
      <c r="F17" s="14">
        <v>0.28000000000000003</v>
      </c>
      <c r="G17" s="14">
        <v>0.24</v>
      </c>
      <c r="H17" s="14">
        <v>0.27</v>
      </c>
      <c r="I17" s="14">
        <v>0.26</v>
      </c>
      <c r="J17" s="14">
        <v>0.23</v>
      </c>
      <c r="K17" s="14">
        <v>0.25</v>
      </c>
      <c r="L17" s="14">
        <v>0.28000000000000003</v>
      </c>
      <c r="M17" s="14">
        <v>0.27</v>
      </c>
      <c r="N17" s="14">
        <v>0.3</v>
      </c>
      <c r="O17" s="14">
        <v>0.24</v>
      </c>
      <c r="P17" s="14">
        <v>0.28000000000000003</v>
      </c>
      <c r="Q17" s="14">
        <v>0.28000000000000003</v>
      </c>
      <c r="R17" s="14">
        <v>0.25</v>
      </c>
      <c r="S17" s="14">
        <v>0.25</v>
      </c>
      <c r="T17" s="14">
        <v>0.26</v>
      </c>
      <c r="U17" s="14">
        <v>0.23</v>
      </c>
      <c r="V17" s="14">
        <v>0.3</v>
      </c>
      <c r="W17" s="14">
        <v>0.22</v>
      </c>
      <c r="X17" s="14">
        <v>0.24</v>
      </c>
      <c r="Y17" s="14">
        <v>0.26</v>
      </c>
      <c r="Z17" s="14">
        <v>0.26</v>
      </c>
      <c r="AA17" s="14">
        <v>0.28999999999999998</v>
      </c>
      <c r="AB17" s="14">
        <v>0.28999999999999998</v>
      </c>
      <c r="AC17" s="14">
        <v>0.27</v>
      </c>
      <c r="AD17" s="14">
        <v>0.31</v>
      </c>
      <c r="AE17" s="14">
        <v>0.23</v>
      </c>
      <c r="AF17" s="14">
        <v>0.28999999999999998</v>
      </c>
    </row>
    <row r="18" spans="1:32" x14ac:dyDescent="0.35">
      <c r="A18" s="31"/>
      <c r="B18" s="11" t="s">
        <v>1100</v>
      </c>
      <c r="C18" s="12">
        <v>6158</v>
      </c>
      <c r="D18" s="12">
        <v>257</v>
      </c>
      <c r="E18" s="12">
        <v>214</v>
      </c>
      <c r="F18" s="12">
        <v>269</v>
      </c>
      <c r="G18" s="12">
        <v>257</v>
      </c>
      <c r="H18" s="12">
        <v>258</v>
      </c>
      <c r="I18" s="12">
        <v>334</v>
      </c>
      <c r="J18" s="12">
        <v>76</v>
      </c>
      <c r="K18" s="12">
        <v>282</v>
      </c>
      <c r="L18" s="12">
        <v>281</v>
      </c>
      <c r="M18" s="12">
        <v>241</v>
      </c>
      <c r="N18" s="12">
        <v>219</v>
      </c>
      <c r="O18" s="12">
        <v>228</v>
      </c>
      <c r="P18" s="12">
        <v>243</v>
      </c>
      <c r="Q18" s="12">
        <v>220</v>
      </c>
      <c r="R18" s="12">
        <v>139</v>
      </c>
      <c r="S18" s="12">
        <v>251</v>
      </c>
      <c r="T18" s="12">
        <v>264</v>
      </c>
      <c r="U18" s="12">
        <v>170</v>
      </c>
      <c r="V18" s="12">
        <v>246</v>
      </c>
      <c r="W18" s="12">
        <v>158</v>
      </c>
      <c r="X18" s="12">
        <v>216</v>
      </c>
      <c r="Y18" s="12">
        <v>275</v>
      </c>
      <c r="Z18" s="12">
        <v>288</v>
      </c>
      <c r="AA18" s="12">
        <v>230</v>
      </c>
      <c r="AB18" s="12">
        <v>248</v>
      </c>
      <c r="AC18" s="12">
        <v>252</v>
      </c>
      <c r="AD18" s="12">
        <v>256</v>
      </c>
      <c r="AE18" s="12">
        <v>238</v>
      </c>
      <c r="AF18" s="12">
        <v>278</v>
      </c>
    </row>
    <row r="19" spans="1:32" x14ac:dyDescent="0.35">
      <c r="A19" s="31"/>
      <c r="B19" s="13" t="s">
        <v>1100</v>
      </c>
      <c r="C19" s="14">
        <v>0.23</v>
      </c>
      <c r="D19" s="14">
        <v>0.25</v>
      </c>
      <c r="E19" s="14">
        <v>0.21</v>
      </c>
      <c r="F19" s="14">
        <v>0.27</v>
      </c>
      <c r="G19" s="14">
        <v>0.25</v>
      </c>
      <c r="H19" s="14">
        <v>0.21</v>
      </c>
      <c r="I19" s="14">
        <v>0.22</v>
      </c>
      <c r="J19" s="14">
        <v>0.25</v>
      </c>
      <c r="K19" s="14">
        <v>0.28000000000000003</v>
      </c>
      <c r="L19" s="14">
        <v>0.28000000000000003</v>
      </c>
      <c r="M19" s="14">
        <v>0.24</v>
      </c>
      <c r="N19" s="14">
        <v>0.22</v>
      </c>
      <c r="O19" s="14">
        <v>0.23</v>
      </c>
      <c r="P19" s="14">
        <v>0.24</v>
      </c>
      <c r="Q19" s="14">
        <v>0.21</v>
      </c>
      <c r="R19" s="14">
        <v>0.28000000000000003</v>
      </c>
      <c r="S19" s="14">
        <v>0.25</v>
      </c>
      <c r="T19" s="14">
        <v>0.26</v>
      </c>
      <c r="U19" s="14">
        <v>0.33</v>
      </c>
      <c r="V19" s="14">
        <v>0.24</v>
      </c>
      <c r="W19" s="14">
        <v>0.31</v>
      </c>
      <c r="X19" s="14">
        <v>0.21</v>
      </c>
      <c r="Y19" s="14">
        <v>0.27</v>
      </c>
      <c r="Z19" s="14">
        <v>0.28000000000000003</v>
      </c>
      <c r="AA19" s="14">
        <v>0.22</v>
      </c>
      <c r="AB19" s="14">
        <v>0.24</v>
      </c>
      <c r="AC19" s="14">
        <v>0.25</v>
      </c>
      <c r="AD19" s="14">
        <v>0.26</v>
      </c>
      <c r="AE19" s="14">
        <v>0.24</v>
      </c>
      <c r="AF19" s="14">
        <v>0.27</v>
      </c>
    </row>
    <row r="20" spans="1:32" x14ac:dyDescent="0.35">
      <c r="A20" s="31"/>
      <c r="B20" s="11" t="s">
        <v>1101</v>
      </c>
      <c r="C20" s="12">
        <v>4779</v>
      </c>
      <c r="D20" s="12">
        <v>192</v>
      </c>
      <c r="E20" s="12">
        <v>167</v>
      </c>
      <c r="F20" s="12">
        <v>164</v>
      </c>
      <c r="G20" s="12">
        <v>197</v>
      </c>
      <c r="H20" s="12">
        <v>244</v>
      </c>
      <c r="I20" s="12">
        <v>288</v>
      </c>
      <c r="J20" s="12">
        <v>44</v>
      </c>
      <c r="K20" s="12">
        <v>167</v>
      </c>
      <c r="L20" s="12">
        <v>209</v>
      </c>
      <c r="M20" s="12">
        <v>162</v>
      </c>
      <c r="N20" s="12">
        <v>191</v>
      </c>
      <c r="O20" s="12">
        <v>208</v>
      </c>
      <c r="P20" s="12">
        <v>159</v>
      </c>
      <c r="Q20" s="12">
        <v>163</v>
      </c>
      <c r="R20" s="12">
        <v>101</v>
      </c>
      <c r="S20" s="12">
        <v>172</v>
      </c>
      <c r="T20" s="12">
        <v>170</v>
      </c>
      <c r="U20" s="12">
        <v>94</v>
      </c>
      <c r="V20" s="12">
        <v>169</v>
      </c>
      <c r="W20" s="12">
        <v>94</v>
      </c>
      <c r="X20" s="12">
        <v>230</v>
      </c>
      <c r="Y20" s="12">
        <v>167</v>
      </c>
      <c r="Z20" s="12">
        <v>166</v>
      </c>
      <c r="AA20" s="12">
        <v>170</v>
      </c>
      <c r="AB20" s="12">
        <v>201</v>
      </c>
      <c r="AC20" s="12">
        <v>160</v>
      </c>
      <c r="AD20" s="12">
        <v>172</v>
      </c>
      <c r="AE20" s="12">
        <v>187</v>
      </c>
      <c r="AF20" s="12">
        <v>95</v>
      </c>
    </row>
    <row r="21" spans="1:32" ht="21.5" x14ac:dyDescent="0.35">
      <c r="A21" s="31"/>
      <c r="B21" s="13" t="s">
        <v>1102</v>
      </c>
      <c r="C21" s="14">
        <v>0.18</v>
      </c>
      <c r="D21" s="14">
        <v>0.19</v>
      </c>
      <c r="E21" s="14">
        <v>0.16</v>
      </c>
      <c r="F21" s="14">
        <v>0.16</v>
      </c>
      <c r="G21" s="14">
        <v>0.19</v>
      </c>
      <c r="H21" s="14">
        <v>0.2</v>
      </c>
      <c r="I21" s="14">
        <v>0.19</v>
      </c>
      <c r="J21" s="14">
        <v>0.15</v>
      </c>
      <c r="K21" s="14">
        <v>0.17</v>
      </c>
      <c r="L21" s="14">
        <v>0.21</v>
      </c>
      <c r="M21" s="14">
        <v>0.16</v>
      </c>
      <c r="N21" s="14">
        <v>0.19</v>
      </c>
      <c r="O21" s="14">
        <v>0.21</v>
      </c>
      <c r="P21" s="14">
        <v>0.16</v>
      </c>
      <c r="Q21" s="14">
        <v>0.16</v>
      </c>
      <c r="R21" s="14">
        <v>0.2</v>
      </c>
      <c r="S21" s="14">
        <v>0.17</v>
      </c>
      <c r="T21" s="14">
        <v>0.17</v>
      </c>
      <c r="U21" s="14">
        <v>0.19</v>
      </c>
      <c r="V21" s="14">
        <v>0.17</v>
      </c>
      <c r="W21" s="14">
        <v>0.19</v>
      </c>
      <c r="X21" s="14">
        <v>0.23</v>
      </c>
      <c r="Y21" s="14">
        <v>0.17</v>
      </c>
      <c r="Z21" s="14">
        <v>0.16</v>
      </c>
      <c r="AA21" s="14">
        <v>0.17</v>
      </c>
      <c r="AB21" s="14">
        <v>0.19</v>
      </c>
      <c r="AC21" s="14">
        <v>0.16</v>
      </c>
      <c r="AD21" s="14">
        <v>0.17</v>
      </c>
      <c r="AE21" s="14">
        <v>0.19</v>
      </c>
      <c r="AF21" s="14">
        <v>0.09</v>
      </c>
    </row>
    <row r="22" spans="1:32" x14ac:dyDescent="0.35">
      <c r="A22" s="31"/>
      <c r="B22" s="11" t="s">
        <v>727</v>
      </c>
      <c r="C22" s="12">
        <v>49.24</v>
      </c>
      <c r="D22" s="12">
        <v>48.21</v>
      </c>
      <c r="E22" s="12">
        <v>50.18</v>
      </c>
      <c r="F22" s="12">
        <v>48.36</v>
      </c>
      <c r="G22" s="12">
        <v>48.77</v>
      </c>
      <c r="H22" s="12">
        <v>49.65</v>
      </c>
      <c r="I22" s="12">
        <v>49.94</v>
      </c>
      <c r="J22" s="12">
        <v>51.17</v>
      </c>
      <c r="K22" s="12">
        <v>48.6</v>
      </c>
      <c r="L22" s="12">
        <v>46.09</v>
      </c>
      <c r="M22" s="12">
        <v>50.15</v>
      </c>
      <c r="N22" s="12">
        <v>48.93</v>
      </c>
      <c r="O22" s="12">
        <v>48.75</v>
      </c>
      <c r="P22" s="12">
        <v>49.26</v>
      </c>
      <c r="Q22" s="12">
        <v>50.43</v>
      </c>
      <c r="R22" s="12">
        <v>47.15</v>
      </c>
      <c r="S22" s="12">
        <v>49.42</v>
      </c>
      <c r="T22" s="12">
        <v>49.02</v>
      </c>
      <c r="U22" s="12">
        <v>46.24</v>
      </c>
      <c r="V22" s="12">
        <v>48.7</v>
      </c>
      <c r="W22" s="12">
        <v>46.55</v>
      </c>
      <c r="X22" s="12">
        <v>47.68</v>
      </c>
      <c r="Y22" s="12">
        <v>48.39</v>
      </c>
      <c r="Z22" s="12">
        <v>48.5</v>
      </c>
      <c r="AA22" s="12">
        <v>50.15</v>
      </c>
      <c r="AB22" s="12">
        <v>48.04</v>
      </c>
      <c r="AC22" s="12">
        <v>49.86</v>
      </c>
      <c r="AD22" s="12">
        <v>47.64</v>
      </c>
      <c r="AE22" s="12">
        <v>49.69</v>
      </c>
      <c r="AF22" s="12">
        <v>52.37</v>
      </c>
    </row>
    <row r="23" spans="1:32" x14ac:dyDescent="0.35">
      <c r="A23" s="31"/>
      <c r="B23" s="13" t="s">
        <v>728</v>
      </c>
      <c r="C23" s="15" t="s">
        <v>333</v>
      </c>
      <c r="D23" s="15" t="s">
        <v>333</v>
      </c>
      <c r="E23" s="15" t="s">
        <v>333</v>
      </c>
      <c r="F23" s="15" t="s">
        <v>333</v>
      </c>
      <c r="G23" s="15" t="s">
        <v>333</v>
      </c>
      <c r="H23" s="15" t="s">
        <v>333</v>
      </c>
      <c r="I23" s="15" t="s">
        <v>333</v>
      </c>
      <c r="J23" s="15" t="s">
        <v>333</v>
      </c>
      <c r="K23" s="15" t="s">
        <v>333</v>
      </c>
      <c r="L23" s="15" t="s">
        <v>333</v>
      </c>
      <c r="M23" s="15" t="s">
        <v>333</v>
      </c>
      <c r="N23" s="15" t="s">
        <v>333</v>
      </c>
      <c r="O23" s="15" t="s">
        <v>333</v>
      </c>
      <c r="P23" s="15" t="s">
        <v>333</v>
      </c>
      <c r="Q23" s="15" t="s">
        <v>333</v>
      </c>
      <c r="R23" s="15" t="s">
        <v>333</v>
      </c>
      <c r="S23" s="15" t="s">
        <v>333</v>
      </c>
      <c r="T23" s="15" t="s">
        <v>333</v>
      </c>
      <c r="U23" s="15" t="s">
        <v>333</v>
      </c>
      <c r="V23" s="15" t="s">
        <v>333</v>
      </c>
      <c r="W23" s="15" t="s">
        <v>333</v>
      </c>
      <c r="X23" s="15" t="s">
        <v>333</v>
      </c>
      <c r="Y23" s="15" t="s">
        <v>333</v>
      </c>
      <c r="Z23" s="15" t="s">
        <v>333</v>
      </c>
      <c r="AA23" s="15" t="s">
        <v>333</v>
      </c>
      <c r="AB23" s="15" t="s">
        <v>333</v>
      </c>
      <c r="AC23" s="15" t="s">
        <v>333</v>
      </c>
      <c r="AD23" s="15" t="s">
        <v>333</v>
      </c>
      <c r="AE23" s="15" t="s">
        <v>333</v>
      </c>
      <c r="AF23" s="15" t="s">
        <v>333</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215</v>
      </c>
      <c r="C3" s="30"/>
      <c r="D3" s="30"/>
      <c r="E3" s="30"/>
      <c r="F3" s="30"/>
      <c r="H3" s="30" t="s">
        <v>216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HYPERLINK("#Content!A109","&lt;&lt;Back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1103</v>
      </c>
      <c r="C12" s="12">
        <v>3064</v>
      </c>
      <c r="D12" s="12">
        <v>55</v>
      </c>
      <c r="E12" s="12">
        <v>87</v>
      </c>
      <c r="F12" s="12">
        <v>29</v>
      </c>
      <c r="G12" s="12">
        <v>13</v>
      </c>
      <c r="H12" s="12">
        <v>119</v>
      </c>
      <c r="I12" s="12">
        <v>141</v>
      </c>
      <c r="J12" s="12">
        <v>22</v>
      </c>
      <c r="K12" s="12">
        <v>22</v>
      </c>
      <c r="L12" s="12">
        <v>85</v>
      </c>
      <c r="M12" s="12">
        <v>229</v>
      </c>
      <c r="N12" s="12">
        <v>203</v>
      </c>
      <c r="O12" s="12">
        <v>95</v>
      </c>
      <c r="P12" s="12">
        <v>82</v>
      </c>
      <c r="Q12" s="12">
        <v>223</v>
      </c>
      <c r="R12" s="12">
        <v>75</v>
      </c>
      <c r="S12" s="12">
        <v>54</v>
      </c>
      <c r="T12" s="12">
        <v>38</v>
      </c>
      <c r="U12" s="12">
        <v>32</v>
      </c>
      <c r="V12" s="12">
        <v>94</v>
      </c>
      <c r="W12" s="12">
        <v>60</v>
      </c>
      <c r="X12" s="12">
        <v>28</v>
      </c>
      <c r="Y12" s="12">
        <v>136</v>
      </c>
      <c r="Z12" s="12">
        <v>30</v>
      </c>
      <c r="AA12" s="12">
        <v>370</v>
      </c>
      <c r="AB12" s="12">
        <v>83</v>
      </c>
      <c r="AC12" s="12">
        <v>86</v>
      </c>
      <c r="AD12" s="12">
        <v>19</v>
      </c>
      <c r="AE12" s="12">
        <v>40</v>
      </c>
      <c r="AF12" s="12">
        <v>18</v>
      </c>
    </row>
    <row r="13" spans="1:32" x14ac:dyDescent="0.35">
      <c r="A13" s="31"/>
      <c r="B13" s="13" t="s">
        <v>1103</v>
      </c>
      <c r="C13" s="14">
        <v>0.12</v>
      </c>
      <c r="D13" s="14">
        <v>0.05</v>
      </c>
      <c r="E13" s="14">
        <v>0.09</v>
      </c>
      <c r="F13" s="14">
        <v>0.03</v>
      </c>
      <c r="G13" s="14">
        <v>0.01</v>
      </c>
      <c r="H13" s="14">
        <v>0.1</v>
      </c>
      <c r="I13" s="14">
        <v>0.09</v>
      </c>
      <c r="J13" s="14">
        <v>0.08</v>
      </c>
      <c r="K13" s="14">
        <v>0.02</v>
      </c>
      <c r="L13" s="14">
        <v>0.09</v>
      </c>
      <c r="M13" s="14">
        <v>0.23</v>
      </c>
      <c r="N13" s="14">
        <v>0.2</v>
      </c>
      <c r="O13" s="14">
        <v>0.1</v>
      </c>
      <c r="P13" s="14">
        <v>0.08</v>
      </c>
      <c r="Q13" s="14">
        <v>0.22</v>
      </c>
      <c r="R13" s="14">
        <v>0.15</v>
      </c>
      <c r="S13" s="14">
        <v>0.05</v>
      </c>
      <c r="T13" s="14">
        <v>0.04</v>
      </c>
      <c r="U13" s="14">
        <v>0.06</v>
      </c>
      <c r="V13" s="14">
        <v>0.09</v>
      </c>
      <c r="W13" s="14">
        <v>0.12</v>
      </c>
      <c r="X13" s="14">
        <v>0.03</v>
      </c>
      <c r="Y13" s="14">
        <v>0.14000000000000001</v>
      </c>
      <c r="Z13" s="14">
        <v>0.03</v>
      </c>
      <c r="AA13" s="14">
        <v>0.36</v>
      </c>
      <c r="AB13" s="14">
        <v>0.08</v>
      </c>
      <c r="AC13" s="14">
        <v>0.08</v>
      </c>
      <c r="AD13" s="14">
        <v>0.02</v>
      </c>
      <c r="AE13" s="14">
        <v>0.04</v>
      </c>
      <c r="AF13" s="14">
        <v>0.02</v>
      </c>
    </row>
    <row r="14" spans="1:32" x14ac:dyDescent="0.35">
      <c r="A14" s="31"/>
      <c r="B14" s="11" t="s">
        <v>1104</v>
      </c>
      <c r="C14" s="12">
        <v>12327</v>
      </c>
      <c r="D14" s="12">
        <v>335</v>
      </c>
      <c r="E14" s="12">
        <v>654</v>
      </c>
      <c r="F14" s="12">
        <v>592</v>
      </c>
      <c r="G14" s="12">
        <v>95</v>
      </c>
      <c r="H14" s="12">
        <v>595</v>
      </c>
      <c r="I14" s="12">
        <v>750</v>
      </c>
      <c r="J14" s="12">
        <v>155</v>
      </c>
      <c r="K14" s="12">
        <v>453</v>
      </c>
      <c r="L14" s="12">
        <v>400</v>
      </c>
      <c r="M14" s="12">
        <v>405</v>
      </c>
      <c r="N14" s="12">
        <v>420</v>
      </c>
      <c r="O14" s="12">
        <v>422</v>
      </c>
      <c r="P14" s="12">
        <v>747</v>
      </c>
      <c r="Q14" s="12">
        <v>541</v>
      </c>
      <c r="R14" s="12">
        <v>179</v>
      </c>
      <c r="S14" s="12">
        <v>497</v>
      </c>
      <c r="T14" s="12">
        <v>440</v>
      </c>
      <c r="U14" s="12">
        <v>147</v>
      </c>
      <c r="V14" s="12">
        <v>688</v>
      </c>
      <c r="W14" s="12">
        <v>219</v>
      </c>
      <c r="X14" s="12">
        <v>249</v>
      </c>
      <c r="Y14" s="12">
        <v>567</v>
      </c>
      <c r="Z14" s="12">
        <v>564</v>
      </c>
      <c r="AA14" s="12">
        <v>356</v>
      </c>
      <c r="AB14" s="12">
        <v>749</v>
      </c>
      <c r="AC14" s="12">
        <v>463</v>
      </c>
      <c r="AD14" s="12">
        <v>614</v>
      </c>
      <c r="AE14" s="12">
        <v>203</v>
      </c>
      <c r="AF14" s="12">
        <v>185</v>
      </c>
    </row>
    <row r="15" spans="1:32" x14ac:dyDescent="0.35">
      <c r="A15" s="31"/>
      <c r="B15" s="13" t="s">
        <v>1104</v>
      </c>
      <c r="C15" s="14">
        <v>0.47</v>
      </c>
      <c r="D15" s="14">
        <v>0.33</v>
      </c>
      <c r="E15" s="14">
        <v>0.63</v>
      </c>
      <c r="F15" s="14">
        <v>0.57999999999999996</v>
      </c>
      <c r="G15" s="14">
        <v>0.09</v>
      </c>
      <c r="H15" s="14">
        <v>0.48</v>
      </c>
      <c r="I15" s="14">
        <v>0.49</v>
      </c>
      <c r="J15" s="14">
        <v>0.52</v>
      </c>
      <c r="K15" s="14">
        <v>0.45</v>
      </c>
      <c r="L15" s="14">
        <v>0.4</v>
      </c>
      <c r="M15" s="14">
        <v>0.4</v>
      </c>
      <c r="N15" s="14">
        <v>0.42</v>
      </c>
      <c r="O15" s="14">
        <v>0.42</v>
      </c>
      <c r="P15" s="14">
        <v>0.74</v>
      </c>
      <c r="Q15" s="14">
        <v>0.52</v>
      </c>
      <c r="R15" s="14">
        <v>0.36</v>
      </c>
      <c r="S15" s="14">
        <v>0.49</v>
      </c>
      <c r="T15" s="14">
        <v>0.43</v>
      </c>
      <c r="U15" s="14">
        <v>0.28999999999999998</v>
      </c>
      <c r="V15" s="14">
        <v>0.68</v>
      </c>
      <c r="W15" s="14">
        <v>0.44</v>
      </c>
      <c r="X15" s="14">
        <v>0.25</v>
      </c>
      <c r="Y15" s="14">
        <v>0.56000000000000005</v>
      </c>
      <c r="Z15" s="14">
        <v>0.55000000000000004</v>
      </c>
      <c r="AA15" s="14">
        <v>0.35</v>
      </c>
      <c r="AB15" s="14">
        <v>0.71</v>
      </c>
      <c r="AC15" s="14">
        <v>0.46</v>
      </c>
      <c r="AD15" s="14">
        <v>0.61</v>
      </c>
      <c r="AE15" s="14">
        <v>0.2</v>
      </c>
      <c r="AF15" s="14">
        <v>0.18</v>
      </c>
    </row>
    <row r="16" spans="1:32" x14ac:dyDescent="0.35">
      <c r="A16" s="31"/>
      <c r="B16" s="11" t="s">
        <v>1105</v>
      </c>
      <c r="C16" s="12">
        <v>9150</v>
      </c>
      <c r="D16" s="12">
        <v>518</v>
      </c>
      <c r="E16" s="12">
        <v>281</v>
      </c>
      <c r="F16" s="12">
        <v>341</v>
      </c>
      <c r="G16" s="12">
        <v>794</v>
      </c>
      <c r="H16" s="12">
        <v>435</v>
      </c>
      <c r="I16" s="12">
        <v>543</v>
      </c>
      <c r="J16" s="12">
        <v>108</v>
      </c>
      <c r="K16" s="12">
        <v>437</v>
      </c>
      <c r="L16" s="12">
        <v>456</v>
      </c>
      <c r="M16" s="12">
        <v>326</v>
      </c>
      <c r="N16" s="12">
        <v>317</v>
      </c>
      <c r="O16" s="12">
        <v>401</v>
      </c>
      <c r="P16" s="12">
        <v>146</v>
      </c>
      <c r="Q16" s="12">
        <v>179</v>
      </c>
      <c r="R16" s="12">
        <v>225</v>
      </c>
      <c r="S16" s="12">
        <v>420</v>
      </c>
      <c r="T16" s="12">
        <v>455</v>
      </c>
      <c r="U16" s="12">
        <v>292</v>
      </c>
      <c r="V16" s="12">
        <v>199</v>
      </c>
      <c r="W16" s="12">
        <v>175</v>
      </c>
      <c r="X16" s="12">
        <v>619</v>
      </c>
      <c r="Y16" s="12">
        <v>238</v>
      </c>
      <c r="Z16" s="12">
        <v>368</v>
      </c>
      <c r="AA16" s="12">
        <v>203</v>
      </c>
      <c r="AB16" s="12">
        <v>184</v>
      </c>
      <c r="AC16" s="12">
        <v>380</v>
      </c>
      <c r="AD16" s="12">
        <v>306</v>
      </c>
      <c r="AE16" s="12">
        <v>655</v>
      </c>
      <c r="AF16" s="12">
        <v>752</v>
      </c>
    </row>
    <row r="17" spans="1:32" x14ac:dyDescent="0.35">
      <c r="A17" s="31"/>
      <c r="B17" s="13" t="s">
        <v>1105</v>
      </c>
      <c r="C17" s="14">
        <v>0.35</v>
      </c>
      <c r="D17" s="14">
        <v>0.51</v>
      </c>
      <c r="E17" s="14">
        <v>0.27</v>
      </c>
      <c r="F17" s="14">
        <v>0.34</v>
      </c>
      <c r="G17" s="14">
        <v>0.78</v>
      </c>
      <c r="H17" s="14">
        <v>0.35</v>
      </c>
      <c r="I17" s="14">
        <v>0.36</v>
      </c>
      <c r="J17" s="14">
        <v>0.36</v>
      </c>
      <c r="K17" s="14">
        <v>0.43</v>
      </c>
      <c r="L17" s="14">
        <v>0.45</v>
      </c>
      <c r="M17" s="14">
        <v>0.33</v>
      </c>
      <c r="N17" s="14">
        <v>0.32</v>
      </c>
      <c r="O17" s="14">
        <v>0.4</v>
      </c>
      <c r="P17" s="14">
        <v>0.15</v>
      </c>
      <c r="Q17" s="14">
        <v>0.17</v>
      </c>
      <c r="R17" s="14">
        <v>0.45</v>
      </c>
      <c r="S17" s="14">
        <v>0.41</v>
      </c>
      <c r="T17" s="14">
        <v>0.45</v>
      </c>
      <c r="U17" s="14">
        <v>0.57000000000000006</v>
      </c>
      <c r="V17" s="14">
        <v>0.2</v>
      </c>
      <c r="W17" s="14">
        <v>0.35</v>
      </c>
      <c r="X17" s="14">
        <v>0.61</v>
      </c>
      <c r="Y17" s="14">
        <v>0.24</v>
      </c>
      <c r="Z17" s="14">
        <v>0.36</v>
      </c>
      <c r="AA17" s="14">
        <v>0.2</v>
      </c>
      <c r="AB17" s="14">
        <v>0.17</v>
      </c>
      <c r="AC17" s="14">
        <v>0.38</v>
      </c>
      <c r="AD17" s="14">
        <v>0.31</v>
      </c>
      <c r="AE17" s="14">
        <v>0.65</v>
      </c>
      <c r="AF17" s="14">
        <v>0.74</v>
      </c>
    </row>
    <row r="18" spans="1:32" x14ac:dyDescent="0.35">
      <c r="A18" s="31"/>
      <c r="B18" s="11" t="s">
        <v>1106</v>
      </c>
      <c r="C18" s="12">
        <v>1674</v>
      </c>
      <c r="D18" s="12">
        <v>111</v>
      </c>
      <c r="E18" s="12">
        <v>11</v>
      </c>
      <c r="F18" s="12">
        <v>53</v>
      </c>
      <c r="G18" s="12">
        <v>81</v>
      </c>
      <c r="H18" s="12">
        <v>78</v>
      </c>
      <c r="I18" s="12">
        <v>91</v>
      </c>
      <c r="J18" s="12">
        <v>12</v>
      </c>
      <c r="K18" s="12">
        <v>86</v>
      </c>
      <c r="L18" s="12">
        <v>61</v>
      </c>
      <c r="M18" s="12">
        <v>43</v>
      </c>
      <c r="N18" s="12">
        <v>49</v>
      </c>
      <c r="O18" s="12">
        <v>72</v>
      </c>
      <c r="P18" s="12">
        <v>29</v>
      </c>
      <c r="Q18" s="12">
        <v>75</v>
      </c>
      <c r="R18" s="12">
        <v>19</v>
      </c>
      <c r="S18" s="12">
        <v>42</v>
      </c>
      <c r="T18" s="12">
        <v>77</v>
      </c>
      <c r="U18" s="12">
        <v>30</v>
      </c>
      <c r="V18" s="12">
        <v>31</v>
      </c>
      <c r="W18" s="12">
        <v>36</v>
      </c>
      <c r="X18" s="12">
        <v>112</v>
      </c>
      <c r="Y18" s="12">
        <v>59</v>
      </c>
      <c r="Z18" s="12">
        <v>55</v>
      </c>
      <c r="AA18" s="12">
        <v>85</v>
      </c>
      <c r="AB18" s="12">
        <v>40</v>
      </c>
      <c r="AC18" s="12">
        <v>83</v>
      </c>
      <c r="AD18" s="12">
        <v>65</v>
      </c>
      <c r="AE18" s="12">
        <v>99</v>
      </c>
      <c r="AF18" s="12">
        <v>62</v>
      </c>
    </row>
    <row r="19" spans="1:32" x14ac:dyDescent="0.35">
      <c r="A19" s="31"/>
      <c r="B19" s="13" t="s">
        <v>1107</v>
      </c>
      <c r="C19" s="14">
        <v>0.06</v>
      </c>
      <c r="D19" s="14">
        <v>0.11</v>
      </c>
      <c r="E19" s="14">
        <v>0.01</v>
      </c>
      <c r="F19" s="14">
        <v>0.05</v>
      </c>
      <c r="G19" s="14">
        <v>0.08</v>
      </c>
      <c r="H19" s="14">
        <v>7.0000000000000007E-2</v>
      </c>
      <c r="I19" s="14">
        <v>0.06</v>
      </c>
      <c r="J19" s="14">
        <v>0.04</v>
      </c>
      <c r="K19" s="14">
        <v>0.09</v>
      </c>
      <c r="L19" s="14">
        <v>0.06</v>
      </c>
      <c r="M19" s="14">
        <v>0.04</v>
      </c>
      <c r="N19" s="14">
        <v>0.05</v>
      </c>
      <c r="O19" s="14">
        <v>7.0000000000000007E-2</v>
      </c>
      <c r="P19" s="14">
        <v>0.03</v>
      </c>
      <c r="Q19" s="14">
        <v>7.0000000000000007E-2</v>
      </c>
      <c r="R19" s="14">
        <v>0.04</v>
      </c>
      <c r="S19" s="14">
        <v>0.04</v>
      </c>
      <c r="T19" s="14">
        <v>0.08</v>
      </c>
      <c r="U19" s="14">
        <v>0.06</v>
      </c>
      <c r="V19" s="14">
        <v>0.03</v>
      </c>
      <c r="W19" s="14">
        <v>7.0000000000000007E-2</v>
      </c>
      <c r="X19" s="14">
        <v>0.11</v>
      </c>
      <c r="Y19" s="14">
        <v>0.06</v>
      </c>
      <c r="Z19" s="14">
        <v>0.06</v>
      </c>
      <c r="AA19" s="14">
        <v>0.08</v>
      </c>
      <c r="AB19" s="14">
        <v>0.04</v>
      </c>
      <c r="AC19" s="14">
        <v>0.08</v>
      </c>
      <c r="AD19" s="14">
        <v>0.06</v>
      </c>
      <c r="AE19" s="14">
        <v>0.1</v>
      </c>
      <c r="AF19" s="14">
        <v>0.06</v>
      </c>
    </row>
    <row r="20" spans="1:32" x14ac:dyDescent="0.35">
      <c r="A20" s="31"/>
      <c r="B20" s="11" t="s">
        <v>1108</v>
      </c>
      <c r="C20" s="12">
        <v>57</v>
      </c>
      <c r="D20" s="12">
        <v>2</v>
      </c>
      <c r="E20" s="12">
        <v>2</v>
      </c>
      <c r="F20" s="12">
        <v>0</v>
      </c>
      <c r="G20" s="12">
        <v>27</v>
      </c>
      <c r="H20" s="12">
        <v>0</v>
      </c>
      <c r="I20" s="12">
        <v>0</v>
      </c>
      <c r="J20" s="12">
        <v>0</v>
      </c>
      <c r="K20" s="12">
        <v>1</v>
      </c>
      <c r="L20" s="12">
        <v>1</v>
      </c>
      <c r="M20" s="12">
        <v>0</v>
      </c>
      <c r="N20" s="12">
        <v>11</v>
      </c>
      <c r="O20" s="12">
        <v>1</v>
      </c>
      <c r="P20" s="12">
        <v>0</v>
      </c>
      <c r="Q20" s="12">
        <v>0</v>
      </c>
      <c r="R20" s="12">
        <v>1</v>
      </c>
      <c r="S20" s="12">
        <v>4</v>
      </c>
      <c r="T20" s="12">
        <v>0</v>
      </c>
      <c r="U20" s="12">
        <v>7</v>
      </c>
      <c r="V20" s="12">
        <v>0</v>
      </c>
      <c r="W20" s="12">
        <v>8</v>
      </c>
      <c r="X20" s="12">
        <v>3</v>
      </c>
      <c r="Y20" s="12">
        <v>0</v>
      </c>
      <c r="Z20" s="12">
        <v>0</v>
      </c>
      <c r="AA20" s="12">
        <v>3</v>
      </c>
      <c r="AB20" s="12">
        <v>0</v>
      </c>
      <c r="AC20" s="12">
        <v>2</v>
      </c>
      <c r="AD20" s="12">
        <v>0</v>
      </c>
      <c r="AE20" s="12">
        <v>4</v>
      </c>
      <c r="AF20" s="12">
        <v>0</v>
      </c>
    </row>
    <row r="21" spans="1:32" x14ac:dyDescent="0.35">
      <c r="A21" s="31"/>
      <c r="B21" s="13" t="s">
        <v>1109</v>
      </c>
      <c r="C21" s="15" t="s">
        <v>333</v>
      </c>
      <c r="D21" s="15" t="s">
        <v>333</v>
      </c>
      <c r="E21" s="15" t="s">
        <v>333</v>
      </c>
      <c r="F21" s="15" t="s">
        <v>333</v>
      </c>
      <c r="G21" s="14">
        <v>0.03</v>
      </c>
      <c r="H21" s="15" t="s">
        <v>333</v>
      </c>
      <c r="I21" s="15" t="s">
        <v>333</v>
      </c>
      <c r="J21" s="15" t="s">
        <v>333</v>
      </c>
      <c r="K21" s="15" t="s">
        <v>333</v>
      </c>
      <c r="L21" s="15" t="s">
        <v>333</v>
      </c>
      <c r="M21" s="15" t="s">
        <v>333</v>
      </c>
      <c r="N21" s="14">
        <v>0.01</v>
      </c>
      <c r="O21" s="15" t="s">
        <v>333</v>
      </c>
      <c r="P21" s="15" t="s">
        <v>333</v>
      </c>
      <c r="Q21" s="15" t="s">
        <v>333</v>
      </c>
      <c r="R21" s="15" t="s">
        <v>333</v>
      </c>
      <c r="S21" s="14">
        <v>0.01</v>
      </c>
      <c r="T21" s="15" t="s">
        <v>333</v>
      </c>
      <c r="U21" s="14">
        <v>0.02</v>
      </c>
      <c r="V21" s="15" t="s">
        <v>333</v>
      </c>
      <c r="W21" s="14">
        <v>0.02</v>
      </c>
      <c r="X21" s="15" t="s">
        <v>333</v>
      </c>
      <c r="Y21" s="15" t="s">
        <v>333</v>
      </c>
      <c r="Z21" s="15" t="s">
        <v>333</v>
      </c>
      <c r="AA21" s="15" t="s">
        <v>333</v>
      </c>
      <c r="AB21" s="15" t="s">
        <v>333</v>
      </c>
      <c r="AC21" s="15" t="s">
        <v>333</v>
      </c>
      <c r="AD21" s="15" t="s">
        <v>333</v>
      </c>
      <c r="AE21" s="14">
        <v>0.01</v>
      </c>
      <c r="AF21" s="15" t="s">
        <v>333</v>
      </c>
    </row>
    <row r="22" spans="1:32" x14ac:dyDescent="0.35">
      <c r="A22" s="31"/>
      <c r="B22" s="11" t="s">
        <v>1110</v>
      </c>
      <c r="C22" s="12">
        <v>81</v>
      </c>
      <c r="D22" s="12">
        <v>2</v>
      </c>
      <c r="E22" s="12">
        <v>0</v>
      </c>
      <c r="F22" s="12">
        <v>3</v>
      </c>
      <c r="G22" s="12">
        <v>4</v>
      </c>
      <c r="H22" s="12">
        <v>2</v>
      </c>
      <c r="I22" s="12">
        <v>3</v>
      </c>
      <c r="J22" s="12">
        <v>0</v>
      </c>
      <c r="K22" s="12">
        <v>6</v>
      </c>
      <c r="L22" s="12">
        <v>1</v>
      </c>
      <c r="M22" s="12">
        <v>1</v>
      </c>
      <c r="N22" s="12">
        <v>0</v>
      </c>
      <c r="O22" s="12">
        <v>2</v>
      </c>
      <c r="P22" s="12">
        <v>0</v>
      </c>
      <c r="Q22" s="12">
        <v>16</v>
      </c>
      <c r="R22" s="12">
        <v>1</v>
      </c>
      <c r="S22" s="12">
        <v>1</v>
      </c>
      <c r="T22" s="12">
        <v>1</v>
      </c>
      <c r="U22" s="12">
        <v>0</v>
      </c>
      <c r="V22" s="12">
        <v>1</v>
      </c>
      <c r="W22" s="12">
        <v>0</v>
      </c>
      <c r="X22" s="12">
        <v>0</v>
      </c>
      <c r="Y22" s="12">
        <v>0</v>
      </c>
      <c r="Z22" s="12">
        <v>1</v>
      </c>
      <c r="AA22" s="12">
        <v>1</v>
      </c>
      <c r="AB22" s="12">
        <v>0</v>
      </c>
      <c r="AC22" s="12">
        <v>0</v>
      </c>
      <c r="AD22" s="12">
        <v>0</v>
      </c>
      <c r="AE22" s="12">
        <v>2</v>
      </c>
      <c r="AF22" s="12">
        <v>0</v>
      </c>
    </row>
    <row r="23" spans="1:32" x14ac:dyDescent="0.35">
      <c r="A23" s="31"/>
      <c r="B23" s="13" t="s">
        <v>1111</v>
      </c>
      <c r="C23" s="15" t="s">
        <v>333</v>
      </c>
      <c r="D23" s="15" t="s">
        <v>333</v>
      </c>
      <c r="E23" s="15" t="s">
        <v>333</v>
      </c>
      <c r="F23" s="15" t="s">
        <v>333</v>
      </c>
      <c r="G23" s="14">
        <v>0.01</v>
      </c>
      <c r="H23" s="15" t="s">
        <v>333</v>
      </c>
      <c r="I23" s="15" t="s">
        <v>333</v>
      </c>
      <c r="J23" s="15" t="s">
        <v>333</v>
      </c>
      <c r="K23" s="14">
        <v>0.01</v>
      </c>
      <c r="L23" s="15" t="s">
        <v>333</v>
      </c>
      <c r="M23" s="15" t="s">
        <v>333</v>
      </c>
      <c r="N23" s="15" t="s">
        <v>333</v>
      </c>
      <c r="O23" s="15" t="s">
        <v>333</v>
      </c>
      <c r="P23" s="15" t="s">
        <v>333</v>
      </c>
      <c r="Q23" s="14">
        <v>0.02</v>
      </c>
      <c r="R23" s="15" t="s">
        <v>333</v>
      </c>
      <c r="S23" s="15" t="s">
        <v>333</v>
      </c>
      <c r="T23" s="15" t="s">
        <v>333</v>
      </c>
      <c r="U23" s="15" t="s">
        <v>333</v>
      </c>
      <c r="V23" s="15" t="s">
        <v>333</v>
      </c>
      <c r="W23" s="15" t="s">
        <v>333</v>
      </c>
      <c r="X23" s="15" t="s">
        <v>333</v>
      </c>
      <c r="Y23" s="15" t="s">
        <v>333</v>
      </c>
      <c r="Z23" s="15" t="s">
        <v>333</v>
      </c>
      <c r="AA23" s="15" t="s">
        <v>333</v>
      </c>
      <c r="AB23" s="15" t="s">
        <v>333</v>
      </c>
      <c r="AC23" s="15" t="s">
        <v>333</v>
      </c>
      <c r="AD23" s="15" t="s">
        <v>333</v>
      </c>
      <c r="AE23" s="15" t="s">
        <v>333</v>
      </c>
      <c r="AF23" s="15" t="s">
        <v>333</v>
      </c>
    </row>
    <row r="24" spans="1:32" x14ac:dyDescent="0.35">
      <c r="A24" s="31"/>
      <c r="B24" s="11" t="s">
        <v>344</v>
      </c>
      <c r="C24" s="12">
        <v>56</v>
      </c>
      <c r="D24" s="12">
        <v>3</v>
      </c>
      <c r="E24" s="12">
        <v>4</v>
      </c>
      <c r="F24" s="12">
        <v>0</v>
      </c>
      <c r="G24" s="12">
        <v>2</v>
      </c>
      <c r="H24" s="12">
        <v>2</v>
      </c>
      <c r="I24" s="12">
        <v>2</v>
      </c>
      <c r="J24" s="12">
        <v>0</v>
      </c>
      <c r="K24" s="12">
        <v>3</v>
      </c>
      <c r="L24" s="12">
        <v>0</v>
      </c>
      <c r="M24" s="12">
        <v>0</v>
      </c>
      <c r="N24" s="12">
        <v>0</v>
      </c>
      <c r="O24" s="12">
        <v>6</v>
      </c>
      <c r="P24" s="12">
        <v>0</v>
      </c>
      <c r="Q24" s="12">
        <v>2</v>
      </c>
      <c r="R24" s="12">
        <v>0</v>
      </c>
      <c r="S24" s="12">
        <v>2</v>
      </c>
      <c r="T24" s="12">
        <v>6</v>
      </c>
      <c r="U24" s="12">
        <v>1</v>
      </c>
      <c r="V24" s="12">
        <v>1</v>
      </c>
      <c r="W24" s="12">
        <v>2</v>
      </c>
      <c r="X24" s="12">
        <v>1</v>
      </c>
      <c r="Y24" s="12">
        <v>2</v>
      </c>
      <c r="Z24" s="12">
        <v>1</v>
      </c>
      <c r="AA24" s="12">
        <v>12</v>
      </c>
      <c r="AB24" s="12">
        <v>0</v>
      </c>
      <c r="AC24" s="12">
        <v>0</v>
      </c>
      <c r="AD24" s="12">
        <v>0</v>
      </c>
      <c r="AE24" s="12">
        <v>4</v>
      </c>
      <c r="AF24" s="12">
        <v>3</v>
      </c>
    </row>
    <row r="25" spans="1:32" x14ac:dyDescent="0.35">
      <c r="A25" s="31"/>
      <c r="B25" s="13" t="s">
        <v>357</v>
      </c>
      <c r="C25" s="15" t="s">
        <v>333</v>
      </c>
      <c r="D25" s="15" t="s">
        <v>333</v>
      </c>
      <c r="E25" s="15" t="s">
        <v>333</v>
      </c>
      <c r="F25" s="15" t="s">
        <v>333</v>
      </c>
      <c r="G25" s="15" t="s">
        <v>333</v>
      </c>
      <c r="H25" s="15" t="s">
        <v>333</v>
      </c>
      <c r="I25" s="15" t="s">
        <v>333</v>
      </c>
      <c r="J25" s="15" t="s">
        <v>333</v>
      </c>
      <c r="K25" s="15" t="s">
        <v>333</v>
      </c>
      <c r="L25" s="15" t="s">
        <v>333</v>
      </c>
      <c r="M25" s="15" t="s">
        <v>333</v>
      </c>
      <c r="N25" s="15" t="s">
        <v>333</v>
      </c>
      <c r="O25" s="14">
        <v>0.01</v>
      </c>
      <c r="P25" s="15" t="s">
        <v>333</v>
      </c>
      <c r="Q25" s="15" t="s">
        <v>333</v>
      </c>
      <c r="R25" s="15" t="s">
        <v>333</v>
      </c>
      <c r="S25" s="15" t="s">
        <v>333</v>
      </c>
      <c r="T25" s="15" t="s">
        <v>333</v>
      </c>
      <c r="U25" s="15" t="s">
        <v>333</v>
      </c>
      <c r="V25" s="15" t="s">
        <v>333</v>
      </c>
      <c r="W25" s="15" t="s">
        <v>333</v>
      </c>
      <c r="X25" s="15" t="s">
        <v>333</v>
      </c>
      <c r="Y25" s="15" t="s">
        <v>333</v>
      </c>
      <c r="Z25" s="15" t="s">
        <v>333</v>
      </c>
      <c r="AA25" s="14">
        <v>0.01</v>
      </c>
      <c r="AB25" s="15" t="s">
        <v>333</v>
      </c>
      <c r="AC25" s="15" t="s">
        <v>333</v>
      </c>
      <c r="AD25" s="15" t="s">
        <v>333</v>
      </c>
      <c r="AE25" s="15" t="s">
        <v>333</v>
      </c>
      <c r="AF25" s="15" t="s">
        <v>333</v>
      </c>
    </row>
    <row r="26" spans="1:32" x14ac:dyDescent="0.35">
      <c r="A26" s="31"/>
      <c r="B26" s="11" t="s">
        <v>727</v>
      </c>
      <c r="C26" s="12">
        <v>19.559999999999999</v>
      </c>
      <c r="D26" s="12">
        <v>20.440000000000001</v>
      </c>
      <c r="E26" s="12">
        <v>19.690000000000001</v>
      </c>
      <c r="F26" s="12">
        <v>19.73</v>
      </c>
      <c r="G26" s="12">
        <v>25.59</v>
      </c>
      <c r="H26" s="12">
        <v>19.829999999999998</v>
      </c>
      <c r="I26" s="12">
        <v>19.79</v>
      </c>
      <c r="J26" s="12">
        <v>19.649999999999999</v>
      </c>
      <c r="K26" s="12">
        <v>20.34</v>
      </c>
      <c r="L26" s="12">
        <v>20.12</v>
      </c>
      <c r="M26" s="12">
        <v>18.63</v>
      </c>
      <c r="N26" s="12">
        <v>18.489999999999998</v>
      </c>
      <c r="O26" s="12">
        <v>19.510000000000002</v>
      </c>
      <c r="P26" s="12">
        <v>18.54</v>
      </c>
      <c r="Q26" s="12">
        <v>18.29</v>
      </c>
      <c r="R26" s="12">
        <v>20.399999999999999</v>
      </c>
      <c r="S26" s="12">
        <v>20.3</v>
      </c>
      <c r="T26" s="12">
        <v>20.14</v>
      </c>
      <c r="U26" s="12">
        <v>21.27</v>
      </c>
      <c r="V26" s="12">
        <v>18.54</v>
      </c>
      <c r="W26" s="12">
        <v>19.440000000000001</v>
      </c>
      <c r="X26" s="12">
        <v>22.14</v>
      </c>
      <c r="Y26" s="12">
        <v>18.84</v>
      </c>
      <c r="Z26" s="12">
        <v>19.62</v>
      </c>
      <c r="AA26" s="12">
        <v>16.59</v>
      </c>
      <c r="AB26" s="12">
        <v>18.579999999999998</v>
      </c>
      <c r="AC26" s="12">
        <v>20.23</v>
      </c>
      <c r="AD26" s="12">
        <v>19.82</v>
      </c>
      <c r="AE26" s="12">
        <v>24.6</v>
      </c>
      <c r="AF26" s="12">
        <v>25.63</v>
      </c>
    </row>
    <row r="27" spans="1:32" x14ac:dyDescent="0.35">
      <c r="A27" s="31"/>
      <c r="B27" s="13" t="s">
        <v>728</v>
      </c>
      <c r="C27" s="15" t="s">
        <v>333</v>
      </c>
      <c r="D27" s="15" t="s">
        <v>333</v>
      </c>
      <c r="E27" s="15" t="s">
        <v>333</v>
      </c>
      <c r="F27" s="15" t="s">
        <v>333</v>
      </c>
      <c r="G27" s="15" t="s">
        <v>333</v>
      </c>
      <c r="H27" s="15" t="s">
        <v>333</v>
      </c>
      <c r="I27" s="15" t="s">
        <v>333</v>
      </c>
      <c r="J27" s="15" t="s">
        <v>333</v>
      </c>
      <c r="K27" s="15" t="s">
        <v>333</v>
      </c>
      <c r="L27" s="15" t="s">
        <v>333</v>
      </c>
      <c r="M27" s="15" t="s">
        <v>333</v>
      </c>
      <c r="N27" s="15" t="s">
        <v>333</v>
      </c>
      <c r="O27" s="15" t="s">
        <v>333</v>
      </c>
      <c r="P27" s="15" t="s">
        <v>333</v>
      </c>
      <c r="Q27" s="15" t="s">
        <v>333</v>
      </c>
      <c r="R27" s="15" t="s">
        <v>333</v>
      </c>
      <c r="S27" s="15" t="s">
        <v>333</v>
      </c>
      <c r="T27" s="15" t="s">
        <v>333</v>
      </c>
      <c r="U27" s="15" t="s">
        <v>333</v>
      </c>
      <c r="V27" s="15" t="s">
        <v>333</v>
      </c>
      <c r="W27" s="15" t="s">
        <v>333</v>
      </c>
      <c r="X27" s="15" t="s">
        <v>333</v>
      </c>
      <c r="Y27" s="15" t="s">
        <v>333</v>
      </c>
      <c r="Z27" s="15" t="s">
        <v>333</v>
      </c>
      <c r="AA27" s="15" t="s">
        <v>333</v>
      </c>
      <c r="AB27" s="15" t="s">
        <v>333</v>
      </c>
      <c r="AC27" s="15" t="s">
        <v>333</v>
      </c>
      <c r="AD27" s="15" t="s">
        <v>333</v>
      </c>
      <c r="AE27" s="15" t="s">
        <v>333</v>
      </c>
      <c r="AF27" s="15" t="s">
        <v>333</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217</v>
      </c>
      <c r="C3" s="30"/>
      <c r="D3" s="30"/>
      <c r="E3" s="30"/>
      <c r="F3" s="30"/>
      <c r="H3" s="30" t="s">
        <v>218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x14ac:dyDescent="0.35">
      <c r="A12" s="31"/>
      <c r="B12" s="11" t="s">
        <v>1112</v>
      </c>
      <c r="C12" s="12">
        <v>200</v>
      </c>
      <c r="D12" s="12">
        <v>17</v>
      </c>
      <c r="E12" s="12">
        <v>2</v>
      </c>
      <c r="F12" s="12">
        <v>3</v>
      </c>
      <c r="G12" s="12">
        <v>0</v>
      </c>
      <c r="H12" s="12">
        <v>2</v>
      </c>
      <c r="I12" s="12">
        <v>2</v>
      </c>
      <c r="J12" s="12">
        <v>0</v>
      </c>
      <c r="K12" s="12">
        <v>0</v>
      </c>
      <c r="L12" s="12">
        <v>8</v>
      </c>
      <c r="M12" s="12">
        <v>8</v>
      </c>
      <c r="N12" s="12">
        <v>36</v>
      </c>
      <c r="O12" s="12">
        <v>4</v>
      </c>
      <c r="P12" s="12">
        <v>3</v>
      </c>
      <c r="Q12" s="12">
        <v>2</v>
      </c>
      <c r="R12" s="12">
        <v>5</v>
      </c>
      <c r="S12" s="12">
        <v>0</v>
      </c>
      <c r="T12" s="12">
        <v>4</v>
      </c>
      <c r="U12" s="12">
        <v>0</v>
      </c>
      <c r="V12" s="12">
        <v>1</v>
      </c>
      <c r="W12" s="12">
        <v>5</v>
      </c>
      <c r="X12" s="12">
        <v>2</v>
      </c>
      <c r="Y12" s="12">
        <v>1</v>
      </c>
      <c r="Z12" s="12">
        <v>2</v>
      </c>
      <c r="AA12" s="12">
        <v>43</v>
      </c>
      <c r="AB12" s="12">
        <v>5</v>
      </c>
      <c r="AC12" s="12">
        <v>1</v>
      </c>
      <c r="AD12" s="12">
        <v>1</v>
      </c>
      <c r="AE12" s="12">
        <v>7</v>
      </c>
      <c r="AF12" s="12">
        <v>0</v>
      </c>
    </row>
    <row r="13" spans="1:32" ht="21.5" x14ac:dyDescent="0.35">
      <c r="A13" s="31"/>
      <c r="B13" s="13" t="s">
        <v>1113</v>
      </c>
      <c r="C13" s="14">
        <v>0.01</v>
      </c>
      <c r="D13" s="14">
        <v>0.02</v>
      </c>
      <c r="E13" s="15" t="s">
        <v>333</v>
      </c>
      <c r="F13" s="15" t="s">
        <v>333</v>
      </c>
      <c r="G13" s="15" t="s">
        <v>333</v>
      </c>
      <c r="H13" s="15" t="s">
        <v>333</v>
      </c>
      <c r="I13" s="15" t="s">
        <v>333</v>
      </c>
      <c r="J13" s="15" t="s">
        <v>333</v>
      </c>
      <c r="K13" s="15" t="s">
        <v>333</v>
      </c>
      <c r="L13" s="14">
        <v>0.01</v>
      </c>
      <c r="M13" s="14">
        <v>0.01</v>
      </c>
      <c r="N13" s="14">
        <v>0.04</v>
      </c>
      <c r="O13" s="15" t="s">
        <v>333</v>
      </c>
      <c r="P13" s="15" t="s">
        <v>333</v>
      </c>
      <c r="Q13" s="15" t="s">
        <v>333</v>
      </c>
      <c r="R13" s="14">
        <v>0.01</v>
      </c>
      <c r="S13" s="15" t="s">
        <v>333</v>
      </c>
      <c r="T13" s="15" t="s">
        <v>333</v>
      </c>
      <c r="U13" s="15" t="s">
        <v>333</v>
      </c>
      <c r="V13" s="15" t="s">
        <v>333</v>
      </c>
      <c r="W13" s="14">
        <v>0.01</v>
      </c>
      <c r="X13" s="15" t="s">
        <v>333</v>
      </c>
      <c r="Y13" s="15" t="s">
        <v>333</v>
      </c>
      <c r="Z13" s="15" t="s">
        <v>333</v>
      </c>
      <c r="AA13" s="14">
        <v>0.04</v>
      </c>
      <c r="AB13" s="14">
        <v>0.01</v>
      </c>
      <c r="AC13" s="15" t="s">
        <v>333</v>
      </c>
      <c r="AD13" s="15" t="s">
        <v>333</v>
      </c>
      <c r="AE13" s="14">
        <v>0.01</v>
      </c>
      <c r="AF13" s="15" t="s">
        <v>333</v>
      </c>
    </row>
    <row r="14" spans="1:32" x14ac:dyDescent="0.35">
      <c r="A14" s="31"/>
      <c r="B14" s="11" t="s">
        <v>1114</v>
      </c>
      <c r="C14" s="12">
        <v>990</v>
      </c>
      <c r="D14" s="12">
        <v>48</v>
      </c>
      <c r="E14" s="12">
        <v>10</v>
      </c>
      <c r="F14" s="12">
        <v>4</v>
      </c>
      <c r="G14" s="12">
        <v>4</v>
      </c>
      <c r="H14" s="12">
        <v>8</v>
      </c>
      <c r="I14" s="12">
        <v>10</v>
      </c>
      <c r="J14" s="12">
        <v>2</v>
      </c>
      <c r="K14" s="12">
        <v>12</v>
      </c>
      <c r="L14" s="12">
        <v>44</v>
      </c>
      <c r="M14" s="12">
        <v>121</v>
      </c>
      <c r="N14" s="12">
        <v>71</v>
      </c>
      <c r="O14" s="12">
        <v>44</v>
      </c>
      <c r="P14" s="12">
        <v>7</v>
      </c>
      <c r="Q14" s="12">
        <v>39</v>
      </c>
      <c r="R14" s="12">
        <v>51</v>
      </c>
      <c r="S14" s="12">
        <v>8</v>
      </c>
      <c r="T14" s="12">
        <v>26</v>
      </c>
      <c r="U14" s="12">
        <v>20</v>
      </c>
      <c r="V14" s="12">
        <v>1</v>
      </c>
      <c r="W14" s="12">
        <v>78</v>
      </c>
      <c r="X14" s="12">
        <v>19</v>
      </c>
      <c r="Y14" s="12">
        <v>2</v>
      </c>
      <c r="Z14" s="12">
        <v>16</v>
      </c>
      <c r="AA14" s="12">
        <v>280</v>
      </c>
      <c r="AB14" s="12">
        <v>30</v>
      </c>
      <c r="AC14" s="12">
        <v>1</v>
      </c>
      <c r="AD14" s="12">
        <v>54</v>
      </c>
      <c r="AE14" s="12">
        <v>32</v>
      </c>
      <c r="AF14" s="12">
        <v>9</v>
      </c>
    </row>
    <row r="15" spans="1:32" x14ac:dyDescent="0.35">
      <c r="A15" s="31"/>
      <c r="B15" s="13" t="s">
        <v>1115</v>
      </c>
      <c r="C15" s="14">
        <v>0.04</v>
      </c>
      <c r="D15" s="14">
        <v>0.05</v>
      </c>
      <c r="E15" s="14">
        <v>0.01</v>
      </c>
      <c r="F15" s="15" t="s">
        <v>333</v>
      </c>
      <c r="G15" s="15" t="s">
        <v>333</v>
      </c>
      <c r="H15" s="14">
        <v>0.01</v>
      </c>
      <c r="I15" s="14">
        <v>0.01</v>
      </c>
      <c r="J15" s="14">
        <v>0.01</v>
      </c>
      <c r="K15" s="14">
        <v>0.01</v>
      </c>
      <c r="L15" s="14">
        <v>0.04</v>
      </c>
      <c r="M15" s="14">
        <v>0.12</v>
      </c>
      <c r="N15" s="14">
        <v>7.0000000000000007E-2</v>
      </c>
      <c r="O15" s="14">
        <v>0.04</v>
      </c>
      <c r="P15" s="14">
        <v>0.01</v>
      </c>
      <c r="Q15" s="14">
        <v>0.04</v>
      </c>
      <c r="R15" s="14">
        <v>0.1</v>
      </c>
      <c r="S15" s="14">
        <v>0.01</v>
      </c>
      <c r="T15" s="14">
        <v>0.03</v>
      </c>
      <c r="U15" s="14">
        <v>0.04</v>
      </c>
      <c r="V15" s="15" t="s">
        <v>333</v>
      </c>
      <c r="W15" s="14">
        <v>0.15</v>
      </c>
      <c r="X15" s="14">
        <v>0.02</v>
      </c>
      <c r="Y15" s="15" t="s">
        <v>333</v>
      </c>
      <c r="Z15" s="14">
        <v>0.02</v>
      </c>
      <c r="AA15" s="14">
        <v>0.27</v>
      </c>
      <c r="AB15" s="14">
        <v>0.03</v>
      </c>
      <c r="AC15" s="15" t="s">
        <v>333</v>
      </c>
      <c r="AD15" s="14">
        <v>0.06</v>
      </c>
      <c r="AE15" s="14">
        <v>0.03</v>
      </c>
      <c r="AF15" s="14">
        <v>0.01</v>
      </c>
    </row>
    <row r="16" spans="1:32" ht="21.5" x14ac:dyDescent="0.35">
      <c r="A16" s="31"/>
      <c r="B16" s="11" t="s">
        <v>1116</v>
      </c>
      <c r="C16" s="12">
        <v>5811</v>
      </c>
      <c r="D16" s="12">
        <v>144</v>
      </c>
      <c r="E16" s="12">
        <v>141</v>
      </c>
      <c r="F16" s="12">
        <v>94</v>
      </c>
      <c r="G16" s="12">
        <v>97</v>
      </c>
      <c r="H16" s="12">
        <v>490</v>
      </c>
      <c r="I16" s="12">
        <v>572</v>
      </c>
      <c r="J16" s="12">
        <v>82</v>
      </c>
      <c r="K16" s="12">
        <v>160</v>
      </c>
      <c r="L16" s="12">
        <v>143</v>
      </c>
      <c r="M16" s="12">
        <v>130</v>
      </c>
      <c r="N16" s="12">
        <v>158</v>
      </c>
      <c r="O16" s="12">
        <v>274</v>
      </c>
      <c r="P16" s="12">
        <v>101</v>
      </c>
      <c r="Q16" s="12">
        <v>285</v>
      </c>
      <c r="R16" s="12">
        <v>31</v>
      </c>
      <c r="S16" s="12">
        <v>114</v>
      </c>
      <c r="T16" s="12">
        <v>122</v>
      </c>
      <c r="U16" s="12">
        <v>49</v>
      </c>
      <c r="V16" s="12">
        <v>380</v>
      </c>
      <c r="W16" s="12">
        <v>70</v>
      </c>
      <c r="X16" s="12">
        <v>95</v>
      </c>
      <c r="Y16" s="12">
        <v>86</v>
      </c>
      <c r="Z16" s="12">
        <v>78</v>
      </c>
      <c r="AA16" s="12">
        <v>220</v>
      </c>
      <c r="AB16" s="12">
        <v>140</v>
      </c>
      <c r="AC16" s="12">
        <v>348</v>
      </c>
      <c r="AD16" s="12">
        <v>208</v>
      </c>
      <c r="AE16" s="12">
        <v>159</v>
      </c>
      <c r="AF16" s="12">
        <v>72</v>
      </c>
    </row>
    <row r="17" spans="1:32" x14ac:dyDescent="0.35">
      <c r="A17" s="31"/>
      <c r="B17" s="13" t="s">
        <v>1117</v>
      </c>
      <c r="C17" s="14">
        <v>0.22</v>
      </c>
      <c r="D17" s="14">
        <v>0.14000000000000001</v>
      </c>
      <c r="E17" s="14">
        <v>0.14000000000000001</v>
      </c>
      <c r="F17" s="14">
        <v>0.09</v>
      </c>
      <c r="G17" s="14">
        <v>0.1</v>
      </c>
      <c r="H17" s="14">
        <v>0.4</v>
      </c>
      <c r="I17" s="14">
        <v>0.37</v>
      </c>
      <c r="J17" s="14">
        <v>0.27</v>
      </c>
      <c r="K17" s="14">
        <v>0.16</v>
      </c>
      <c r="L17" s="14">
        <v>0.14000000000000001</v>
      </c>
      <c r="M17" s="14">
        <v>0.13</v>
      </c>
      <c r="N17" s="14">
        <v>0.16</v>
      </c>
      <c r="O17" s="14">
        <v>0.28000000000000003</v>
      </c>
      <c r="P17" s="14">
        <v>0.1</v>
      </c>
      <c r="Q17" s="14">
        <v>0.28000000000000003</v>
      </c>
      <c r="R17" s="14">
        <v>0.06</v>
      </c>
      <c r="S17" s="14">
        <v>0.11</v>
      </c>
      <c r="T17" s="14">
        <v>0.12</v>
      </c>
      <c r="U17" s="14">
        <v>0.1</v>
      </c>
      <c r="V17" s="14">
        <v>0.37</v>
      </c>
      <c r="W17" s="14">
        <v>0.14000000000000001</v>
      </c>
      <c r="X17" s="14">
        <v>0.09</v>
      </c>
      <c r="Y17" s="14">
        <v>0.09</v>
      </c>
      <c r="Z17" s="14">
        <v>0.08</v>
      </c>
      <c r="AA17" s="14">
        <v>0.22</v>
      </c>
      <c r="AB17" s="14">
        <v>0.13</v>
      </c>
      <c r="AC17" s="14">
        <v>0.34</v>
      </c>
      <c r="AD17" s="14">
        <v>0.21</v>
      </c>
      <c r="AE17" s="14">
        <v>0.16</v>
      </c>
      <c r="AF17" s="14">
        <v>7.0000000000000007E-2</v>
      </c>
    </row>
    <row r="18" spans="1:32" ht="21.5" x14ac:dyDescent="0.35">
      <c r="A18" s="31"/>
      <c r="B18" s="11" t="s">
        <v>1118</v>
      </c>
      <c r="C18" s="12">
        <v>10011</v>
      </c>
      <c r="D18" s="12">
        <v>361</v>
      </c>
      <c r="E18" s="12">
        <v>616</v>
      </c>
      <c r="F18" s="12">
        <v>692</v>
      </c>
      <c r="G18" s="12">
        <v>274</v>
      </c>
      <c r="H18" s="12">
        <v>381</v>
      </c>
      <c r="I18" s="12">
        <v>496</v>
      </c>
      <c r="J18" s="12">
        <v>114</v>
      </c>
      <c r="K18" s="12">
        <v>330</v>
      </c>
      <c r="L18" s="12">
        <v>270</v>
      </c>
      <c r="M18" s="12">
        <v>424</v>
      </c>
      <c r="N18" s="12">
        <v>158</v>
      </c>
      <c r="O18" s="12">
        <v>252</v>
      </c>
      <c r="P18" s="12">
        <v>693</v>
      </c>
      <c r="Q18" s="12">
        <v>544</v>
      </c>
      <c r="R18" s="12">
        <v>179</v>
      </c>
      <c r="S18" s="12">
        <v>425</v>
      </c>
      <c r="T18" s="12">
        <v>312</v>
      </c>
      <c r="U18" s="12">
        <v>123</v>
      </c>
      <c r="V18" s="12">
        <v>413</v>
      </c>
      <c r="W18" s="12">
        <v>68</v>
      </c>
      <c r="X18" s="12">
        <v>337</v>
      </c>
      <c r="Y18" s="12">
        <v>74</v>
      </c>
      <c r="Z18" s="12">
        <v>727</v>
      </c>
      <c r="AA18" s="12">
        <v>282</v>
      </c>
      <c r="AB18" s="12">
        <v>701</v>
      </c>
      <c r="AC18" s="12">
        <v>310</v>
      </c>
      <c r="AD18" s="12">
        <v>455</v>
      </c>
      <c r="AE18" s="12">
        <v>207</v>
      </c>
      <c r="AF18" s="12">
        <v>233</v>
      </c>
    </row>
    <row r="19" spans="1:32" x14ac:dyDescent="0.35">
      <c r="A19" s="31"/>
      <c r="B19" s="13" t="s">
        <v>1119</v>
      </c>
      <c r="C19" s="14">
        <v>0.38</v>
      </c>
      <c r="D19" s="14">
        <v>0.35</v>
      </c>
      <c r="E19" s="14">
        <v>0.59</v>
      </c>
      <c r="F19" s="14">
        <v>0.68</v>
      </c>
      <c r="G19" s="14">
        <v>0.27</v>
      </c>
      <c r="H19" s="14">
        <v>0.31</v>
      </c>
      <c r="I19" s="14">
        <v>0.32</v>
      </c>
      <c r="J19" s="14">
        <v>0.38</v>
      </c>
      <c r="K19" s="14">
        <v>0.33</v>
      </c>
      <c r="L19" s="14">
        <v>0.27</v>
      </c>
      <c r="M19" s="14">
        <v>0.42</v>
      </c>
      <c r="N19" s="14">
        <v>0.16</v>
      </c>
      <c r="O19" s="14">
        <v>0.25</v>
      </c>
      <c r="P19" s="14">
        <v>0.69000000000000006</v>
      </c>
      <c r="Q19" s="14">
        <v>0.53</v>
      </c>
      <c r="R19" s="14">
        <v>0.36</v>
      </c>
      <c r="S19" s="14">
        <v>0.42</v>
      </c>
      <c r="T19" s="14">
        <v>0.31</v>
      </c>
      <c r="U19" s="14">
        <v>0.24</v>
      </c>
      <c r="V19" s="14">
        <v>0.41</v>
      </c>
      <c r="W19" s="14">
        <v>0.14000000000000001</v>
      </c>
      <c r="X19" s="14">
        <v>0.34</v>
      </c>
      <c r="Y19" s="14">
        <v>0.08</v>
      </c>
      <c r="Z19" s="14">
        <v>0.71</v>
      </c>
      <c r="AA19" s="14">
        <v>0.27</v>
      </c>
      <c r="AB19" s="14">
        <v>0.66</v>
      </c>
      <c r="AC19" s="14">
        <v>0.31</v>
      </c>
      <c r="AD19" s="14">
        <v>0.45</v>
      </c>
      <c r="AE19" s="14">
        <v>0.2</v>
      </c>
      <c r="AF19" s="14">
        <v>0.23</v>
      </c>
    </row>
    <row r="20" spans="1:32" ht="21.5" x14ac:dyDescent="0.35">
      <c r="A20" s="31"/>
      <c r="B20" s="11" t="s">
        <v>1120</v>
      </c>
      <c r="C20" s="12">
        <v>1991</v>
      </c>
      <c r="D20" s="12">
        <v>59</v>
      </c>
      <c r="E20" s="12">
        <v>0</v>
      </c>
      <c r="F20" s="12">
        <v>38</v>
      </c>
      <c r="G20" s="12">
        <v>121</v>
      </c>
      <c r="H20" s="12">
        <v>67</v>
      </c>
      <c r="I20" s="12">
        <v>90</v>
      </c>
      <c r="J20" s="12">
        <v>23</v>
      </c>
      <c r="K20" s="12">
        <v>132</v>
      </c>
      <c r="L20" s="12">
        <v>86</v>
      </c>
      <c r="M20" s="12">
        <v>62</v>
      </c>
      <c r="N20" s="12">
        <v>299</v>
      </c>
      <c r="O20" s="12">
        <v>25</v>
      </c>
      <c r="P20" s="12">
        <v>4</v>
      </c>
      <c r="Q20" s="12">
        <v>10</v>
      </c>
      <c r="R20" s="12">
        <v>12</v>
      </c>
      <c r="S20" s="12">
        <v>117</v>
      </c>
      <c r="T20" s="12">
        <v>135</v>
      </c>
      <c r="U20" s="12">
        <v>65</v>
      </c>
      <c r="V20" s="12">
        <v>48</v>
      </c>
      <c r="W20" s="12">
        <v>94</v>
      </c>
      <c r="X20" s="12">
        <v>9</v>
      </c>
      <c r="Y20" s="12">
        <v>464</v>
      </c>
      <c r="Z20" s="12">
        <v>18</v>
      </c>
      <c r="AA20" s="12">
        <v>21</v>
      </c>
      <c r="AB20" s="12">
        <v>35</v>
      </c>
      <c r="AC20" s="12">
        <v>26</v>
      </c>
      <c r="AD20" s="12">
        <v>32</v>
      </c>
      <c r="AE20" s="12">
        <v>27</v>
      </c>
      <c r="AF20" s="12">
        <v>132</v>
      </c>
    </row>
    <row r="21" spans="1:32" ht="31.5" x14ac:dyDescent="0.35">
      <c r="A21" s="31"/>
      <c r="B21" s="13" t="s">
        <v>1121</v>
      </c>
      <c r="C21" s="14">
        <v>7.0000000000000007E-2</v>
      </c>
      <c r="D21" s="14">
        <v>0.06</v>
      </c>
      <c r="E21" s="15" t="s">
        <v>333</v>
      </c>
      <c r="F21" s="14">
        <v>0.04</v>
      </c>
      <c r="G21" s="14">
        <v>0.12</v>
      </c>
      <c r="H21" s="14">
        <v>0.05</v>
      </c>
      <c r="I21" s="14">
        <v>0.06</v>
      </c>
      <c r="J21" s="14">
        <v>0.08</v>
      </c>
      <c r="K21" s="14">
        <v>0.13</v>
      </c>
      <c r="L21" s="14">
        <v>0.09</v>
      </c>
      <c r="M21" s="14">
        <v>0.06</v>
      </c>
      <c r="N21" s="14">
        <v>0.3</v>
      </c>
      <c r="O21" s="14">
        <v>0.03</v>
      </c>
      <c r="P21" s="15" t="s">
        <v>333</v>
      </c>
      <c r="Q21" s="14">
        <v>0.01</v>
      </c>
      <c r="R21" s="14">
        <v>0.02</v>
      </c>
      <c r="S21" s="14">
        <v>0.11</v>
      </c>
      <c r="T21" s="14">
        <v>0.13</v>
      </c>
      <c r="U21" s="14">
        <v>0.13</v>
      </c>
      <c r="V21" s="14">
        <v>0.05</v>
      </c>
      <c r="W21" s="14">
        <v>0.19</v>
      </c>
      <c r="X21" s="14">
        <v>0.01</v>
      </c>
      <c r="Y21" s="14">
        <v>0.46</v>
      </c>
      <c r="Z21" s="14">
        <v>0.02</v>
      </c>
      <c r="AA21" s="14">
        <v>0.02</v>
      </c>
      <c r="AB21" s="14">
        <v>0.03</v>
      </c>
      <c r="AC21" s="14">
        <v>0.03</v>
      </c>
      <c r="AD21" s="14">
        <v>0.03</v>
      </c>
      <c r="AE21" s="14">
        <v>0.03</v>
      </c>
      <c r="AF21" s="14">
        <v>0.13</v>
      </c>
    </row>
    <row r="22" spans="1:32" ht="21.5" x14ac:dyDescent="0.35">
      <c r="A22" s="31"/>
      <c r="B22" s="11" t="s">
        <v>1122</v>
      </c>
      <c r="C22" s="12">
        <v>1790</v>
      </c>
      <c r="D22" s="12">
        <v>147</v>
      </c>
      <c r="E22" s="12">
        <v>0</v>
      </c>
      <c r="F22" s="12">
        <v>1</v>
      </c>
      <c r="G22" s="12">
        <v>186</v>
      </c>
      <c r="H22" s="12">
        <v>25</v>
      </c>
      <c r="I22" s="12">
        <v>41</v>
      </c>
      <c r="J22" s="12">
        <v>16</v>
      </c>
      <c r="K22" s="12">
        <v>53</v>
      </c>
      <c r="L22" s="12">
        <v>96</v>
      </c>
      <c r="M22" s="12">
        <v>0</v>
      </c>
      <c r="N22" s="12">
        <v>109</v>
      </c>
      <c r="O22" s="12">
        <v>177</v>
      </c>
      <c r="P22" s="12">
        <v>47</v>
      </c>
      <c r="Q22" s="12">
        <v>14</v>
      </c>
      <c r="R22" s="12">
        <v>53</v>
      </c>
      <c r="S22" s="12">
        <v>54</v>
      </c>
      <c r="T22" s="12">
        <v>0</v>
      </c>
      <c r="U22" s="12">
        <v>49</v>
      </c>
      <c r="V22" s="12">
        <v>18</v>
      </c>
      <c r="W22" s="12">
        <v>48</v>
      </c>
      <c r="X22" s="12">
        <v>59</v>
      </c>
      <c r="Y22" s="12">
        <v>244</v>
      </c>
      <c r="Z22" s="12">
        <v>0</v>
      </c>
      <c r="AA22" s="12">
        <v>17</v>
      </c>
      <c r="AB22" s="12">
        <v>10</v>
      </c>
      <c r="AC22" s="12">
        <v>94</v>
      </c>
      <c r="AD22" s="12">
        <v>0</v>
      </c>
      <c r="AE22" s="12">
        <v>121</v>
      </c>
      <c r="AF22" s="12">
        <v>171</v>
      </c>
    </row>
    <row r="23" spans="1:32" x14ac:dyDescent="0.35">
      <c r="A23" s="31"/>
      <c r="B23" s="13" t="s">
        <v>1123</v>
      </c>
      <c r="C23" s="14">
        <v>7.0000000000000007E-2</v>
      </c>
      <c r="D23" s="14">
        <v>0.14000000000000001</v>
      </c>
      <c r="E23" s="15" t="s">
        <v>333</v>
      </c>
      <c r="F23" s="15" t="s">
        <v>333</v>
      </c>
      <c r="G23" s="14">
        <v>0.18</v>
      </c>
      <c r="H23" s="14">
        <v>0.02</v>
      </c>
      <c r="I23" s="14">
        <v>0.03</v>
      </c>
      <c r="J23" s="14">
        <v>0.05</v>
      </c>
      <c r="K23" s="14">
        <v>0.05</v>
      </c>
      <c r="L23" s="14">
        <v>0.1</v>
      </c>
      <c r="M23" s="15" t="s">
        <v>333</v>
      </c>
      <c r="N23" s="14">
        <v>0.11</v>
      </c>
      <c r="O23" s="14">
        <v>0.18</v>
      </c>
      <c r="P23" s="14">
        <v>0.05</v>
      </c>
      <c r="Q23" s="14">
        <v>0.01</v>
      </c>
      <c r="R23" s="14">
        <v>0.11</v>
      </c>
      <c r="S23" s="14">
        <v>0.05</v>
      </c>
      <c r="T23" s="15" t="s">
        <v>333</v>
      </c>
      <c r="U23" s="14">
        <v>0.1</v>
      </c>
      <c r="V23" s="14">
        <v>0.02</v>
      </c>
      <c r="W23" s="14">
        <v>0.09</v>
      </c>
      <c r="X23" s="14">
        <v>0.06</v>
      </c>
      <c r="Y23" s="14">
        <v>0.24</v>
      </c>
      <c r="Z23" s="15" t="s">
        <v>333</v>
      </c>
      <c r="AA23" s="14">
        <v>0.02</v>
      </c>
      <c r="AB23" s="14">
        <v>0.01</v>
      </c>
      <c r="AC23" s="14">
        <v>0.09</v>
      </c>
      <c r="AD23" s="15" t="s">
        <v>333</v>
      </c>
      <c r="AE23" s="14">
        <v>0.12</v>
      </c>
      <c r="AF23" s="14">
        <v>0.17</v>
      </c>
    </row>
    <row r="24" spans="1:32" x14ac:dyDescent="0.35">
      <c r="A24" s="31"/>
      <c r="B24" s="11" t="s">
        <v>1124</v>
      </c>
      <c r="C24" s="12">
        <v>2692</v>
      </c>
      <c r="D24" s="12">
        <v>111</v>
      </c>
      <c r="E24" s="12">
        <v>113</v>
      </c>
      <c r="F24" s="12">
        <v>76</v>
      </c>
      <c r="G24" s="12">
        <v>135</v>
      </c>
      <c r="H24" s="12">
        <v>92</v>
      </c>
      <c r="I24" s="12">
        <v>118</v>
      </c>
      <c r="J24" s="12">
        <v>26</v>
      </c>
      <c r="K24" s="12">
        <v>149</v>
      </c>
      <c r="L24" s="12">
        <v>215</v>
      </c>
      <c r="M24" s="12">
        <v>201</v>
      </c>
      <c r="N24" s="12">
        <v>129</v>
      </c>
      <c r="O24" s="12">
        <v>98</v>
      </c>
      <c r="P24" s="12">
        <v>33</v>
      </c>
      <c r="Q24" s="12">
        <v>33</v>
      </c>
      <c r="R24" s="12">
        <v>108</v>
      </c>
      <c r="S24" s="12">
        <v>163</v>
      </c>
      <c r="T24" s="12">
        <v>302</v>
      </c>
      <c r="U24" s="12">
        <v>63</v>
      </c>
      <c r="V24" s="12">
        <v>103</v>
      </c>
      <c r="W24" s="12">
        <v>62</v>
      </c>
      <c r="X24" s="12">
        <v>286</v>
      </c>
      <c r="Y24" s="12">
        <v>63</v>
      </c>
      <c r="Z24" s="12">
        <v>57</v>
      </c>
      <c r="AA24" s="12">
        <v>124</v>
      </c>
      <c r="AB24" s="12">
        <v>115</v>
      </c>
      <c r="AC24" s="12">
        <v>128</v>
      </c>
      <c r="AD24" s="12">
        <v>63</v>
      </c>
      <c r="AE24" s="12">
        <v>243</v>
      </c>
      <c r="AF24" s="12">
        <v>188</v>
      </c>
    </row>
    <row r="25" spans="1:32" x14ac:dyDescent="0.35">
      <c r="A25" s="31"/>
      <c r="B25" s="13" t="s">
        <v>1125</v>
      </c>
      <c r="C25" s="14">
        <v>0.1</v>
      </c>
      <c r="D25" s="14">
        <v>0.11</v>
      </c>
      <c r="E25" s="14">
        <v>0.11</v>
      </c>
      <c r="F25" s="14">
        <v>0.08</v>
      </c>
      <c r="G25" s="14">
        <v>0.13</v>
      </c>
      <c r="H25" s="14">
        <v>0.08</v>
      </c>
      <c r="I25" s="14">
        <v>0.08</v>
      </c>
      <c r="J25" s="14">
        <v>0.09</v>
      </c>
      <c r="K25" s="14">
        <v>0.15</v>
      </c>
      <c r="L25" s="14">
        <v>0.21</v>
      </c>
      <c r="M25" s="14">
        <v>0.2</v>
      </c>
      <c r="N25" s="14">
        <v>0.13</v>
      </c>
      <c r="O25" s="14">
        <v>0.1</v>
      </c>
      <c r="P25" s="14">
        <v>0.03</v>
      </c>
      <c r="Q25" s="14">
        <v>0.03</v>
      </c>
      <c r="R25" s="14">
        <v>0.22</v>
      </c>
      <c r="S25" s="14">
        <v>0.16</v>
      </c>
      <c r="T25" s="14">
        <v>0.3</v>
      </c>
      <c r="U25" s="14">
        <v>0.12</v>
      </c>
      <c r="V25" s="14">
        <v>0.1</v>
      </c>
      <c r="W25" s="14">
        <v>0.12</v>
      </c>
      <c r="X25" s="14">
        <v>0.28000000000000003</v>
      </c>
      <c r="Y25" s="14">
        <v>0.06</v>
      </c>
      <c r="Z25" s="14">
        <v>0.06</v>
      </c>
      <c r="AA25" s="14">
        <v>0.12</v>
      </c>
      <c r="AB25" s="14">
        <v>0.11</v>
      </c>
      <c r="AC25" s="14">
        <v>0.13</v>
      </c>
      <c r="AD25" s="14">
        <v>0.06</v>
      </c>
      <c r="AE25" s="14">
        <v>0.24</v>
      </c>
      <c r="AF25" s="14">
        <v>0.18</v>
      </c>
    </row>
    <row r="26" spans="1:32" x14ac:dyDescent="0.35">
      <c r="A26" s="31"/>
      <c r="B26" s="11" t="s">
        <v>1126</v>
      </c>
      <c r="C26" s="12">
        <v>2642</v>
      </c>
      <c r="D26" s="12">
        <v>130</v>
      </c>
      <c r="E26" s="12">
        <v>155</v>
      </c>
      <c r="F26" s="12">
        <v>107</v>
      </c>
      <c r="G26" s="12">
        <v>191</v>
      </c>
      <c r="H26" s="12">
        <v>149</v>
      </c>
      <c r="I26" s="12">
        <v>178</v>
      </c>
      <c r="J26" s="12">
        <v>29</v>
      </c>
      <c r="K26" s="12">
        <v>159</v>
      </c>
      <c r="L26" s="12">
        <v>124</v>
      </c>
      <c r="M26" s="12">
        <v>51</v>
      </c>
      <c r="N26" s="12">
        <v>35</v>
      </c>
      <c r="O26" s="12">
        <v>102</v>
      </c>
      <c r="P26" s="12">
        <v>101</v>
      </c>
      <c r="Q26" s="12">
        <v>104</v>
      </c>
      <c r="R26" s="12">
        <v>57</v>
      </c>
      <c r="S26" s="12">
        <v>133</v>
      </c>
      <c r="T26" s="12">
        <v>112</v>
      </c>
      <c r="U26" s="12">
        <v>128</v>
      </c>
      <c r="V26" s="12">
        <v>48</v>
      </c>
      <c r="W26" s="12">
        <v>74</v>
      </c>
      <c r="X26" s="12">
        <v>183</v>
      </c>
      <c r="Y26" s="12">
        <v>57</v>
      </c>
      <c r="Z26" s="12">
        <v>118</v>
      </c>
      <c r="AA26" s="12">
        <v>40</v>
      </c>
      <c r="AB26" s="12">
        <v>17</v>
      </c>
      <c r="AC26" s="12">
        <v>99</v>
      </c>
      <c r="AD26" s="12">
        <v>176</v>
      </c>
      <c r="AE26" s="12">
        <v>191</v>
      </c>
      <c r="AF26" s="12">
        <v>179</v>
      </c>
    </row>
    <row r="27" spans="1:32" x14ac:dyDescent="0.35">
      <c r="A27" s="31"/>
      <c r="B27" s="13" t="s">
        <v>1127</v>
      </c>
      <c r="C27" s="14">
        <v>0.1</v>
      </c>
      <c r="D27" s="14">
        <v>0.13</v>
      </c>
      <c r="E27" s="14">
        <v>0.15</v>
      </c>
      <c r="F27" s="14">
        <v>0.11</v>
      </c>
      <c r="G27" s="14">
        <v>0.19</v>
      </c>
      <c r="H27" s="14">
        <v>0.12</v>
      </c>
      <c r="I27" s="14">
        <v>0.12</v>
      </c>
      <c r="J27" s="14">
        <v>0.1</v>
      </c>
      <c r="K27" s="14">
        <v>0.16</v>
      </c>
      <c r="L27" s="14">
        <v>0.12</v>
      </c>
      <c r="M27" s="14">
        <v>0.05</v>
      </c>
      <c r="N27" s="14">
        <v>0.03</v>
      </c>
      <c r="O27" s="14">
        <v>0.1</v>
      </c>
      <c r="P27" s="14">
        <v>0.1</v>
      </c>
      <c r="Q27" s="14">
        <v>0.1</v>
      </c>
      <c r="R27" s="14">
        <v>0.11</v>
      </c>
      <c r="S27" s="14">
        <v>0.13</v>
      </c>
      <c r="T27" s="14">
        <v>0.11</v>
      </c>
      <c r="U27" s="14">
        <v>0.25</v>
      </c>
      <c r="V27" s="14">
        <v>0.05</v>
      </c>
      <c r="W27" s="14">
        <v>0.15</v>
      </c>
      <c r="X27" s="14">
        <v>0.18</v>
      </c>
      <c r="Y27" s="14">
        <v>0.06</v>
      </c>
      <c r="Z27" s="14">
        <v>0.11</v>
      </c>
      <c r="AA27" s="14">
        <v>0.04</v>
      </c>
      <c r="AB27" s="14">
        <v>0.02</v>
      </c>
      <c r="AC27" s="14">
        <v>0.1</v>
      </c>
      <c r="AD27" s="14">
        <v>0.18</v>
      </c>
      <c r="AE27" s="14">
        <v>0.19</v>
      </c>
      <c r="AF27" s="14">
        <v>0.18</v>
      </c>
    </row>
    <row r="28" spans="1:32" ht="21.5" x14ac:dyDescent="0.35">
      <c r="A28" s="31"/>
      <c r="B28" s="11" t="s">
        <v>1128</v>
      </c>
      <c r="C28" s="12">
        <v>253</v>
      </c>
      <c r="D28" s="12">
        <v>7</v>
      </c>
      <c r="E28" s="12">
        <v>3</v>
      </c>
      <c r="F28" s="12">
        <v>3</v>
      </c>
      <c r="G28" s="12">
        <v>8</v>
      </c>
      <c r="H28" s="12">
        <v>16</v>
      </c>
      <c r="I28" s="12">
        <v>20</v>
      </c>
      <c r="J28" s="12">
        <v>5</v>
      </c>
      <c r="K28" s="12">
        <v>10</v>
      </c>
      <c r="L28" s="12">
        <v>15</v>
      </c>
      <c r="M28" s="12">
        <v>5</v>
      </c>
      <c r="N28" s="12">
        <v>5</v>
      </c>
      <c r="O28" s="12">
        <v>19</v>
      </c>
      <c r="P28" s="12">
        <v>14</v>
      </c>
      <c r="Q28" s="12">
        <v>3</v>
      </c>
      <c r="R28" s="12">
        <v>6</v>
      </c>
      <c r="S28" s="12">
        <v>5</v>
      </c>
      <c r="T28" s="12">
        <v>3</v>
      </c>
      <c r="U28" s="12">
        <v>12</v>
      </c>
      <c r="V28" s="12">
        <v>1</v>
      </c>
      <c r="W28" s="12">
        <v>4</v>
      </c>
      <c r="X28" s="12">
        <v>16</v>
      </c>
      <c r="Y28" s="12">
        <v>13</v>
      </c>
      <c r="Z28" s="12">
        <v>2</v>
      </c>
      <c r="AA28" s="12">
        <v>2</v>
      </c>
      <c r="AB28" s="12">
        <v>2</v>
      </c>
      <c r="AC28" s="12">
        <v>6</v>
      </c>
      <c r="AD28" s="12">
        <v>14</v>
      </c>
      <c r="AE28" s="12">
        <v>18</v>
      </c>
      <c r="AF28" s="12">
        <v>35</v>
      </c>
    </row>
    <row r="29" spans="1:32" x14ac:dyDescent="0.35">
      <c r="A29" s="31"/>
      <c r="B29" s="13" t="s">
        <v>1129</v>
      </c>
      <c r="C29" s="14">
        <v>0.01</v>
      </c>
      <c r="D29" s="15" t="s">
        <v>333</v>
      </c>
      <c r="E29" s="15" t="s">
        <v>333</v>
      </c>
      <c r="F29" s="15" t="s">
        <v>333</v>
      </c>
      <c r="G29" s="14">
        <v>0.01</v>
      </c>
      <c r="H29" s="14">
        <v>0.01</v>
      </c>
      <c r="I29" s="14">
        <v>0.01</v>
      </c>
      <c r="J29" s="14">
        <v>0.02</v>
      </c>
      <c r="K29" s="14">
        <v>0.01</v>
      </c>
      <c r="L29" s="14">
        <v>0.02</v>
      </c>
      <c r="M29" s="14">
        <v>0.01</v>
      </c>
      <c r="N29" s="15" t="s">
        <v>333</v>
      </c>
      <c r="O29" s="14">
        <v>0.02</v>
      </c>
      <c r="P29" s="14">
        <v>0.02</v>
      </c>
      <c r="Q29" s="15" t="s">
        <v>333</v>
      </c>
      <c r="R29" s="14">
        <v>0.01</v>
      </c>
      <c r="S29" s="14">
        <v>0.01</v>
      </c>
      <c r="T29" s="15" t="s">
        <v>333</v>
      </c>
      <c r="U29" s="14">
        <v>0.02</v>
      </c>
      <c r="V29" s="15" t="s">
        <v>333</v>
      </c>
      <c r="W29" s="14">
        <v>0.01</v>
      </c>
      <c r="X29" s="14">
        <v>0.02</v>
      </c>
      <c r="Y29" s="14">
        <v>0.01</v>
      </c>
      <c r="Z29" s="15" t="s">
        <v>333</v>
      </c>
      <c r="AA29" s="15" t="s">
        <v>333</v>
      </c>
      <c r="AB29" s="15" t="s">
        <v>333</v>
      </c>
      <c r="AC29" s="15" t="s">
        <v>333</v>
      </c>
      <c r="AD29" s="14">
        <v>0.01</v>
      </c>
      <c r="AE29" s="14">
        <v>0.02</v>
      </c>
      <c r="AF29" s="14">
        <v>0.03</v>
      </c>
    </row>
    <row r="30" spans="1:32" ht="21.5" x14ac:dyDescent="0.35">
      <c r="A30" s="31"/>
      <c r="B30" s="11" t="s">
        <v>1130</v>
      </c>
      <c r="C30" s="12">
        <v>0</v>
      </c>
      <c r="D30" s="12">
        <v>0</v>
      </c>
      <c r="E30" s="12">
        <v>0</v>
      </c>
      <c r="F30" s="12">
        <v>0</v>
      </c>
      <c r="G30" s="12">
        <v>0</v>
      </c>
      <c r="H30" s="12">
        <v>0</v>
      </c>
      <c r="I30" s="12">
        <v>0</v>
      </c>
      <c r="J30" s="12">
        <v>0</v>
      </c>
      <c r="K30" s="12">
        <v>0</v>
      </c>
      <c r="L30" s="12">
        <v>1</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row>
    <row r="31" spans="1:32" ht="21.5" x14ac:dyDescent="0.35">
      <c r="A31" s="31"/>
      <c r="B31" s="13" t="s">
        <v>1131</v>
      </c>
      <c r="C31" s="15" t="s">
        <v>333</v>
      </c>
      <c r="D31" s="15" t="s">
        <v>333</v>
      </c>
      <c r="E31" s="15" t="s">
        <v>333</v>
      </c>
      <c r="F31" s="15" t="s">
        <v>333</v>
      </c>
      <c r="G31" s="15" t="s">
        <v>333</v>
      </c>
      <c r="H31" s="15" t="s">
        <v>333</v>
      </c>
      <c r="I31" s="15" t="s">
        <v>333</v>
      </c>
      <c r="J31" s="15" t="s">
        <v>333</v>
      </c>
      <c r="K31" s="15" t="s">
        <v>333</v>
      </c>
      <c r="L31" s="15" t="s">
        <v>333</v>
      </c>
      <c r="M31" s="15" t="s">
        <v>333</v>
      </c>
      <c r="N31" s="15" t="s">
        <v>333</v>
      </c>
      <c r="O31" s="15" t="s">
        <v>333</v>
      </c>
      <c r="P31" s="15" t="s">
        <v>333</v>
      </c>
      <c r="Q31" s="15" t="s">
        <v>333</v>
      </c>
      <c r="R31" s="15" t="s">
        <v>333</v>
      </c>
      <c r="S31" s="15" t="s">
        <v>333</v>
      </c>
      <c r="T31" s="15" t="s">
        <v>333</v>
      </c>
      <c r="U31" s="15" t="s">
        <v>333</v>
      </c>
      <c r="V31" s="15" t="s">
        <v>333</v>
      </c>
      <c r="W31" s="15" t="s">
        <v>333</v>
      </c>
      <c r="X31" s="15" t="s">
        <v>333</v>
      </c>
      <c r="Y31" s="15" t="s">
        <v>333</v>
      </c>
      <c r="Z31" s="15" t="s">
        <v>333</v>
      </c>
      <c r="AA31" s="15" t="s">
        <v>333</v>
      </c>
      <c r="AB31" s="15" t="s">
        <v>333</v>
      </c>
      <c r="AC31" s="15" t="s">
        <v>333</v>
      </c>
      <c r="AD31" s="15" t="s">
        <v>333</v>
      </c>
      <c r="AE31" s="15" t="s">
        <v>333</v>
      </c>
      <c r="AF31" s="15" t="s">
        <v>333</v>
      </c>
    </row>
    <row r="32" spans="1:32" x14ac:dyDescent="0.35">
      <c r="A32" s="31"/>
      <c r="B32" s="11" t="s">
        <v>1110</v>
      </c>
      <c r="C32" s="12">
        <v>20</v>
      </c>
      <c r="D32" s="12">
        <v>0</v>
      </c>
      <c r="E32" s="12">
        <v>0</v>
      </c>
      <c r="F32" s="12">
        <v>0</v>
      </c>
      <c r="G32" s="12">
        <v>0</v>
      </c>
      <c r="H32" s="12">
        <v>1</v>
      </c>
      <c r="I32" s="12">
        <v>1</v>
      </c>
      <c r="J32" s="12">
        <v>0</v>
      </c>
      <c r="K32" s="12">
        <v>4</v>
      </c>
      <c r="L32" s="12">
        <v>0</v>
      </c>
      <c r="M32" s="12">
        <v>0</v>
      </c>
      <c r="N32" s="12">
        <v>0</v>
      </c>
      <c r="O32" s="12">
        <v>3</v>
      </c>
      <c r="P32" s="12">
        <v>0</v>
      </c>
      <c r="Q32" s="12">
        <v>0</v>
      </c>
      <c r="R32" s="12">
        <v>0</v>
      </c>
      <c r="S32" s="12">
        <v>2</v>
      </c>
      <c r="T32" s="12">
        <v>0</v>
      </c>
      <c r="U32" s="12">
        <v>0</v>
      </c>
      <c r="V32" s="12">
        <v>1</v>
      </c>
      <c r="W32" s="12">
        <v>0</v>
      </c>
      <c r="X32" s="12">
        <v>1</v>
      </c>
      <c r="Y32" s="12">
        <v>0</v>
      </c>
      <c r="Z32" s="12">
        <v>0</v>
      </c>
      <c r="AA32" s="12">
        <v>0</v>
      </c>
      <c r="AB32" s="12">
        <v>0</v>
      </c>
      <c r="AC32" s="12">
        <v>0</v>
      </c>
      <c r="AD32" s="12">
        <v>0</v>
      </c>
      <c r="AE32" s="12">
        <v>3</v>
      </c>
      <c r="AF32" s="12">
        <v>0</v>
      </c>
    </row>
    <row r="33" spans="1:32" x14ac:dyDescent="0.35">
      <c r="A33" s="31"/>
      <c r="B33" s="13" t="s">
        <v>1111</v>
      </c>
      <c r="C33" s="15" t="s">
        <v>333</v>
      </c>
      <c r="D33" s="15" t="s">
        <v>333</v>
      </c>
      <c r="E33" s="15" t="s">
        <v>333</v>
      </c>
      <c r="F33" s="15" t="s">
        <v>333</v>
      </c>
      <c r="G33" s="15" t="s">
        <v>333</v>
      </c>
      <c r="H33" s="15" t="s">
        <v>333</v>
      </c>
      <c r="I33" s="15" t="s">
        <v>333</v>
      </c>
      <c r="J33" s="15" t="s">
        <v>333</v>
      </c>
      <c r="K33" s="15" t="s">
        <v>333</v>
      </c>
      <c r="L33" s="15" t="s">
        <v>333</v>
      </c>
      <c r="M33" s="15" t="s">
        <v>333</v>
      </c>
      <c r="N33" s="15" t="s">
        <v>333</v>
      </c>
      <c r="O33" s="15" t="s">
        <v>333</v>
      </c>
      <c r="P33" s="15" t="s">
        <v>333</v>
      </c>
      <c r="Q33" s="15" t="s">
        <v>333</v>
      </c>
      <c r="R33" s="15" t="s">
        <v>333</v>
      </c>
      <c r="S33" s="15" t="s">
        <v>333</v>
      </c>
      <c r="T33" s="15" t="s">
        <v>333</v>
      </c>
      <c r="U33" s="15" t="s">
        <v>333</v>
      </c>
      <c r="V33" s="15" t="s">
        <v>333</v>
      </c>
      <c r="W33" s="15" t="s">
        <v>333</v>
      </c>
      <c r="X33" s="15" t="s">
        <v>333</v>
      </c>
      <c r="Y33" s="15" t="s">
        <v>333</v>
      </c>
      <c r="Z33" s="15" t="s">
        <v>333</v>
      </c>
      <c r="AA33" s="15" t="s">
        <v>333</v>
      </c>
      <c r="AB33" s="15" t="s">
        <v>333</v>
      </c>
      <c r="AC33" s="15" t="s">
        <v>333</v>
      </c>
      <c r="AD33" s="15" t="s">
        <v>333</v>
      </c>
      <c r="AE33" s="15" t="s">
        <v>333</v>
      </c>
      <c r="AF33" s="15" t="s">
        <v>333</v>
      </c>
    </row>
    <row r="34" spans="1:32" x14ac:dyDescent="0.35">
      <c r="A34" s="31"/>
      <c r="B34" s="11" t="s">
        <v>344</v>
      </c>
      <c r="C34" s="12">
        <v>10</v>
      </c>
      <c r="D34" s="12">
        <v>1</v>
      </c>
      <c r="E34" s="12">
        <v>0</v>
      </c>
      <c r="F34" s="12">
        <v>0</v>
      </c>
      <c r="G34" s="12">
        <v>0</v>
      </c>
      <c r="H34" s="12">
        <v>1</v>
      </c>
      <c r="I34" s="12">
        <v>1</v>
      </c>
      <c r="J34" s="12">
        <v>1</v>
      </c>
      <c r="K34" s="12">
        <v>1</v>
      </c>
      <c r="L34" s="12">
        <v>1</v>
      </c>
      <c r="M34" s="12">
        <v>0</v>
      </c>
      <c r="N34" s="12">
        <v>0</v>
      </c>
      <c r="O34" s="12">
        <v>1</v>
      </c>
      <c r="P34" s="12">
        <v>0</v>
      </c>
      <c r="Q34" s="12">
        <v>0</v>
      </c>
      <c r="R34" s="12">
        <v>0</v>
      </c>
      <c r="S34" s="12">
        <v>0</v>
      </c>
      <c r="T34" s="12">
        <v>0</v>
      </c>
      <c r="U34" s="12">
        <v>0</v>
      </c>
      <c r="V34" s="12">
        <v>0</v>
      </c>
      <c r="W34" s="12">
        <v>0</v>
      </c>
      <c r="X34" s="12">
        <v>2</v>
      </c>
      <c r="Y34" s="12">
        <v>0</v>
      </c>
      <c r="Z34" s="12">
        <v>0</v>
      </c>
      <c r="AA34" s="12">
        <v>0</v>
      </c>
      <c r="AB34" s="12">
        <v>0</v>
      </c>
      <c r="AC34" s="12">
        <v>0</v>
      </c>
      <c r="AD34" s="12">
        <v>0</v>
      </c>
      <c r="AE34" s="12">
        <v>0</v>
      </c>
      <c r="AF34" s="12">
        <v>0</v>
      </c>
    </row>
    <row r="35" spans="1:32" x14ac:dyDescent="0.35">
      <c r="A35" s="31"/>
      <c r="B35" s="13" t="s">
        <v>357</v>
      </c>
      <c r="C35" s="15" t="s">
        <v>333</v>
      </c>
      <c r="D35" s="15" t="s">
        <v>333</v>
      </c>
      <c r="E35" s="15" t="s">
        <v>333</v>
      </c>
      <c r="F35" s="15" t="s">
        <v>333</v>
      </c>
      <c r="G35" s="15" t="s">
        <v>333</v>
      </c>
      <c r="H35" s="15" t="s">
        <v>333</v>
      </c>
      <c r="I35" s="15" t="s">
        <v>333</v>
      </c>
      <c r="J35" s="15" t="s">
        <v>333</v>
      </c>
      <c r="K35" s="15" t="s">
        <v>333</v>
      </c>
      <c r="L35" s="15" t="s">
        <v>333</v>
      </c>
      <c r="M35" s="15" t="s">
        <v>333</v>
      </c>
      <c r="N35" s="15" t="s">
        <v>333</v>
      </c>
      <c r="O35" s="15" t="s">
        <v>333</v>
      </c>
      <c r="P35" s="15" t="s">
        <v>333</v>
      </c>
      <c r="Q35" s="15" t="s">
        <v>333</v>
      </c>
      <c r="R35" s="15" t="s">
        <v>333</v>
      </c>
      <c r="S35" s="15" t="s">
        <v>333</v>
      </c>
      <c r="T35" s="15" t="s">
        <v>333</v>
      </c>
      <c r="U35" s="15" t="s">
        <v>333</v>
      </c>
      <c r="V35" s="15" t="s">
        <v>333</v>
      </c>
      <c r="W35" s="15" t="s">
        <v>333</v>
      </c>
      <c r="X35" s="15" t="s">
        <v>333</v>
      </c>
      <c r="Y35" s="15" t="s">
        <v>333</v>
      </c>
      <c r="Z35" s="15" t="s">
        <v>333</v>
      </c>
      <c r="AA35" s="15" t="s">
        <v>333</v>
      </c>
      <c r="AB35" s="15" t="s">
        <v>333</v>
      </c>
      <c r="AC35" s="15" t="s">
        <v>333</v>
      </c>
      <c r="AD35" s="15" t="s">
        <v>333</v>
      </c>
      <c r="AE35" s="15" t="s">
        <v>333</v>
      </c>
      <c r="AF35" s="15" t="s">
        <v>333</v>
      </c>
    </row>
  </sheetData>
  <mergeCells count="9">
    <mergeCell ref="B10:B11"/>
    <mergeCell ref="H4:L4"/>
    <mergeCell ref="A10:A35"/>
    <mergeCell ref="B4:F4"/>
    <mergeCell ref="H3:L3"/>
    <mergeCell ref="C8:AF8"/>
    <mergeCell ref="B3:F3"/>
    <mergeCell ref="B5:F5"/>
    <mergeCell ref="H5:L5"/>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219</v>
      </c>
      <c r="C3" s="30"/>
      <c r="D3" s="30"/>
      <c r="E3" s="30"/>
      <c r="F3" s="30"/>
      <c r="H3" s="30" t="s">
        <v>220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1132</v>
      </c>
      <c r="C12" s="12">
        <v>12776</v>
      </c>
      <c r="D12" s="12">
        <v>501</v>
      </c>
      <c r="E12" s="12">
        <v>494</v>
      </c>
      <c r="F12" s="12">
        <v>493</v>
      </c>
      <c r="G12" s="12">
        <v>498</v>
      </c>
      <c r="H12" s="12">
        <v>602</v>
      </c>
      <c r="I12" s="12">
        <v>746</v>
      </c>
      <c r="J12" s="12">
        <v>144</v>
      </c>
      <c r="K12" s="12">
        <v>466</v>
      </c>
      <c r="L12" s="12">
        <v>490</v>
      </c>
      <c r="M12" s="12">
        <v>488</v>
      </c>
      <c r="N12" s="12">
        <v>486</v>
      </c>
      <c r="O12" s="12">
        <v>476</v>
      </c>
      <c r="P12" s="12">
        <v>483</v>
      </c>
      <c r="Q12" s="12">
        <v>501</v>
      </c>
      <c r="R12" s="12">
        <v>244</v>
      </c>
      <c r="S12" s="12">
        <v>463</v>
      </c>
      <c r="T12" s="12">
        <v>474</v>
      </c>
      <c r="U12" s="12">
        <v>255</v>
      </c>
      <c r="V12" s="12">
        <v>484</v>
      </c>
      <c r="W12" s="12">
        <v>265</v>
      </c>
      <c r="X12" s="12">
        <v>498</v>
      </c>
      <c r="Y12" s="12">
        <v>490</v>
      </c>
      <c r="Z12" s="12">
        <v>485</v>
      </c>
      <c r="AA12" s="12">
        <v>487</v>
      </c>
      <c r="AB12" s="12">
        <v>508</v>
      </c>
      <c r="AC12" s="12">
        <v>505</v>
      </c>
      <c r="AD12" s="12">
        <v>487</v>
      </c>
      <c r="AE12" s="12">
        <v>490</v>
      </c>
      <c r="AF12" s="12">
        <v>524</v>
      </c>
    </row>
    <row r="13" spans="1:32" x14ac:dyDescent="0.35">
      <c r="A13" s="31"/>
      <c r="B13" s="13" t="s">
        <v>1133</v>
      </c>
      <c r="C13" s="14">
        <v>0.49</v>
      </c>
      <c r="D13" s="14">
        <v>0.49</v>
      </c>
      <c r="E13" s="14">
        <v>0.48</v>
      </c>
      <c r="F13" s="14">
        <v>0.49</v>
      </c>
      <c r="G13" s="14">
        <v>0.49</v>
      </c>
      <c r="H13" s="14">
        <v>0.49</v>
      </c>
      <c r="I13" s="14">
        <v>0.49</v>
      </c>
      <c r="J13" s="14">
        <v>0.48</v>
      </c>
      <c r="K13" s="14">
        <v>0.46</v>
      </c>
      <c r="L13" s="14">
        <v>0.49</v>
      </c>
      <c r="M13" s="14">
        <v>0.49</v>
      </c>
      <c r="N13" s="14">
        <v>0.49</v>
      </c>
      <c r="O13" s="14">
        <v>0.48</v>
      </c>
      <c r="P13" s="14">
        <v>0.48</v>
      </c>
      <c r="Q13" s="14">
        <v>0.49</v>
      </c>
      <c r="R13" s="14">
        <v>0.49</v>
      </c>
      <c r="S13" s="14">
        <v>0.45</v>
      </c>
      <c r="T13" s="14">
        <v>0.47</v>
      </c>
      <c r="U13" s="14">
        <v>0.5</v>
      </c>
      <c r="V13" s="14">
        <v>0.48</v>
      </c>
      <c r="W13" s="14">
        <v>0.53</v>
      </c>
      <c r="X13" s="14">
        <v>0.49</v>
      </c>
      <c r="Y13" s="14">
        <v>0.49</v>
      </c>
      <c r="Z13" s="14">
        <v>0.48</v>
      </c>
      <c r="AA13" s="14">
        <v>0.47</v>
      </c>
      <c r="AB13" s="14">
        <v>0.48</v>
      </c>
      <c r="AC13" s="14">
        <v>0.5</v>
      </c>
      <c r="AD13" s="14">
        <v>0.48</v>
      </c>
      <c r="AE13" s="14">
        <v>0.49</v>
      </c>
      <c r="AF13" s="14">
        <v>0.51</v>
      </c>
    </row>
    <row r="14" spans="1:32" x14ac:dyDescent="0.35">
      <c r="A14" s="31"/>
      <c r="B14" s="11" t="s">
        <v>1134</v>
      </c>
      <c r="C14" s="12">
        <v>13542</v>
      </c>
      <c r="D14" s="12">
        <v>521</v>
      </c>
      <c r="E14" s="12">
        <v>545</v>
      </c>
      <c r="F14" s="12">
        <v>521</v>
      </c>
      <c r="G14" s="12">
        <v>510</v>
      </c>
      <c r="H14" s="12">
        <v>625</v>
      </c>
      <c r="I14" s="12">
        <v>776</v>
      </c>
      <c r="J14" s="12">
        <v>151</v>
      </c>
      <c r="K14" s="12">
        <v>533</v>
      </c>
      <c r="L14" s="12">
        <v>510</v>
      </c>
      <c r="M14" s="12">
        <v>516</v>
      </c>
      <c r="N14" s="12">
        <v>513</v>
      </c>
      <c r="O14" s="12">
        <v>518</v>
      </c>
      <c r="P14" s="12">
        <v>521</v>
      </c>
      <c r="Q14" s="12">
        <v>531</v>
      </c>
      <c r="R14" s="12">
        <v>256</v>
      </c>
      <c r="S14" s="12">
        <v>556</v>
      </c>
      <c r="T14" s="12">
        <v>541</v>
      </c>
      <c r="U14" s="12">
        <v>254</v>
      </c>
      <c r="V14" s="12">
        <v>530</v>
      </c>
      <c r="W14" s="12">
        <v>233</v>
      </c>
      <c r="X14" s="12">
        <v>509</v>
      </c>
      <c r="Y14" s="12">
        <v>512</v>
      </c>
      <c r="Z14" s="12">
        <v>530</v>
      </c>
      <c r="AA14" s="12">
        <v>543</v>
      </c>
      <c r="AB14" s="12">
        <v>548</v>
      </c>
      <c r="AC14" s="12">
        <v>503</v>
      </c>
      <c r="AD14" s="12">
        <v>517</v>
      </c>
      <c r="AE14" s="12">
        <v>506</v>
      </c>
      <c r="AF14" s="12">
        <v>490</v>
      </c>
    </row>
    <row r="15" spans="1:32" x14ac:dyDescent="0.35">
      <c r="A15" s="31"/>
      <c r="B15" s="13" t="s">
        <v>1135</v>
      </c>
      <c r="C15" s="14">
        <v>0.51</v>
      </c>
      <c r="D15" s="14">
        <v>0.51</v>
      </c>
      <c r="E15" s="14">
        <v>0.52</v>
      </c>
      <c r="F15" s="14">
        <v>0.51</v>
      </c>
      <c r="G15" s="14">
        <v>0.5</v>
      </c>
      <c r="H15" s="14">
        <v>0.51</v>
      </c>
      <c r="I15" s="14">
        <v>0.51</v>
      </c>
      <c r="J15" s="14">
        <v>0.51</v>
      </c>
      <c r="K15" s="14">
        <v>0.53</v>
      </c>
      <c r="L15" s="14">
        <v>0.51</v>
      </c>
      <c r="M15" s="14">
        <v>0.51</v>
      </c>
      <c r="N15" s="14">
        <v>0.51</v>
      </c>
      <c r="O15" s="14">
        <v>0.52</v>
      </c>
      <c r="P15" s="14">
        <v>0.52</v>
      </c>
      <c r="Q15" s="14">
        <v>0.51</v>
      </c>
      <c r="R15" s="14">
        <v>0.51</v>
      </c>
      <c r="S15" s="14">
        <v>0.55000000000000004</v>
      </c>
      <c r="T15" s="14">
        <v>0.53</v>
      </c>
      <c r="U15" s="14">
        <v>0.5</v>
      </c>
      <c r="V15" s="14">
        <v>0.52</v>
      </c>
      <c r="W15" s="14">
        <v>0.47</v>
      </c>
      <c r="X15" s="14">
        <v>0.51</v>
      </c>
      <c r="Y15" s="14">
        <v>0.51</v>
      </c>
      <c r="Z15" s="14">
        <v>0.52</v>
      </c>
      <c r="AA15" s="14">
        <v>0.53</v>
      </c>
      <c r="AB15" s="14">
        <v>0.52</v>
      </c>
      <c r="AC15" s="14">
        <v>0.5</v>
      </c>
      <c r="AD15" s="14">
        <v>0.52</v>
      </c>
      <c r="AE15" s="14">
        <v>0.5</v>
      </c>
      <c r="AF15" s="14">
        <v>0.48</v>
      </c>
    </row>
    <row r="16" spans="1:32" ht="31.5" x14ac:dyDescent="0.35">
      <c r="A16" s="31"/>
      <c r="B16" s="11" t="s">
        <v>1136</v>
      </c>
      <c r="C16" s="12">
        <v>45</v>
      </c>
      <c r="D16" s="12">
        <v>1</v>
      </c>
      <c r="E16" s="12">
        <v>0</v>
      </c>
      <c r="F16" s="12">
        <v>2</v>
      </c>
      <c r="G16" s="12">
        <v>9</v>
      </c>
      <c r="H16" s="12">
        <v>4</v>
      </c>
      <c r="I16" s="12">
        <v>4</v>
      </c>
      <c r="J16" s="12">
        <v>1</v>
      </c>
      <c r="K16" s="12">
        <v>5</v>
      </c>
      <c r="L16" s="12">
        <v>2</v>
      </c>
      <c r="M16" s="12">
        <v>0</v>
      </c>
      <c r="N16" s="12">
        <v>1</v>
      </c>
      <c r="O16" s="12">
        <v>2</v>
      </c>
      <c r="P16" s="12">
        <v>0</v>
      </c>
      <c r="Q16" s="12">
        <v>2</v>
      </c>
      <c r="R16" s="12">
        <v>0</v>
      </c>
      <c r="S16" s="12">
        <v>0</v>
      </c>
      <c r="T16" s="12">
        <v>2</v>
      </c>
      <c r="U16" s="12">
        <v>0</v>
      </c>
      <c r="V16" s="12">
        <v>0</v>
      </c>
      <c r="W16" s="12">
        <v>2</v>
      </c>
      <c r="X16" s="12">
        <v>1</v>
      </c>
      <c r="Y16" s="12">
        <v>0</v>
      </c>
      <c r="Z16" s="12">
        <v>0</v>
      </c>
      <c r="AA16" s="12">
        <v>1</v>
      </c>
      <c r="AB16" s="12">
        <v>0</v>
      </c>
      <c r="AC16" s="12">
        <v>3</v>
      </c>
      <c r="AD16" s="12">
        <v>0</v>
      </c>
      <c r="AE16" s="12">
        <v>7</v>
      </c>
      <c r="AF16" s="12">
        <v>5</v>
      </c>
    </row>
    <row r="17" spans="1:32" ht="31.5" x14ac:dyDescent="0.35">
      <c r="A17" s="31"/>
      <c r="B17" s="13" t="s">
        <v>1137</v>
      </c>
      <c r="C17" s="15" t="s">
        <v>333</v>
      </c>
      <c r="D17" s="15" t="s">
        <v>333</v>
      </c>
      <c r="E17" s="15" t="s">
        <v>333</v>
      </c>
      <c r="F17" s="15" t="s">
        <v>333</v>
      </c>
      <c r="G17" s="14">
        <v>0.01</v>
      </c>
      <c r="H17" s="15" t="s">
        <v>333</v>
      </c>
      <c r="I17" s="15" t="s">
        <v>333</v>
      </c>
      <c r="J17" s="15" t="s">
        <v>333</v>
      </c>
      <c r="K17" s="14">
        <v>0.01</v>
      </c>
      <c r="L17" s="15" t="s">
        <v>333</v>
      </c>
      <c r="M17" s="15" t="s">
        <v>333</v>
      </c>
      <c r="N17" s="15" t="s">
        <v>333</v>
      </c>
      <c r="O17" s="15" t="s">
        <v>333</v>
      </c>
      <c r="P17" s="15" t="s">
        <v>333</v>
      </c>
      <c r="Q17" s="15" t="s">
        <v>333</v>
      </c>
      <c r="R17" s="15" t="s">
        <v>333</v>
      </c>
      <c r="S17" s="15" t="s">
        <v>333</v>
      </c>
      <c r="T17" s="15" t="s">
        <v>333</v>
      </c>
      <c r="U17" s="15" t="s">
        <v>333</v>
      </c>
      <c r="V17" s="15" t="s">
        <v>333</v>
      </c>
      <c r="W17" s="15" t="s">
        <v>333</v>
      </c>
      <c r="X17" s="15" t="s">
        <v>333</v>
      </c>
      <c r="Y17" s="15" t="s">
        <v>333</v>
      </c>
      <c r="Z17" s="15" t="s">
        <v>333</v>
      </c>
      <c r="AA17" s="15" t="s">
        <v>333</v>
      </c>
      <c r="AB17" s="15" t="s">
        <v>333</v>
      </c>
      <c r="AC17" s="15" t="s">
        <v>333</v>
      </c>
      <c r="AD17" s="15" t="s">
        <v>333</v>
      </c>
      <c r="AE17" s="14">
        <v>0.01</v>
      </c>
      <c r="AF17" s="14">
        <v>0.01</v>
      </c>
    </row>
    <row r="18" spans="1:32" x14ac:dyDescent="0.35">
      <c r="A18" s="31"/>
      <c r="B18" s="11" t="s">
        <v>1138</v>
      </c>
      <c r="C18" s="12">
        <v>47</v>
      </c>
      <c r="D18" s="12">
        <v>2</v>
      </c>
      <c r="E18" s="12">
        <v>0</v>
      </c>
      <c r="F18" s="12">
        <v>2</v>
      </c>
      <c r="G18" s="12">
        <v>0</v>
      </c>
      <c r="H18" s="12">
        <v>2</v>
      </c>
      <c r="I18" s="12">
        <v>4</v>
      </c>
      <c r="J18" s="12">
        <v>2</v>
      </c>
      <c r="K18" s="12">
        <v>5</v>
      </c>
      <c r="L18" s="12">
        <v>2</v>
      </c>
      <c r="M18" s="12">
        <v>0</v>
      </c>
      <c r="N18" s="12">
        <v>0</v>
      </c>
      <c r="O18" s="12">
        <v>3</v>
      </c>
      <c r="P18" s="12">
        <v>0</v>
      </c>
      <c r="Q18" s="12">
        <v>1</v>
      </c>
      <c r="R18" s="12">
        <v>2</v>
      </c>
      <c r="S18" s="12">
        <v>3</v>
      </c>
      <c r="T18" s="12">
        <v>0</v>
      </c>
      <c r="U18" s="12">
        <v>0</v>
      </c>
      <c r="V18" s="12">
        <v>0</v>
      </c>
      <c r="W18" s="12">
        <v>0</v>
      </c>
      <c r="X18" s="12">
        <v>3</v>
      </c>
      <c r="Y18" s="12">
        <v>1</v>
      </c>
      <c r="Z18" s="12">
        <v>4</v>
      </c>
      <c r="AA18" s="12">
        <v>0</v>
      </c>
      <c r="AB18" s="12">
        <v>0</v>
      </c>
      <c r="AC18" s="12">
        <v>2</v>
      </c>
      <c r="AD18" s="12">
        <v>0</v>
      </c>
      <c r="AE18" s="12">
        <v>4</v>
      </c>
      <c r="AF18" s="12">
        <v>1</v>
      </c>
    </row>
    <row r="19" spans="1:32" x14ac:dyDescent="0.35">
      <c r="A19" s="31"/>
      <c r="B19" s="13" t="s">
        <v>1139</v>
      </c>
      <c r="C19" s="15" t="s">
        <v>333</v>
      </c>
      <c r="D19" s="15" t="s">
        <v>333</v>
      </c>
      <c r="E19" s="15" t="s">
        <v>333</v>
      </c>
      <c r="F19" s="15" t="s">
        <v>333</v>
      </c>
      <c r="G19" s="15" t="s">
        <v>333</v>
      </c>
      <c r="H19" s="15" t="s">
        <v>333</v>
      </c>
      <c r="I19" s="15" t="s">
        <v>333</v>
      </c>
      <c r="J19" s="14">
        <v>0.01</v>
      </c>
      <c r="K19" s="15" t="s">
        <v>333</v>
      </c>
      <c r="L19" s="15" t="s">
        <v>333</v>
      </c>
      <c r="M19" s="15" t="s">
        <v>333</v>
      </c>
      <c r="N19" s="15" t="s">
        <v>333</v>
      </c>
      <c r="O19" s="15" t="s">
        <v>333</v>
      </c>
      <c r="P19" s="15" t="s">
        <v>333</v>
      </c>
      <c r="Q19" s="15" t="s">
        <v>333</v>
      </c>
      <c r="R19" s="15" t="s">
        <v>333</v>
      </c>
      <c r="S19" s="15" t="s">
        <v>333</v>
      </c>
      <c r="T19" s="15" t="s">
        <v>333</v>
      </c>
      <c r="U19" s="15" t="s">
        <v>333</v>
      </c>
      <c r="V19" s="15" t="s">
        <v>333</v>
      </c>
      <c r="W19" s="15" t="s">
        <v>333</v>
      </c>
      <c r="X19" s="15" t="s">
        <v>333</v>
      </c>
      <c r="Y19" s="15" t="s">
        <v>333</v>
      </c>
      <c r="Z19" s="15" t="s">
        <v>333</v>
      </c>
      <c r="AA19" s="15" t="s">
        <v>333</v>
      </c>
      <c r="AB19" s="15" t="s">
        <v>333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4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221</v>
      </c>
      <c r="C3" s="30"/>
      <c r="D3" s="30"/>
      <c r="E3" s="30"/>
      <c r="F3" s="30"/>
      <c r="H3" s="30" t="s">
        <v>222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x14ac:dyDescent="0.35">
      <c r="A12" s="31"/>
      <c r="B12" s="11" t="s">
        <v>1140</v>
      </c>
      <c r="C12" s="12">
        <v>1093</v>
      </c>
      <c r="D12" s="12">
        <v>17</v>
      </c>
      <c r="E12" s="12">
        <v>30</v>
      </c>
      <c r="F12" s="12">
        <v>21</v>
      </c>
      <c r="G12" s="12">
        <v>2</v>
      </c>
      <c r="H12" s="12">
        <v>48</v>
      </c>
      <c r="I12" s="12">
        <v>51</v>
      </c>
      <c r="J12" s="12">
        <v>2</v>
      </c>
      <c r="K12" s="12">
        <v>28</v>
      </c>
      <c r="L12" s="12">
        <v>67</v>
      </c>
      <c r="M12" s="12">
        <v>80</v>
      </c>
      <c r="N12" s="12">
        <v>67</v>
      </c>
      <c r="O12" s="12">
        <v>27</v>
      </c>
      <c r="P12" s="12">
        <v>18</v>
      </c>
      <c r="Q12" s="12">
        <v>74</v>
      </c>
      <c r="R12" s="12">
        <v>28</v>
      </c>
      <c r="S12" s="12">
        <v>36</v>
      </c>
      <c r="T12" s="12">
        <v>25</v>
      </c>
      <c r="U12" s="12">
        <v>15</v>
      </c>
      <c r="V12" s="12">
        <v>8</v>
      </c>
      <c r="W12" s="12">
        <v>75</v>
      </c>
      <c r="X12" s="12">
        <v>29</v>
      </c>
      <c r="Y12" s="12">
        <v>26</v>
      </c>
      <c r="Z12" s="12">
        <v>36</v>
      </c>
      <c r="AA12" s="12">
        <v>20</v>
      </c>
      <c r="AB12" s="12">
        <v>95</v>
      </c>
      <c r="AC12" s="12">
        <v>9</v>
      </c>
      <c r="AD12" s="12">
        <v>15</v>
      </c>
      <c r="AE12" s="12">
        <v>3</v>
      </c>
      <c r="AF12" s="12">
        <v>2</v>
      </c>
    </row>
    <row r="13" spans="1:32" ht="51.5" x14ac:dyDescent="0.35">
      <c r="A13" s="31"/>
      <c r="B13" s="13" t="s">
        <v>1141</v>
      </c>
      <c r="C13" s="14">
        <v>0.04</v>
      </c>
      <c r="D13" s="14">
        <v>0.02</v>
      </c>
      <c r="E13" s="14">
        <v>0.03</v>
      </c>
      <c r="F13" s="14">
        <v>0.02</v>
      </c>
      <c r="G13" s="15" t="s">
        <v>333</v>
      </c>
      <c r="H13" s="14">
        <v>0.04</v>
      </c>
      <c r="I13" s="14">
        <v>0.03</v>
      </c>
      <c r="J13" s="14">
        <v>0.01</v>
      </c>
      <c r="K13" s="14">
        <v>0.03</v>
      </c>
      <c r="L13" s="14">
        <v>7.0000000000000007E-2</v>
      </c>
      <c r="M13" s="14">
        <v>0.08</v>
      </c>
      <c r="N13" s="14">
        <v>7.0000000000000007E-2</v>
      </c>
      <c r="O13" s="14">
        <v>0.03</v>
      </c>
      <c r="P13" s="14">
        <v>0.02</v>
      </c>
      <c r="Q13" s="14">
        <v>7.0000000000000007E-2</v>
      </c>
      <c r="R13" s="14">
        <v>0.06</v>
      </c>
      <c r="S13" s="14">
        <v>0.04</v>
      </c>
      <c r="T13" s="14">
        <v>0.02</v>
      </c>
      <c r="U13" s="14">
        <v>0.03</v>
      </c>
      <c r="V13" s="14">
        <v>0.01</v>
      </c>
      <c r="W13" s="14">
        <v>0.15</v>
      </c>
      <c r="X13" s="14">
        <v>0.03</v>
      </c>
      <c r="Y13" s="14">
        <v>0.02</v>
      </c>
      <c r="Z13" s="14">
        <v>0.03</v>
      </c>
      <c r="AA13" s="14">
        <v>0.02</v>
      </c>
      <c r="AB13" s="14">
        <v>0.09</v>
      </c>
      <c r="AC13" s="14">
        <v>0.01</v>
      </c>
      <c r="AD13" s="14">
        <v>0.01</v>
      </c>
      <c r="AE13" s="15" t="s">
        <v>333</v>
      </c>
      <c r="AF13" s="15" t="s">
        <v>333</v>
      </c>
    </row>
    <row r="14" spans="1:32" x14ac:dyDescent="0.35">
      <c r="A14" s="31"/>
      <c r="B14" s="11" t="s">
        <v>1142</v>
      </c>
      <c r="C14" s="12">
        <v>2593</v>
      </c>
      <c r="D14" s="12">
        <v>132</v>
      </c>
      <c r="E14" s="12">
        <v>59</v>
      </c>
      <c r="F14" s="12">
        <v>95</v>
      </c>
      <c r="G14" s="12">
        <v>127</v>
      </c>
      <c r="H14" s="12">
        <v>164</v>
      </c>
      <c r="I14" s="12">
        <v>186</v>
      </c>
      <c r="J14" s="12">
        <v>22</v>
      </c>
      <c r="K14" s="12">
        <v>96</v>
      </c>
      <c r="L14" s="12">
        <v>106</v>
      </c>
      <c r="M14" s="12">
        <v>70</v>
      </c>
      <c r="N14" s="12">
        <v>91</v>
      </c>
      <c r="O14" s="12">
        <v>99</v>
      </c>
      <c r="P14" s="12">
        <v>67</v>
      </c>
      <c r="Q14" s="12">
        <v>107</v>
      </c>
      <c r="R14" s="12">
        <v>42</v>
      </c>
      <c r="S14" s="12">
        <v>78</v>
      </c>
      <c r="T14" s="12">
        <v>81</v>
      </c>
      <c r="U14" s="12">
        <v>51</v>
      </c>
      <c r="V14" s="12">
        <v>53</v>
      </c>
      <c r="W14" s="12">
        <v>35</v>
      </c>
      <c r="X14" s="12">
        <v>156</v>
      </c>
      <c r="Y14" s="12">
        <v>76</v>
      </c>
      <c r="Z14" s="12">
        <v>75</v>
      </c>
      <c r="AA14" s="12">
        <v>90</v>
      </c>
      <c r="AB14" s="12">
        <v>65</v>
      </c>
      <c r="AC14" s="12">
        <v>98</v>
      </c>
      <c r="AD14" s="12">
        <v>78</v>
      </c>
      <c r="AE14" s="12">
        <v>110</v>
      </c>
      <c r="AF14" s="12">
        <v>76</v>
      </c>
    </row>
    <row r="15" spans="1:32" x14ac:dyDescent="0.35">
      <c r="A15" s="31"/>
      <c r="B15" s="13" t="s">
        <v>1143</v>
      </c>
      <c r="C15" s="14">
        <v>0.1</v>
      </c>
      <c r="D15" s="14">
        <v>0.13</v>
      </c>
      <c r="E15" s="14">
        <v>0.06</v>
      </c>
      <c r="F15" s="14">
        <v>0.09</v>
      </c>
      <c r="G15" s="14">
        <v>0.13</v>
      </c>
      <c r="H15" s="14">
        <v>0.13</v>
      </c>
      <c r="I15" s="14">
        <v>0.12</v>
      </c>
      <c r="J15" s="14">
        <v>7.0000000000000007E-2</v>
      </c>
      <c r="K15" s="14">
        <v>0.09</v>
      </c>
      <c r="L15" s="14">
        <v>0.11</v>
      </c>
      <c r="M15" s="14">
        <v>7.0000000000000007E-2</v>
      </c>
      <c r="N15" s="14">
        <v>0.09</v>
      </c>
      <c r="O15" s="14">
        <v>0.1</v>
      </c>
      <c r="P15" s="14">
        <v>7.0000000000000007E-2</v>
      </c>
      <c r="Q15" s="14">
        <v>0.1</v>
      </c>
      <c r="R15" s="14">
        <v>0.08</v>
      </c>
      <c r="S15" s="14">
        <v>0.08</v>
      </c>
      <c r="T15" s="14">
        <v>0.08</v>
      </c>
      <c r="U15" s="14">
        <v>0.1</v>
      </c>
      <c r="V15" s="14">
        <v>0.05</v>
      </c>
      <c r="W15" s="14">
        <v>7.0000000000000007E-2</v>
      </c>
      <c r="X15" s="14">
        <v>0.15</v>
      </c>
      <c r="Y15" s="14">
        <v>0.08</v>
      </c>
      <c r="Z15" s="14">
        <v>7.0000000000000007E-2</v>
      </c>
      <c r="AA15" s="14">
        <v>0.09</v>
      </c>
      <c r="AB15" s="14">
        <v>0.06</v>
      </c>
      <c r="AC15" s="14">
        <v>0.1</v>
      </c>
      <c r="AD15" s="14">
        <v>0.08</v>
      </c>
      <c r="AE15" s="14">
        <v>0.11</v>
      </c>
      <c r="AF15" s="14">
        <v>7.0000000000000007E-2</v>
      </c>
    </row>
    <row r="16" spans="1:32" ht="21.5" x14ac:dyDescent="0.35">
      <c r="A16" s="31"/>
      <c r="B16" s="11" t="s">
        <v>1144</v>
      </c>
      <c r="C16" s="12">
        <v>1137</v>
      </c>
      <c r="D16" s="12">
        <v>77</v>
      </c>
      <c r="E16" s="12">
        <v>52</v>
      </c>
      <c r="F16" s="12">
        <v>33</v>
      </c>
      <c r="G16" s="12">
        <v>58</v>
      </c>
      <c r="H16" s="12">
        <v>44</v>
      </c>
      <c r="I16" s="12">
        <v>54</v>
      </c>
      <c r="J16" s="12">
        <v>11</v>
      </c>
      <c r="K16" s="12">
        <v>46</v>
      </c>
      <c r="L16" s="12">
        <v>32</v>
      </c>
      <c r="M16" s="12">
        <v>44</v>
      </c>
      <c r="N16" s="12">
        <v>79</v>
      </c>
      <c r="O16" s="12">
        <v>73</v>
      </c>
      <c r="P16" s="12">
        <v>35</v>
      </c>
      <c r="Q16" s="12">
        <v>25</v>
      </c>
      <c r="R16" s="12">
        <v>24</v>
      </c>
      <c r="S16" s="12">
        <v>52</v>
      </c>
      <c r="T16" s="12">
        <v>80</v>
      </c>
      <c r="U16" s="12">
        <v>14</v>
      </c>
      <c r="V16" s="12">
        <v>18</v>
      </c>
      <c r="W16" s="12">
        <v>11</v>
      </c>
      <c r="X16" s="12">
        <v>26</v>
      </c>
      <c r="Y16" s="12">
        <v>27</v>
      </c>
      <c r="Z16" s="12">
        <v>13</v>
      </c>
      <c r="AA16" s="12">
        <v>39</v>
      </c>
      <c r="AB16" s="12">
        <v>12</v>
      </c>
      <c r="AC16" s="12">
        <v>32</v>
      </c>
      <c r="AD16" s="12">
        <v>43</v>
      </c>
      <c r="AE16" s="12">
        <v>64</v>
      </c>
      <c r="AF16" s="12">
        <v>40</v>
      </c>
    </row>
    <row r="17" spans="1:32" ht="21.5" x14ac:dyDescent="0.35">
      <c r="A17" s="31"/>
      <c r="B17" s="13" t="s">
        <v>1145</v>
      </c>
      <c r="C17" s="14">
        <v>0.04</v>
      </c>
      <c r="D17" s="14">
        <v>7.0000000000000007E-2</v>
      </c>
      <c r="E17" s="14">
        <v>0.05</v>
      </c>
      <c r="F17" s="14">
        <v>0.03</v>
      </c>
      <c r="G17" s="14">
        <v>0.06</v>
      </c>
      <c r="H17" s="14">
        <v>0.04</v>
      </c>
      <c r="I17" s="14">
        <v>0.03</v>
      </c>
      <c r="J17" s="14">
        <v>0.04</v>
      </c>
      <c r="K17" s="14">
        <v>0.05</v>
      </c>
      <c r="L17" s="14">
        <v>0.03</v>
      </c>
      <c r="M17" s="14">
        <v>0.04</v>
      </c>
      <c r="N17" s="14">
        <v>0.08</v>
      </c>
      <c r="O17" s="14">
        <v>7.0000000000000007E-2</v>
      </c>
      <c r="P17" s="14">
        <v>0.04</v>
      </c>
      <c r="Q17" s="14">
        <v>0.02</v>
      </c>
      <c r="R17" s="14">
        <v>0.05</v>
      </c>
      <c r="S17" s="14">
        <v>0.05</v>
      </c>
      <c r="T17" s="14">
        <v>0.08</v>
      </c>
      <c r="U17" s="14">
        <v>0.03</v>
      </c>
      <c r="V17" s="14">
        <v>0.02</v>
      </c>
      <c r="W17" s="14">
        <v>0.02</v>
      </c>
      <c r="X17" s="14">
        <v>0.02</v>
      </c>
      <c r="Y17" s="14">
        <v>0.03</v>
      </c>
      <c r="Z17" s="14">
        <v>0.01</v>
      </c>
      <c r="AA17" s="14">
        <v>0.04</v>
      </c>
      <c r="AB17" s="14">
        <v>0.01</v>
      </c>
      <c r="AC17" s="14">
        <v>0.03</v>
      </c>
      <c r="AD17" s="14">
        <v>0.04</v>
      </c>
      <c r="AE17" s="14">
        <v>0.06</v>
      </c>
      <c r="AF17" s="14">
        <v>0.04</v>
      </c>
    </row>
    <row r="18" spans="1:32" ht="21.5" x14ac:dyDescent="0.35">
      <c r="A18" s="31"/>
      <c r="B18" s="11" t="s">
        <v>1146</v>
      </c>
      <c r="C18" s="12">
        <v>6907</v>
      </c>
      <c r="D18" s="12">
        <v>311</v>
      </c>
      <c r="E18" s="12">
        <v>274</v>
      </c>
      <c r="F18" s="12">
        <v>257</v>
      </c>
      <c r="G18" s="12">
        <v>264</v>
      </c>
      <c r="H18" s="12">
        <v>336</v>
      </c>
      <c r="I18" s="12">
        <v>424</v>
      </c>
      <c r="J18" s="12">
        <v>89</v>
      </c>
      <c r="K18" s="12">
        <v>243</v>
      </c>
      <c r="L18" s="12">
        <v>177</v>
      </c>
      <c r="M18" s="12">
        <v>246</v>
      </c>
      <c r="N18" s="12">
        <v>221</v>
      </c>
      <c r="O18" s="12">
        <v>290</v>
      </c>
      <c r="P18" s="12">
        <v>275</v>
      </c>
      <c r="Q18" s="12">
        <v>243</v>
      </c>
      <c r="R18" s="12">
        <v>113</v>
      </c>
      <c r="S18" s="12">
        <v>267</v>
      </c>
      <c r="T18" s="12">
        <v>267</v>
      </c>
      <c r="U18" s="12">
        <v>115</v>
      </c>
      <c r="V18" s="12">
        <v>250</v>
      </c>
      <c r="W18" s="12">
        <v>62</v>
      </c>
      <c r="X18" s="12">
        <v>279</v>
      </c>
      <c r="Y18" s="12">
        <v>258</v>
      </c>
      <c r="Z18" s="12">
        <v>276</v>
      </c>
      <c r="AA18" s="12">
        <v>271</v>
      </c>
      <c r="AB18" s="12">
        <v>278</v>
      </c>
      <c r="AC18" s="12">
        <v>307</v>
      </c>
      <c r="AD18" s="12">
        <v>230</v>
      </c>
      <c r="AE18" s="12">
        <v>303</v>
      </c>
      <c r="AF18" s="12">
        <v>281</v>
      </c>
    </row>
    <row r="19" spans="1:32" ht="21.5" x14ac:dyDescent="0.35">
      <c r="A19" s="31"/>
      <c r="B19" s="13" t="s">
        <v>1147</v>
      </c>
      <c r="C19" s="14">
        <v>0.26</v>
      </c>
      <c r="D19" s="14">
        <v>0.3</v>
      </c>
      <c r="E19" s="14">
        <v>0.26</v>
      </c>
      <c r="F19" s="14">
        <v>0.25</v>
      </c>
      <c r="G19" s="14">
        <v>0.26</v>
      </c>
      <c r="H19" s="14">
        <v>0.27</v>
      </c>
      <c r="I19" s="14">
        <v>0.28000000000000003</v>
      </c>
      <c r="J19" s="14">
        <v>0.3</v>
      </c>
      <c r="K19" s="14">
        <v>0.24</v>
      </c>
      <c r="L19" s="14">
        <v>0.18</v>
      </c>
      <c r="M19" s="14">
        <v>0.25</v>
      </c>
      <c r="N19" s="14">
        <v>0.22</v>
      </c>
      <c r="O19" s="14">
        <v>0.28999999999999998</v>
      </c>
      <c r="P19" s="14">
        <v>0.27</v>
      </c>
      <c r="Q19" s="14">
        <v>0.24</v>
      </c>
      <c r="R19" s="14">
        <v>0.23</v>
      </c>
      <c r="S19" s="14">
        <v>0.26</v>
      </c>
      <c r="T19" s="14">
        <v>0.26</v>
      </c>
      <c r="U19" s="14">
        <v>0.23</v>
      </c>
      <c r="V19" s="14">
        <v>0.25</v>
      </c>
      <c r="W19" s="14">
        <v>0.12</v>
      </c>
      <c r="X19" s="14">
        <v>0.28000000000000003</v>
      </c>
      <c r="Y19" s="14">
        <v>0.26</v>
      </c>
      <c r="Z19" s="14">
        <v>0.27</v>
      </c>
      <c r="AA19" s="14">
        <v>0.26</v>
      </c>
      <c r="AB19" s="14">
        <v>0.26</v>
      </c>
      <c r="AC19" s="14">
        <v>0.3</v>
      </c>
      <c r="AD19" s="14">
        <v>0.23</v>
      </c>
      <c r="AE19" s="14">
        <v>0.3</v>
      </c>
      <c r="AF19" s="14">
        <v>0.28000000000000003</v>
      </c>
    </row>
    <row r="20" spans="1:32" x14ac:dyDescent="0.35">
      <c r="A20" s="31"/>
      <c r="B20" s="11" t="s">
        <v>1148</v>
      </c>
      <c r="C20" s="12">
        <v>158</v>
      </c>
      <c r="D20" s="12">
        <v>6</v>
      </c>
      <c r="E20" s="12">
        <v>8</v>
      </c>
      <c r="F20" s="12">
        <v>6</v>
      </c>
      <c r="G20" s="12">
        <v>4</v>
      </c>
      <c r="H20" s="12">
        <v>1</v>
      </c>
      <c r="I20" s="12">
        <v>2</v>
      </c>
      <c r="J20" s="12">
        <v>1</v>
      </c>
      <c r="K20" s="12">
        <v>6</v>
      </c>
      <c r="L20" s="12">
        <v>12</v>
      </c>
      <c r="M20" s="12">
        <v>16</v>
      </c>
      <c r="N20" s="12">
        <v>3</v>
      </c>
      <c r="O20" s="12">
        <v>3</v>
      </c>
      <c r="P20" s="12">
        <v>13</v>
      </c>
      <c r="Q20" s="12">
        <v>10</v>
      </c>
      <c r="R20" s="12">
        <v>2</v>
      </c>
      <c r="S20" s="12">
        <v>9</v>
      </c>
      <c r="T20" s="12">
        <v>16</v>
      </c>
      <c r="U20" s="12">
        <v>0</v>
      </c>
      <c r="V20" s="12">
        <v>2</v>
      </c>
      <c r="W20" s="12">
        <v>0</v>
      </c>
      <c r="X20" s="12">
        <v>0</v>
      </c>
      <c r="Y20" s="12">
        <v>7</v>
      </c>
      <c r="Z20" s="12">
        <v>18</v>
      </c>
      <c r="AA20" s="12">
        <v>6</v>
      </c>
      <c r="AB20" s="12">
        <v>8</v>
      </c>
      <c r="AC20" s="12">
        <v>13</v>
      </c>
      <c r="AD20" s="12">
        <v>1</v>
      </c>
      <c r="AE20" s="12">
        <v>12</v>
      </c>
      <c r="AF20" s="12">
        <v>2</v>
      </c>
    </row>
    <row r="21" spans="1:32" x14ac:dyDescent="0.35">
      <c r="A21" s="31"/>
      <c r="B21" s="13" t="s">
        <v>1149</v>
      </c>
      <c r="C21" s="15" t="s">
        <v>333</v>
      </c>
      <c r="D21" s="14">
        <v>0.01</v>
      </c>
      <c r="E21" s="14">
        <v>0.01</v>
      </c>
      <c r="F21" s="14">
        <v>0.01</v>
      </c>
      <c r="G21" s="15" t="s">
        <v>333</v>
      </c>
      <c r="H21" s="15" t="s">
        <v>333</v>
      </c>
      <c r="I21" s="15" t="s">
        <v>333</v>
      </c>
      <c r="J21" s="15" t="s">
        <v>333</v>
      </c>
      <c r="K21" s="14">
        <v>0.01</v>
      </c>
      <c r="L21" s="14">
        <v>0.01</v>
      </c>
      <c r="M21" s="14">
        <v>0.02</v>
      </c>
      <c r="N21" s="15" t="s">
        <v>333</v>
      </c>
      <c r="O21" s="15" t="s">
        <v>333</v>
      </c>
      <c r="P21" s="14">
        <v>0.01</v>
      </c>
      <c r="Q21" s="14">
        <v>0.01</v>
      </c>
      <c r="R21" s="15" t="s">
        <v>333</v>
      </c>
      <c r="S21" s="14">
        <v>0.01</v>
      </c>
      <c r="T21" s="14">
        <v>0.02</v>
      </c>
      <c r="U21" s="15" t="s">
        <v>333</v>
      </c>
      <c r="V21" s="15" t="s">
        <v>333</v>
      </c>
      <c r="W21" s="15" t="s">
        <v>333</v>
      </c>
      <c r="X21" s="15" t="s">
        <v>333</v>
      </c>
      <c r="Y21" s="14">
        <v>0.01</v>
      </c>
      <c r="Z21" s="14">
        <v>0.02</v>
      </c>
      <c r="AA21" s="14">
        <v>0.01</v>
      </c>
      <c r="AB21" s="14">
        <v>0.01</v>
      </c>
      <c r="AC21" s="14">
        <v>0.01</v>
      </c>
      <c r="AD21" s="15" t="s">
        <v>333</v>
      </c>
      <c r="AE21" s="14">
        <v>0.01</v>
      </c>
      <c r="AF21" s="15" t="s">
        <v>333</v>
      </c>
    </row>
    <row r="22" spans="1:32" x14ac:dyDescent="0.35">
      <c r="A22" s="31"/>
      <c r="B22" s="11" t="s">
        <v>1150</v>
      </c>
      <c r="C22" s="12">
        <v>30</v>
      </c>
      <c r="D22" s="12">
        <v>0</v>
      </c>
      <c r="E22" s="12">
        <v>0</v>
      </c>
      <c r="F22" s="12">
        <v>0</v>
      </c>
      <c r="G22" s="12">
        <v>0</v>
      </c>
      <c r="H22" s="12">
        <v>2</v>
      </c>
      <c r="I22" s="12">
        <v>2</v>
      </c>
      <c r="J22" s="12">
        <v>0</v>
      </c>
      <c r="K22" s="12">
        <v>0</v>
      </c>
      <c r="L22" s="12">
        <v>0</v>
      </c>
      <c r="M22" s="12">
        <v>2</v>
      </c>
      <c r="N22" s="12">
        <v>2</v>
      </c>
      <c r="O22" s="12">
        <v>3</v>
      </c>
      <c r="P22" s="12">
        <v>0</v>
      </c>
      <c r="Q22" s="12">
        <v>2</v>
      </c>
      <c r="R22" s="12">
        <v>2</v>
      </c>
      <c r="S22" s="12">
        <v>0</v>
      </c>
      <c r="T22" s="12">
        <v>0</v>
      </c>
      <c r="U22" s="12">
        <v>0</v>
      </c>
      <c r="V22" s="12">
        <v>0</v>
      </c>
      <c r="W22" s="12">
        <v>0</v>
      </c>
      <c r="X22" s="12">
        <v>0</v>
      </c>
      <c r="Y22" s="12">
        <v>0</v>
      </c>
      <c r="Z22" s="12">
        <v>0</v>
      </c>
      <c r="AA22" s="12">
        <v>0</v>
      </c>
      <c r="AB22" s="12">
        <v>1</v>
      </c>
      <c r="AC22" s="12">
        <v>0</v>
      </c>
      <c r="AD22" s="12">
        <v>0</v>
      </c>
      <c r="AE22" s="12">
        <v>0</v>
      </c>
      <c r="AF22" s="12">
        <v>0</v>
      </c>
    </row>
    <row r="23" spans="1:32" x14ac:dyDescent="0.35">
      <c r="A23" s="31"/>
      <c r="B23" s="13" t="s">
        <v>1151</v>
      </c>
      <c r="C23" s="15" t="s">
        <v>333</v>
      </c>
      <c r="D23" s="15" t="s">
        <v>333</v>
      </c>
      <c r="E23" s="15" t="s">
        <v>333</v>
      </c>
      <c r="F23" s="15" t="s">
        <v>333</v>
      </c>
      <c r="G23" s="15" t="s">
        <v>333</v>
      </c>
      <c r="H23" s="15" t="s">
        <v>333</v>
      </c>
      <c r="I23" s="15" t="s">
        <v>333</v>
      </c>
      <c r="J23" s="15" t="s">
        <v>333</v>
      </c>
      <c r="K23" s="15" t="s">
        <v>333</v>
      </c>
      <c r="L23" s="15" t="s">
        <v>333</v>
      </c>
      <c r="M23" s="15" t="s">
        <v>333</v>
      </c>
      <c r="N23" s="15" t="s">
        <v>333</v>
      </c>
      <c r="O23" s="15" t="s">
        <v>333</v>
      </c>
      <c r="P23" s="15" t="s">
        <v>333</v>
      </c>
      <c r="Q23" s="15" t="s">
        <v>333</v>
      </c>
      <c r="R23" s="15" t="s">
        <v>333</v>
      </c>
      <c r="S23" s="15" t="s">
        <v>333</v>
      </c>
      <c r="T23" s="15" t="s">
        <v>333</v>
      </c>
      <c r="U23" s="15" t="s">
        <v>333</v>
      </c>
      <c r="V23" s="15" t="s">
        <v>333</v>
      </c>
      <c r="W23" s="15" t="s">
        <v>333</v>
      </c>
      <c r="X23" s="15" t="s">
        <v>333</v>
      </c>
      <c r="Y23" s="15" t="s">
        <v>333</v>
      </c>
      <c r="Z23" s="15" t="s">
        <v>333</v>
      </c>
      <c r="AA23" s="15" t="s">
        <v>333</v>
      </c>
      <c r="AB23" s="15" t="s">
        <v>333</v>
      </c>
      <c r="AC23" s="15" t="s">
        <v>333</v>
      </c>
      <c r="AD23" s="15" t="s">
        <v>333</v>
      </c>
      <c r="AE23" s="15" t="s">
        <v>333</v>
      </c>
      <c r="AF23" s="15" t="s">
        <v>333</v>
      </c>
    </row>
    <row r="24" spans="1:32" ht="41.5" x14ac:dyDescent="0.35">
      <c r="A24" s="31"/>
      <c r="B24" s="11" t="s">
        <v>1152</v>
      </c>
      <c r="C24" s="12">
        <v>541</v>
      </c>
      <c r="D24" s="12">
        <v>17</v>
      </c>
      <c r="E24" s="12">
        <v>12</v>
      </c>
      <c r="F24" s="12">
        <v>13</v>
      </c>
      <c r="G24" s="12">
        <v>20</v>
      </c>
      <c r="H24" s="12">
        <v>21</v>
      </c>
      <c r="I24" s="12">
        <v>26</v>
      </c>
      <c r="J24" s="12">
        <v>6</v>
      </c>
      <c r="K24" s="12">
        <v>17</v>
      </c>
      <c r="L24" s="12">
        <v>21</v>
      </c>
      <c r="M24" s="12">
        <v>21</v>
      </c>
      <c r="N24" s="12">
        <v>14</v>
      </c>
      <c r="O24" s="12">
        <v>24</v>
      </c>
      <c r="P24" s="12">
        <v>14</v>
      </c>
      <c r="Q24" s="12">
        <v>36</v>
      </c>
      <c r="R24" s="12">
        <v>13</v>
      </c>
      <c r="S24" s="12">
        <v>20</v>
      </c>
      <c r="T24" s="12">
        <v>22</v>
      </c>
      <c r="U24" s="12">
        <v>19</v>
      </c>
      <c r="V24" s="12">
        <v>3</v>
      </c>
      <c r="W24" s="12">
        <v>13</v>
      </c>
      <c r="X24" s="12">
        <v>27</v>
      </c>
      <c r="Y24" s="12">
        <v>18</v>
      </c>
      <c r="Z24" s="12">
        <v>19</v>
      </c>
      <c r="AA24" s="12">
        <v>10</v>
      </c>
      <c r="AB24" s="12">
        <v>6</v>
      </c>
      <c r="AC24" s="12">
        <v>35</v>
      </c>
      <c r="AD24" s="12">
        <v>36</v>
      </c>
      <c r="AE24" s="12">
        <v>29</v>
      </c>
      <c r="AF24" s="12">
        <v>29</v>
      </c>
    </row>
    <row r="25" spans="1:32" ht="31.5" x14ac:dyDescent="0.35">
      <c r="A25" s="31"/>
      <c r="B25" s="13" t="s">
        <v>1153</v>
      </c>
      <c r="C25" s="14">
        <v>0.02</v>
      </c>
      <c r="D25" s="14">
        <v>0.02</v>
      </c>
      <c r="E25" s="14">
        <v>0.01</v>
      </c>
      <c r="F25" s="14">
        <v>0.01</v>
      </c>
      <c r="G25" s="14">
        <v>0.02</v>
      </c>
      <c r="H25" s="14">
        <v>0.02</v>
      </c>
      <c r="I25" s="14">
        <v>0.02</v>
      </c>
      <c r="J25" s="14">
        <v>0.02</v>
      </c>
      <c r="K25" s="14">
        <v>0.02</v>
      </c>
      <c r="L25" s="14">
        <v>0.02</v>
      </c>
      <c r="M25" s="14">
        <v>0.02</v>
      </c>
      <c r="N25" s="14">
        <v>0.01</v>
      </c>
      <c r="O25" s="14">
        <v>0.02</v>
      </c>
      <c r="P25" s="14">
        <v>0.01</v>
      </c>
      <c r="Q25" s="14">
        <v>0.04</v>
      </c>
      <c r="R25" s="14">
        <v>0.03</v>
      </c>
      <c r="S25" s="14">
        <v>0.02</v>
      </c>
      <c r="T25" s="14">
        <v>0.02</v>
      </c>
      <c r="U25" s="14">
        <v>0.04</v>
      </c>
      <c r="V25" s="15" t="s">
        <v>333</v>
      </c>
      <c r="W25" s="14">
        <v>0.03</v>
      </c>
      <c r="X25" s="14">
        <v>0.03</v>
      </c>
      <c r="Y25" s="14">
        <v>0.02</v>
      </c>
      <c r="Z25" s="14">
        <v>0.02</v>
      </c>
      <c r="AA25" s="14">
        <v>0.01</v>
      </c>
      <c r="AB25" s="14">
        <v>0.01</v>
      </c>
      <c r="AC25" s="14">
        <v>0.03</v>
      </c>
      <c r="AD25" s="14">
        <v>0.04</v>
      </c>
      <c r="AE25" s="14">
        <v>0.03</v>
      </c>
      <c r="AF25" s="14">
        <v>0.03</v>
      </c>
    </row>
    <row r="26" spans="1:32" ht="31.5" x14ac:dyDescent="0.35">
      <c r="A26" s="31"/>
      <c r="B26" s="11" t="s">
        <v>1154</v>
      </c>
      <c r="C26" s="12">
        <v>687</v>
      </c>
      <c r="D26" s="12">
        <v>31</v>
      </c>
      <c r="E26" s="12">
        <v>28</v>
      </c>
      <c r="F26" s="12">
        <v>41</v>
      </c>
      <c r="G26" s="12">
        <v>13</v>
      </c>
      <c r="H26" s="12">
        <v>9</v>
      </c>
      <c r="I26" s="12">
        <v>12</v>
      </c>
      <c r="J26" s="12">
        <v>3</v>
      </c>
      <c r="K26" s="12">
        <v>14</v>
      </c>
      <c r="L26" s="12">
        <v>14</v>
      </c>
      <c r="M26" s="12">
        <v>94</v>
      </c>
      <c r="N26" s="12">
        <v>19</v>
      </c>
      <c r="O26" s="12">
        <v>23</v>
      </c>
      <c r="P26" s="12">
        <v>31</v>
      </c>
      <c r="Q26" s="12">
        <v>60</v>
      </c>
      <c r="R26" s="12">
        <v>14</v>
      </c>
      <c r="S26" s="12">
        <v>20</v>
      </c>
      <c r="T26" s="12">
        <v>33</v>
      </c>
      <c r="U26" s="12">
        <v>11</v>
      </c>
      <c r="V26" s="12">
        <v>32</v>
      </c>
      <c r="W26" s="12">
        <v>13</v>
      </c>
      <c r="X26" s="12">
        <v>16</v>
      </c>
      <c r="Y26" s="12">
        <v>16</v>
      </c>
      <c r="Z26" s="12">
        <v>26</v>
      </c>
      <c r="AA26" s="12">
        <v>40</v>
      </c>
      <c r="AB26" s="12">
        <v>10</v>
      </c>
      <c r="AC26" s="12">
        <v>27</v>
      </c>
      <c r="AD26" s="12">
        <v>56</v>
      </c>
      <c r="AE26" s="12">
        <v>7</v>
      </c>
      <c r="AF26" s="12">
        <v>5</v>
      </c>
    </row>
    <row r="27" spans="1:32" ht="21.5" x14ac:dyDescent="0.35">
      <c r="A27" s="31"/>
      <c r="B27" s="13" t="s">
        <v>1155</v>
      </c>
      <c r="C27" s="14">
        <v>0.03</v>
      </c>
      <c r="D27" s="14">
        <v>0.03</v>
      </c>
      <c r="E27" s="14">
        <v>0.03</v>
      </c>
      <c r="F27" s="14">
        <v>0.04</v>
      </c>
      <c r="G27" s="14">
        <v>0.01</v>
      </c>
      <c r="H27" s="14">
        <v>0.01</v>
      </c>
      <c r="I27" s="14">
        <v>0.01</v>
      </c>
      <c r="J27" s="14">
        <v>0.01</v>
      </c>
      <c r="K27" s="14">
        <v>0.01</v>
      </c>
      <c r="L27" s="14">
        <v>0.01</v>
      </c>
      <c r="M27" s="14">
        <v>0.09</v>
      </c>
      <c r="N27" s="14">
        <v>0.02</v>
      </c>
      <c r="O27" s="14">
        <v>0.02</v>
      </c>
      <c r="P27" s="14">
        <v>0.03</v>
      </c>
      <c r="Q27" s="14">
        <v>0.06</v>
      </c>
      <c r="R27" s="14">
        <v>0.03</v>
      </c>
      <c r="S27" s="14">
        <v>0.02</v>
      </c>
      <c r="T27" s="14">
        <v>0.03</v>
      </c>
      <c r="U27" s="14">
        <v>0.02</v>
      </c>
      <c r="V27" s="14">
        <v>0.03</v>
      </c>
      <c r="W27" s="14">
        <v>0.03</v>
      </c>
      <c r="X27" s="14">
        <v>0.02</v>
      </c>
      <c r="Y27" s="14">
        <v>0.02</v>
      </c>
      <c r="Z27" s="14">
        <v>0.02</v>
      </c>
      <c r="AA27" s="14">
        <v>0.04</v>
      </c>
      <c r="AB27" s="14">
        <v>0.01</v>
      </c>
      <c r="AC27" s="14">
        <v>0.03</v>
      </c>
      <c r="AD27" s="14">
        <v>0.06</v>
      </c>
      <c r="AE27" s="14">
        <v>0.01</v>
      </c>
      <c r="AF27" s="15" t="s">
        <v>333</v>
      </c>
    </row>
    <row r="28" spans="1:32" ht="31.5" x14ac:dyDescent="0.35">
      <c r="A28" s="31"/>
      <c r="B28" s="11" t="s">
        <v>1156</v>
      </c>
      <c r="C28" s="12">
        <v>456</v>
      </c>
      <c r="D28" s="12">
        <v>19</v>
      </c>
      <c r="E28" s="12">
        <v>29</v>
      </c>
      <c r="F28" s="12">
        <v>28</v>
      </c>
      <c r="G28" s="12">
        <v>20</v>
      </c>
      <c r="H28" s="12">
        <v>36</v>
      </c>
      <c r="I28" s="12">
        <v>40</v>
      </c>
      <c r="J28" s="12">
        <v>4</v>
      </c>
      <c r="K28" s="12">
        <v>71</v>
      </c>
      <c r="L28" s="12">
        <v>16</v>
      </c>
      <c r="M28" s="12">
        <v>17</v>
      </c>
      <c r="N28" s="12">
        <v>13</v>
      </c>
      <c r="O28" s="12">
        <v>7</v>
      </c>
      <c r="P28" s="12">
        <v>25</v>
      </c>
      <c r="Q28" s="12">
        <v>8</v>
      </c>
      <c r="R28" s="12">
        <v>8</v>
      </c>
      <c r="S28" s="12">
        <v>14</v>
      </c>
      <c r="T28" s="12">
        <v>16</v>
      </c>
      <c r="U28" s="12">
        <v>4</v>
      </c>
      <c r="V28" s="12">
        <v>29</v>
      </c>
      <c r="W28" s="12">
        <v>17</v>
      </c>
      <c r="X28" s="12">
        <v>35</v>
      </c>
      <c r="Y28" s="12">
        <v>17</v>
      </c>
      <c r="Z28" s="12">
        <v>15</v>
      </c>
      <c r="AA28" s="12">
        <v>32</v>
      </c>
      <c r="AB28" s="12">
        <v>5</v>
      </c>
      <c r="AC28" s="12">
        <v>28</v>
      </c>
      <c r="AD28" s="12">
        <v>27</v>
      </c>
      <c r="AE28" s="12">
        <v>31</v>
      </c>
      <c r="AF28" s="12">
        <v>20</v>
      </c>
    </row>
    <row r="29" spans="1:32" ht="21.5" x14ac:dyDescent="0.35">
      <c r="A29" s="31"/>
      <c r="B29" s="13" t="s">
        <v>1157</v>
      </c>
      <c r="C29" s="14">
        <v>0.02</v>
      </c>
      <c r="D29" s="14">
        <v>0.02</v>
      </c>
      <c r="E29" s="14">
        <v>0.03</v>
      </c>
      <c r="F29" s="14">
        <v>0.03</v>
      </c>
      <c r="G29" s="14">
        <v>0.02</v>
      </c>
      <c r="H29" s="14">
        <v>0.03</v>
      </c>
      <c r="I29" s="14">
        <v>0.03</v>
      </c>
      <c r="J29" s="14">
        <v>0.02</v>
      </c>
      <c r="K29" s="14">
        <v>7.0000000000000007E-2</v>
      </c>
      <c r="L29" s="14">
        <v>0.02</v>
      </c>
      <c r="M29" s="14">
        <v>0.02</v>
      </c>
      <c r="N29" s="14">
        <v>0.01</v>
      </c>
      <c r="O29" s="14">
        <v>0.01</v>
      </c>
      <c r="P29" s="14">
        <v>0.03</v>
      </c>
      <c r="Q29" s="14">
        <v>0.01</v>
      </c>
      <c r="R29" s="14">
        <v>0.01</v>
      </c>
      <c r="S29" s="14">
        <v>0.01</v>
      </c>
      <c r="T29" s="14">
        <v>0.02</v>
      </c>
      <c r="U29" s="14">
        <v>0.01</v>
      </c>
      <c r="V29" s="14">
        <v>0.03</v>
      </c>
      <c r="W29" s="14">
        <v>0.03</v>
      </c>
      <c r="X29" s="14">
        <v>0.03</v>
      </c>
      <c r="Y29" s="14">
        <v>0.02</v>
      </c>
      <c r="Z29" s="14">
        <v>0.01</v>
      </c>
      <c r="AA29" s="14">
        <v>0.03</v>
      </c>
      <c r="AB29" s="14">
        <v>0.01</v>
      </c>
      <c r="AC29" s="14">
        <v>0.03</v>
      </c>
      <c r="AD29" s="14">
        <v>0.03</v>
      </c>
      <c r="AE29" s="14">
        <v>0.03</v>
      </c>
      <c r="AF29" s="14">
        <v>0.02</v>
      </c>
    </row>
    <row r="30" spans="1:32" ht="31.5" x14ac:dyDescent="0.35">
      <c r="A30" s="31"/>
      <c r="B30" s="11" t="s">
        <v>1158</v>
      </c>
      <c r="C30" s="12">
        <v>555</v>
      </c>
      <c r="D30" s="12">
        <v>12</v>
      </c>
      <c r="E30" s="12">
        <v>24</v>
      </c>
      <c r="F30" s="12">
        <v>30</v>
      </c>
      <c r="G30" s="12">
        <v>13</v>
      </c>
      <c r="H30" s="12">
        <v>20</v>
      </c>
      <c r="I30" s="12">
        <v>24</v>
      </c>
      <c r="J30" s="12">
        <v>4</v>
      </c>
      <c r="K30" s="12">
        <v>66</v>
      </c>
      <c r="L30" s="12">
        <v>59</v>
      </c>
      <c r="M30" s="12">
        <v>12</v>
      </c>
      <c r="N30" s="12">
        <v>21</v>
      </c>
      <c r="O30" s="12">
        <v>8</v>
      </c>
      <c r="P30" s="12">
        <v>20</v>
      </c>
      <c r="Q30" s="12">
        <v>14</v>
      </c>
      <c r="R30" s="12">
        <v>12</v>
      </c>
      <c r="S30" s="12">
        <v>76</v>
      </c>
      <c r="T30" s="12">
        <v>55</v>
      </c>
      <c r="U30" s="12">
        <v>12</v>
      </c>
      <c r="V30" s="12">
        <v>19</v>
      </c>
      <c r="W30" s="12">
        <v>19</v>
      </c>
      <c r="X30" s="12">
        <v>9</v>
      </c>
      <c r="Y30" s="12">
        <v>16</v>
      </c>
      <c r="Z30" s="12">
        <v>28</v>
      </c>
      <c r="AA30" s="12">
        <v>35</v>
      </c>
      <c r="AB30" s="12">
        <v>47</v>
      </c>
      <c r="AC30" s="12">
        <v>42</v>
      </c>
      <c r="AD30" s="12">
        <v>35</v>
      </c>
      <c r="AE30" s="12">
        <v>48</v>
      </c>
      <c r="AF30" s="12">
        <v>84</v>
      </c>
    </row>
    <row r="31" spans="1:32" ht="31.5" x14ac:dyDescent="0.35">
      <c r="A31" s="31"/>
      <c r="B31" s="13" t="s">
        <v>1159</v>
      </c>
      <c r="C31" s="14">
        <v>0.02</v>
      </c>
      <c r="D31" s="14">
        <v>0.01</v>
      </c>
      <c r="E31" s="14">
        <v>0.02</v>
      </c>
      <c r="F31" s="14">
        <v>0.03</v>
      </c>
      <c r="G31" s="14">
        <v>0.01</v>
      </c>
      <c r="H31" s="14">
        <v>0.02</v>
      </c>
      <c r="I31" s="14">
        <v>0.02</v>
      </c>
      <c r="J31" s="14">
        <v>0.01</v>
      </c>
      <c r="K31" s="14">
        <v>0.06</v>
      </c>
      <c r="L31" s="14">
        <v>0.06</v>
      </c>
      <c r="M31" s="14">
        <v>0.01</v>
      </c>
      <c r="N31" s="14">
        <v>0.02</v>
      </c>
      <c r="O31" s="14">
        <v>0.01</v>
      </c>
      <c r="P31" s="14">
        <v>0.02</v>
      </c>
      <c r="Q31" s="14">
        <v>0.01</v>
      </c>
      <c r="R31" s="14">
        <v>0.02</v>
      </c>
      <c r="S31" s="14">
        <v>7.0000000000000007E-2</v>
      </c>
      <c r="T31" s="14">
        <v>0.05</v>
      </c>
      <c r="U31" s="14">
        <v>0.02</v>
      </c>
      <c r="V31" s="14">
        <v>0.02</v>
      </c>
      <c r="W31" s="14">
        <v>0.04</v>
      </c>
      <c r="X31" s="14">
        <v>0.01</v>
      </c>
      <c r="Y31" s="14">
        <v>0.01</v>
      </c>
      <c r="Z31" s="14">
        <v>0.03</v>
      </c>
      <c r="AA31" s="14">
        <v>0.03</v>
      </c>
      <c r="AB31" s="14">
        <v>0.04</v>
      </c>
      <c r="AC31" s="14">
        <v>0.04</v>
      </c>
      <c r="AD31" s="14">
        <v>0.03</v>
      </c>
      <c r="AE31" s="14">
        <v>0.05</v>
      </c>
      <c r="AF31" s="14">
        <v>0.08</v>
      </c>
    </row>
    <row r="32" spans="1:32" ht="41.5" x14ac:dyDescent="0.35">
      <c r="A32" s="31"/>
      <c r="B32" s="11" t="s">
        <v>1160</v>
      </c>
      <c r="C32" s="12">
        <v>476</v>
      </c>
      <c r="D32" s="12">
        <v>9</v>
      </c>
      <c r="E32" s="12">
        <v>7</v>
      </c>
      <c r="F32" s="12">
        <v>6</v>
      </c>
      <c r="G32" s="12">
        <v>11</v>
      </c>
      <c r="H32" s="12">
        <v>31</v>
      </c>
      <c r="I32" s="12">
        <v>36</v>
      </c>
      <c r="J32" s="12">
        <v>5</v>
      </c>
      <c r="K32" s="12">
        <v>7</v>
      </c>
      <c r="L32" s="12">
        <v>31</v>
      </c>
      <c r="M32" s="12">
        <v>8</v>
      </c>
      <c r="N32" s="12">
        <v>5</v>
      </c>
      <c r="O32" s="12">
        <v>24</v>
      </c>
      <c r="P32" s="12">
        <v>16</v>
      </c>
      <c r="Q32" s="12">
        <v>32</v>
      </c>
      <c r="R32" s="12">
        <v>9</v>
      </c>
      <c r="S32" s="12">
        <v>13</v>
      </c>
      <c r="T32" s="12">
        <v>10</v>
      </c>
      <c r="U32" s="12">
        <v>19</v>
      </c>
      <c r="V32" s="12">
        <v>9</v>
      </c>
      <c r="W32" s="12">
        <v>34</v>
      </c>
      <c r="X32" s="12">
        <v>26</v>
      </c>
      <c r="Y32" s="12">
        <v>33</v>
      </c>
      <c r="Z32" s="12">
        <v>5</v>
      </c>
      <c r="AA32" s="12">
        <v>24</v>
      </c>
      <c r="AB32" s="12">
        <v>2</v>
      </c>
      <c r="AC32" s="12">
        <v>16</v>
      </c>
      <c r="AD32" s="12">
        <v>10</v>
      </c>
      <c r="AE32" s="12">
        <v>12</v>
      </c>
      <c r="AF32" s="12">
        <v>13</v>
      </c>
    </row>
    <row r="33" spans="1:32" ht="51.5" x14ac:dyDescent="0.35">
      <c r="A33" s="31"/>
      <c r="B33" s="13" t="s">
        <v>1161</v>
      </c>
      <c r="C33" s="14">
        <v>0.02</v>
      </c>
      <c r="D33" s="14">
        <v>0.01</v>
      </c>
      <c r="E33" s="14">
        <v>0.01</v>
      </c>
      <c r="F33" s="14">
        <v>0.01</v>
      </c>
      <c r="G33" s="14">
        <v>0.01</v>
      </c>
      <c r="H33" s="14">
        <v>0.02</v>
      </c>
      <c r="I33" s="14">
        <v>0.02</v>
      </c>
      <c r="J33" s="14">
        <v>0.02</v>
      </c>
      <c r="K33" s="14">
        <v>0.01</v>
      </c>
      <c r="L33" s="14">
        <v>0.03</v>
      </c>
      <c r="M33" s="14">
        <v>0.01</v>
      </c>
      <c r="N33" s="15" t="s">
        <v>333</v>
      </c>
      <c r="O33" s="14">
        <v>0.03</v>
      </c>
      <c r="P33" s="14">
        <v>0.02</v>
      </c>
      <c r="Q33" s="14">
        <v>0.03</v>
      </c>
      <c r="R33" s="14">
        <v>0.02</v>
      </c>
      <c r="S33" s="14">
        <v>0.01</v>
      </c>
      <c r="T33" s="14">
        <v>0.01</v>
      </c>
      <c r="U33" s="14">
        <v>0.04</v>
      </c>
      <c r="V33" s="14">
        <v>0.01</v>
      </c>
      <c r="W33" s="14">
        <v>7.0000000000000007E-2</v>
      </c>
      <c r="X33" s="14">
        <v>0.03</v>
      </c>
      <c r="Y33" s="14">
        <v>0.03</v>
      </c>
      <c r="Z33" s="14">
        <v>0.01</v>
      </c>
      <c r="AA33" s="14">
        <v>0.02</v>
      </c>
      <c r="AB33" s="15" t="s">
        <v>333</v>
      </c>
      <c r="AC33" s="14">
        <v>0.01</v>
      </c>
      <c r="AD33" s="14">
        <v>0.01</v>
      </c>
      <c r="AE33" s="14">
        <v>0.01</v>
      </c>
      <c r="AF33" s="14">
        <v>0.01</v>
      </c>
    </row>
    <row r="34" spans="1:32" ht="31.5" x14ac:dyDescent="0.35">
      <c r="A34" s="31"/>
      <c r="B34" s="11" t="s">
        <v>1162</v>
      </c>
      <c r="C34" s="12">
        <v>2077</v>
      </c>
      <c r="D34" s="12">
        <v>85</v>
      </c>
      <c r="E34" s="12">
        <v>57</v>
      </c>
      <c r="F34" s="12">
        <v>78</v>
      </c>
      <c r="G34" s="12">
        <v>125</v>
      </c>
      <c r="H34" s="12">
        <v>139</v>
      </c>
      <c r="I34" s="12">
        <v>164</v>
      </c>
      <c r="J34" s="12">
        <v>24</v>
      </c>
      <c r="K34" s="12">
        <v>68</v>
      </c>
      <c r="L34" s="12">
        <v>100</v>
      </c>
      <c r="M34" s="12">
        <v>27</v>
      </c>
      <c r="N34" s="12">
        <v>36</v>
      </c>
      <c r="O34" s="12">
        <v>109</v>
      </c>
      <c r="P34" s="12">
        <v>62</v>
      </c>
      <c r="Q34" s="12">
        <v>55</v>
      </c>
      <c r="R34" s="12">
        <v>53</v>
      </c>
      <c r="S34" s="12">
        <v>77</v>
      </c>
      <c r="T34" s="12">
        <v>46</v>
      </c>
      <c r="U34" s="12">
        <v>65</v>
      </c>
      <c r="V34" s="12">
        <v>42</v>
      </c>
      <c r="W34" s="12">
        <v>63</v>
      </c>
      <c r="X34" s="12">
        <v>148</v>
      </c>
      <c r="Y34" s="12">
        <v>117</v>
      </c>
      <c r="Z34" s="12">
        <v>43</v>
      </c>
      <c r="AA34" s="12">
        <v>73</v>
      </c>
      <c r="AB34" s="12">
        <v>19</v>
      </c>
      <c r="AC34" s="12">
        <v>73</v>
      </c>
      <c r="AD34" s="12">
        <v>88</v>
      </c>
      <c r="AE34" s="12">
        <v>137</v>
      </c>
      <c r="AF34" s="12">
        <v>140</v>
      </c>
    </row>
    <row r="35" spans="1:32" ht="51.5" x14ac:dyDescent="0.35">
      <c r="A35" s="31"/>
      <c r="B35" s="13" t="s">
        <v>1163</v>
      </c>
      <c r="C35" s="14">
        <v>0.08</v>
      </c>
      <c r="D35" s="14">
        <v>0.08</v>
      </c>
      <c r="E35" s="14">
        <v>0.05</v>
      </c>
      <c r="F35" s="14">
        <v>0.08</v>
      </c>
      <c r="G35" s="14">
        <v>0.12</v>
      </c>
      <c r="H35" s="14">
        <v>0.11</v>
      </c>
      <c r="I35" s="14">
        <v>0.11</v>
      </c>
      <c r="J35" s="14">
        <v>0.08</v>
      </c>
      <c r="K35" s="14">
        <v>7.0000000000000007E-2</v>
      </c>
      <c r="L35" s="14">
        <v>0.1</v>
      </c>
      <c r="M35" s="14">
        <v>0.03</v>
      </c>
      <c r="N35" s="14">
        <v>0.04</v>
      </c>
      <c r="O35" s="14">
        <v>0.11</v>
      </c>
      <c r="P35" s="14">
        <v>0.06</v>
      </c>
      <c r="Q35" s="14">
        <v>0.05</v>
      </c>
      <c r="R35" s="14">
        <v>0.11</v>
      </c>
      <c r="S35" s="14">
        <v>0.08</v>
      </c>
      <c r="T35" s="14">
        <v>0.04</v>
      </c>
      <c r="U35" s="14">
        <v>0.13</v>
      </c>
      <c r="V35" s="14">
        <v>0.04</v>
      </c>
      <c r="W35" s="14">
        <v>0.13</v>
      </c>
      <c r="X35" s="14">
        <v>0.15</v>
      </c>
      <c r="Y35" s="14">
        <v>0.12</v>
      </c>
      <c r="Z35" s="14">
        <v>0.04</v>
      </c>
      <c r="AA35" s="14">
        <v>7.0000000000000007E-2</v>
      </c>
      <c r="AB35" s="14">
        <v>0.02</v>
      </c>
      <c r="AC35" s="14">
        <v>7.0000000000000007E-2</v>
      </c>
      <c r="AD35" s="14">
        <v>0.09</v>
      </c>
      <c r="AE35" s="14">
        <v>0.14000000000000001</v>
      </c>
      <c r="AF35" s="14">
        <v>0.14000000000000001</v>
      </c>
    </row>
    <row r="36" spans="1:32" ht="21.5" x14ac:dyDescent="0.35">
      <c r="A36" s="31"/>
      <c r="B36" s="11" t="s">
        <v>1164</v>
      </c>
      <c r="C36" s="12">
        <v>2571</v>
      </c>
      <c r="D36" s="12">
        <v>128</v>
      </c>
      <c r="E36" s="12">
        <v>94</v>
      </c>
      <c r="F36" s="12">
        <v>187</v>
      </c>
      <c r="G36" s="12">
        <v>138</v>
      </c>
      <c r="H36" s="12">
        <v>112</v>
      </c>
      <c r="I36" s="12">
        <v>136</v>
      </c>
      <c r="J36" s="12">
        <v>24</v>
      </c>
      <c r="K36" s="12">
        <v>85</v>
      </c>
      <c r="L36" s="12">
        <v>116</v>
      </c>
      <c r="M36" s="12">
        <v>107</v>
      </c>
      <c r="N36" s="12">
        <v>87</v>
      </c>
      <c r="O36" s="12">
        <v>58</v>
      </c>
      <c r="P36" s="12">
        <v>114</v>
      </c>
      <c r="Q36" s="12">
        <v>125</v>
      </c>
      <c r="R36" s="12">
        <v>68</v>
      </c>
      <c r="S36" s="12">
        <v>65</v>
      </c>
      <c r="T36" s="12">
        <v>80</v>
      </c>
      <c r="U36" s="12">
        <v>78</v>
      </c>
      <c r="V36" s="12">
        <v>173</v>
      </c>
      <c r="W36" s="12">
        <v>66</v>
      </c>
      <c r="X36" s="12">
        <v>132</v>
      </c>
      <c r="Y36" s="12">
        <v>106</v>
      </c>
      <c r="Z36" s="12">
        <v>88</v>
      </c>
      <c r="AA36" s="12">
        <v>67</v>
      </c>
      <c r="AB36" s="12">
        <v>110</v>
      </c>
      <c r="AC36" s="12">
        <v>78</v>
      </c>
      <c r="AD36" s="12">
        <v>106</v>
      </c>
      <c r="AE36" s="12">
        <v>64</v>
      </c>
      <c r="AF36" s="12">
        <v>116</v>
      </c>
    </row>
    <row r="37" spans="1:32" ht="21.5" x14ac:dyDescent="0.35">
      <c r="A37" s="31"/>
      <c r="B37" s="13" t="s">
        <v>1165</v>
      </c>
      <c r="C37" s="14">
        <v>0.1</v>
      </c>
      <c r="D37" s="14">
        <v>0.12</v>
      </c>
      <c r="E37" s="14">
        <v>0.09</v>
      </c>
      <c r="F37" s="14">
        <v>0.18</v>
      </c>
      <c r="G37" s="14">
        <v>0.14000000000000001</v>
      </c>
      <c r="H37" s="14">
        <v>0.09</v>
      </c>
      <c r="I37" s="14">
        <v>0.09</v>
      </c>
      <c r="J37" s="14">
        <v>0.08</v>
      </c>
      <c r="K37" s="14">
        <v>0.08</v>
      </c>
      <c r="L37" s="14">
        <v>0.11</v>
      </c>
      <c r="M37" s="14">
        <v>0.11</v>
      </c>
      <c r="N37" s="14">
        <v>0.09</v>
      </c>
      <c r="O37" s="14">
        <v>0.06</v>
      </c>
      <c r="P37" s="14">
        <v>0.11</v>
      </c>
      <c r="Q37" s="14">
        <v>0.12</v>
      </c>
      <c r="R37" s="14">
        <v>0.13</v>
      </c>
      <c r="S37" s="14">
        <v>0.06</v>
      </c>
      <c r="T37" s="14">
        <v>0.08</v>
      </c>
      <c r="U37" s="14">
        <v>0.15</v>
      </c>
      <c r="V37" s="14">
        <v>0.17</v>
      </c>
      <c r="W37" s="14">
        <v>0.13</v>
      </c>
      <c r="X37" s="14">
        <v>0.13</v>
      </c>
      <c r="Y37" s="14">
        <v>0.11</v>
      </c>
      <c r="Z37" s="14">
        <v>0.09</v>
      </c>
      <c r="AA37" s="14">
        <v>0.06</v>
      </c>
      <c r="AB37" s="14">
        <v>0.1</v>
      </c>
      <c r="AC37" s="14">
        <v>0.08</v>
      </c>
      <c r="AD37" s="14">
        <v>0.1</v>
      </c>
      <c r="AE37" s="14">
        <v>0.06</v>
      </c>
      <c r="AF37" s="14">
        <v>0.11</v>
      </c>
    </row>
    <row r="38" spans="1:32" ht="41.5" x14ac:dyDescent="0.35">
      <c r="A38" s="31"/>
      <c r="B38" s="11" t="s">
        <v>1166</v>
      </c>
      <c r="C38" s="12">
        <v>1135</v>
      </c>
      <c r="D38" s="12">
        <v>30</v>
      </c>
      <c r="E38" s="12">
        <v>72</v>
      </c>
      <c r="F38" s="12">
        <v>36</v>
      </c>
      <c r="G38" s="12">
        <v>15</v>
      </c>
      <c r="H38" s="12">
        <v>34</v>
      </c>
      <c r="I38" s="12">
        <v>40</v>
      </c>
      <c r="J38" s="12">
        <v>6</v>
      </c>
      <c r="K38" s="12">
        <v>58</v>
      </c>
      <c r="L38" s="12">
        <v>23</v>
      </c>
      <c r="M38" s="12">
        <v>75</v>
      </c>
      <c r="N38" s="12">
        <v>38</v>
      </c>
      <c r="O38" s="12">
        <v>53</v>
      </c>
      <c r="P38" s="12">
        <v>50</v>
      </c>
      <c r="Q38" s="12">
        <v>39</v>
      </c>
      <c r="R38" s="12">
        <v>31</v>
      </c>
      <c r="S38" s="12">
        <v>33</v>
      </c>
      <c r="T38" s="12">
        <v>38</v>
      </c>
      <c r="U38" s="12">
        <v>12</v>
      </c>
      <c r="V38" s="12">
        <v>54</v>
      </c>
      <c r="W38" s="12">
        <v>21</v>
      </c>
      <c r="X38" s="12">
        <v>22</v>
      </c>
      <c r="Y38" s="12">
        <v>40</v>
      </c>
      <c r="Z38" s="12">
        <v>89</v>
      </c>
      <c r="AA38" s="12">
        <v>59</v>
      </c>
      <c r="AB38" s="12">
        <v>49</v>
      </c>
      <c r="AC38" s="12">
        <v>37</v>
      </c>
      <c r="AD38" s="12">
        <v>48</v>
      </c>
      <c r="AE38" s="12">
        <v>14</v>
      </c>
      <c r="AF38" s="12">
        <v>46</v>
      </c>
    </row>
    <row r="39" spans="1:32" ht="31.5" x14ac:dyDescent="0.35">
      <c r="A39" s="31"/>
      <c r="B39" s="13" t="s">
        <v>1167</v>
      </c>
      <c r="C39" s="14">
        <v>0.04</v>
      </c>
      <c r="D39" s="14">
        <v>0.03</v>
      </c>
      <c r="E39" s="14">
        <v>7.0000000000000007E-2</v>
      </c>
      <c r="F39" s="14">
        <v>0.04</v>
      </c>
      <c r="G39" s="14">
        <v>0.01</v>
      </c>
      <c r="H39" s="14">
        <v>0.03</v>
      </c>
      <c r="I39" s="14">
        <v>0.03</v>
      </c>
      <c r="J39" s="14">
        <v>0.02</v>
      </c>
      <c r="K39" s="14">
        <v>0.06</v>
      </c>
      <c r="L39" s="14">
        <v>0.02</v>
      </c>
      <c r="M39" s="14">
        <v>7.0000000000000007E-2</v>
      </c>
      <c r="N39" s="14">
        <v>0.04</v>
      </c>
      <c r="O39" s="14">
        <v>0.05</v>
      </c>
      <c r="P39" s="14">
        <v>0.05</v>
      </c>
      <c r="Q39" s="14">
        <v>0.04</v>
      </c>
      <c r="R39" s="14">
        <v>0.06</v>
      </c>
      <c r="S39" s="14">
        <v>0.03</v>
      </c>
      <c r="T39" s="14">
        <v>0.04</v>
      </c>
      <c r="U39" s="14">
        <v>0.02</v>
      </c>
      <c r="V39" s="14">
        <v>0.05</v>
      </c>
      <c r="W39" s="14">
        <v>0.04</v>
      </c>
      <c r="X39" s="14">
        <v>0.02</v>
      </c>
      <c r="Y39" s="14">
        <v>0.04</v>
      </c>
      <c r="Z39" s="14">
        <v>0.09</v>
      </c>
      <c r="AA39" s="14">
        <v>0.06</v>
      </c>
      <c r="AB39" s="14">
        <v>0.05</v>
      </c>
      <c r="AC39" s="14">
        <v>0.04</v>
      </c>
      <c r="AD39" s="14">
        <v>0.05</v>
      </c>
      <c r="AE39" s="14">
        <v>0.01</v>
      </c>
      <c r="AF39" s="14">
        <v>0.05</v>
      </c>
    </row>
    <row r="40" spans="1:32" ht="51.5" x14ac:dyDescent="0.35">
      <c r="A40" s="31"/>
      <c r="B40" s="11" t="s">
        <v>1168</v>
      </c>
      <c r="C40" s="12">
        <v>1795</v>
      </c>
      <c r="D40" s="12">
        <v>81</v>
      </c>
      <c r="E40" s="12">
        <v>82</v>
      </c>
      <c r="F40" s="12">
        <v>42</v>
      </c>
      <c r="G40" s="12">
        <v>77</v>
      </c>
      <c r="H40" s="12">
        <v>72</v>
      </c>
      <c r="I40" s="12">
        <v>97</v>
      </c>
      <c r="J40" s="12">
        <v>25</v>
      </c>
      <c r="K40" s="12">
        <v>71</v>
      </c>
      <c r="L40" s="12">
        <v>64</v>
      </c>
      <c r="M40" s="12">
        <v>74</v>
      </c>
      <c r="N40" s="12">
        <v>80</v>
      </c>
      <c r="O40" s="12">
        <v>84</v>
      </c>
      <c r="P40" s="12">
        <v>110</v>
      </c>
      <c r="Q40" s="12">
        <v>42</v>
      </c>
      <c r="R40" s="12">
        <v>34</v>
      </c>
      <c r="S40" s="12">
        <v>91</v>
      </c>
      <c r="T40" s="12">
        <v>87</v>
      </c>
      <c r="U40" s="12">
        <v>47</v>
      </c>
      <c r="V40" s="12">
        <v>42</v>
      </c>
      <c r="W40" s="12">
        <v>7</v>
      </c>
      <c r="X40" s="12">
        <v>69</v>
      </c>
      <c r="Y40" s="12">
        <v>65</v>
      </c>
      <c r="Z40" s="12">
        <v>58</v>
      </c>
      <c r="AA40" s="12">
        <v>79</v>
      </c>
      <c r="AB40" s="12">
        <v>82</v>
      </c>
      <c r="AC40" s="12">
        <v>58</v>
      </c>
      <c r="AD40" s="12">
        <v>110</v>
      </c>
      <c r="AE40" s="12">
        <v>91</v>
      </c>
      <c r="AF40" s="12">
        <v>94</v>
      </c>
    </row>
    <row r="41" spans="1:32" ht="41.5" x14ac:dyDescent="0.35">
      <c r="A41" s="31"/>
      <c r="B41" s="13" t="s">
        <v>1169</v>
      </c>
      <c r="C41" s="14">
        <v>7.0000000000000007E-2</v>
      </c>
      <c r="D41" s="14">
        <v>0.08</v>
      </c>
      <c r="E41" s="14">
        <v>0.08</v>
      </c>
      <c r="F41" s="14">
        <v>0.04</v>
      </c>
      <c r="G41" s="14">
        <v>0.08</v>
      </c>
      <c r="H41" s="14">
        <v>0.06</v>
      </c>
      <c r="I41" s="14">
        <v>0.06</v>
      </c>
      <c r="J41" s="14">
        <v>0.08</v>
      </c>
      <c r="K41" s="14">
        <v>7.0000000000000007E-2</v>
      </c>
      <c r="L41" s="14">
        <v>0.06</v>
      </c>
      <c r="M41" s="14">
        <v>7.0000000000000007E-2</v>
      </c>
      <c r="N41" s="14">
        <v>0.08</v>
      </c>
      <c r="O41" s="14">
        <v>0.08</v>
      </c>
      <c r="P41" s="14">
        <v>0.11</v>
      </c>
      <c r="Q41" s="14">
        <v>0.04</v>
      </c>
      <c r="R41" s="14">
        <v>7.0000000000000007E-2</v>
      </c>
      <c r="S41" s="14">
        <v>0.09</v>
      </c>
      <c r="T41" s="14">
        <v>0.09</v>
      </c>
      <c r="U41" s="14">
        <v>0.09</v>
      </c>
      <c r="V41" s="14">
        <v>0.04</v>
      </c>
      <c r="W41" s="14">
        <v>0.01</v>
      </c>
      <c r="X41" s="14">
        <v>7.0000000000000007E-2</v>
      </c>
      <c r="Y41" s="14">
        <v>0.06</v>
      </c>
      <c r="Z41" s="14">
        <v>0.06</v>
      </c>
      <c r="AA41" s="14">
        <v>0.08</v>
      </c>
      <c r="AB41" s="14">
        <v>0.08</v>
      </c>
      <c r="AC41" s="14">
        <v>0.06</v>
      </c>
      <c r="AD41" s="14">
        <v>0.11</v>
      </c>
      <c r="AE41" s="14">
        <v>0.09</v>
      </c>
      <c r="AF41" s="14">
        <v>0.09</v>
      </c>
    </row>
    <row r="42" spans="1:32" ht="21.5" x14ac:dyDescent="0.35">
      <c r="A42" s="31"/>
      <c r="B42" s="11" t="s">
        <v>1170</v>
      </c>
      <c r="C42" s="12">
        <v>423</v>
      </c>
      <c r="D42" s="12">
        <v>8</v>
      </c>
      <c r="E42" s="12">
        <v>35</v>
      </c>
      <c r="F42" s="12">
        <v>35</v>
      </c>
      <c r="G42" s="12">
        <v>11</v>
      </c>
      <c r="H42" s="12">
        <v>26</v>
      </c>
      <c r="I42" s="12">
        <v>36</v>
      </c>
      <c r="J42" s="12">
        <v>11</v>
      </c>
      <c r="K42" s="12">
        <v>17</v>
      </c>
      <c r="L42" s="12">
        <v>18</v>
      </c>
      <c r="M42" s="12">
        <v>2</v>
      </c>
      <c r="N42" s="12">
        <v>6</v>
      </c>
      <c r="O42" s="12">
        <v>22</v>
      </c>
      <c r="P42" s="12">
        <v>30</v>
      </c>
      <c r="Q42" s="12">
        <v>7</v>
      </c>
      <c r="R42" s="12">
        <v>7</v>
      </c>
      <c r="S42" s="12">
        <v>22</v>
      </c>
      <c r="T42" s="12">
        <v>30</v>
      </c>
      <c r="U42" s="12">
        <v>4</v>
      </c>
      <c r="V42" s="12">
        <v>24</v>
      </c>
      <c r="W42" s="12">
        <v>12</v>
      </c>
      <c r="X42" s="12">
        <v>8</v>
      </c>
      <c r="Y42" s="12">
        <v>23</v>
      </c>
      <c r="Z42" s="12">
        <v>8</v>
      </c>
      <c r="AA42" s="12">
        <v>11</v>
      </c>
      <c r="AB42" s="12">
        <v>32</v>
      </c>
      <c r="AC42" s="12">
        <v>10</v>
      </c>
      <c r="AD42" s="12">
        <v>25</v>
      </c>
      <c r="AE42" s="12">
        <v>9</v>
      </c>
      <c r="AF42" s="12">
        <v>16</v>
      </c>
    </row>
    <row r="43" spans="1:32" ht="21.5" x14ac:dyDescent="0.35">
      <c r="A43" s="31"/>
      <c r="B43" s="13" t="s">
        <v>1171</v>
      </c>
      <c r="C43" s="14">
        <v>0.01</v>
      </c>
      <c r="D43" s="14">
        <v>0.01</v>
      </c>
      <c r="E43" s="14">
        <v>0.03</v>
      </c>
      <c r="F43" s="14">
        <v>0.03</v>
      </c>
      <c r="G43" s="14">
        <v>0.01</v>
      </c>
      <c r="H43" s="14">
        <v>0.02</v>
      </c>
      <c r="I43" s="14">
        <v>0.02</v>
      </c>
      <c r="J43" s="14">
        <v>0.04</v>
      </c>
      <c r="K43" s="14">
        <v>0.02</v>
      </c>
      <c r="L43" s="14">
        <v>0.02</v>
      </c>
      <c r="M43" s="15" t="s">
        <v>333</v>
      </c>
      <c r="N43" s="14">
        <v>0.01</v>
      </c>
      <c r="O43" s="14">
        <v>0.02</v>
      </c>
      <c r="P43" s="14">
        <v>0.03</v>
      </c>
      <c r="Q43" s="14">
        <v>0.01</v>
      </c>
      <c r="R43" s="14">
        <v>0.01</v>
      </c>
      <c r="S43" s="14">
        <v>0.02</v>
      </c>
      <c r="T43" s="14">
        <v>0.03</v>
      </c>
      <c r="U43" s="14">
        <v>0.01</v>
      </c>
      <c r="V43" s="14">
        <v>0.03</v>
      </c>
      <c r="W43" s="14">
        <v>0.02</v>
      </c>
      <c r="X43" s="14">
        <v>0.01</v>
      </c>
      <c r="Y43" s="14">
        <v>0.02</v>
      </c>
      <c r="Z43" s="14">
        <v>0.01</v>
      </c>
      <c r="AA43" s="14">
        <v>0.01</v>
      </c>
      <c r="AB43" s="14">
        <v>0.03</v>
      </c>
      <c r="AC43" s="14">
        <v>0.01</v>
      </c>
      <c r="AD43" s="14">
        <v>0.02</v>
      </c>
      <c r="AE43" s="14">
        <v>0.01</v>
      </c>
      <c r="AF43" s="14">
        <v>0.02</v>
      </c>
    </row>
    <row r="44" spans="1:32" x14ac:dyDescent="0.35">
      <c r="A44" s="31"/>
      <c r="B44" s="11" t="s">
        <v>1172</v>
      </c>
      <c r="C44" s="12">
        <v>3064</v>
      </c>
      <c r="D44" s="12">
        <v>37</v>
      </c>
      <c r="E44" s="12">
        <v>133</v>
      </c>
      <c r="F44" s="12">
        <v>94</v>
      </c>
      <c r="G44" s="12">
        <v>80</v>
      </c>
      <c r="H44" s="12">
        <v>109</v>
      </c>
      <c r="I44" s="12">
        <v>156</v>
      </c>
      <c r="J44" s="12">
        <v>47</v>
      </c>
      <c r="K44" s="12">
        <v>90</v>
      </c>
      <c r="L44" s="12">
        <v>108</v>
      </c>
      <c r="M44" s="12">
        <v>78</v>
      </c>
      <c r="N44" s="12">
        <v>185</v>
      </c>
      <c r="O44" s="12">
        <v>85</v>
      </c>
      <c r="P44" s="12">
        <v>104</v>
      </c>
      <c r="Q44" s="12">
        <v>102</v>
      </c>
      <c r="R44" s="12">
        <v>29</v>
      </c>
      <c r="S44" s="12">
        <v>110</v>
      </c>
      <c r="T44" s="12">
        <v>109</v>
      </c>
      <c r="U44" s="12">
        <v>33</v>
      </c>
      <c r="V44" s="12">
        <v>222</v>
      </c>
      <c r="W44" s="12">
        <v>28</v>
      </c>
      <c r="X44" s="12">
        <v>22</v>
      </c>
      <c r="Y44" s="12">
        <v>124</v>
      </c>
      <c r="Z44" s="12">
        <v>214</v>
      </c>
      <c r="AA44" s="12">
        <v>119</v>
      </c>
      <c r="AB44" s="12">
        <v>203</v>
      </c>
      <c r="AC44" s="12">
        <v>109</v>
      </c>
      <c r="AD44" s="12">
        <v>77</v>
      </c>
      <c r="AE44" s="12">
        <v>68</v>
      </c>
      <c r="AF44" s="12">
        <v>38</v>
      </c>
    </row>
    <row r="45" spans="1:32" ht="21.5" x14ac:dyDescent="0.35">
      <c r="A45" s="31"/>
      <c r="B45" s="13" t="s">
        <v>1173</v>
      </c>
      <c r="C45" s="14">
        <v>0.12</v>
      </c>
      <c r="D45" s="14">
        <v>0.04</v>
      </c>
      <c r="E45" s="14">
        <v>0.13</v>
      </c>
      <c r="F45" s="14">
        <v>0.09</v>
      </c>
      <c r="G45" s="14">
        <v>0.08</v>
      </c>
      <c r="H45" s="14">
        <v>0.09</v>
      </c>
      <c r="I45" s="14">
        <v>0.1</v>
      </c>
      <c r="J45" s="14">
        <v>0.16</v>
      </c>
      <c r="K45" s="14">
        <v>0.09</v>
      </c>
      <c r="L45" s="14">
        <v>0.11</v>
      </c>
      <c r="M45" s="14">
        <v>0.08</v>
      </c>
      <c r="N45" s="14">
        <v>0.19</v>
      </c>
      <c r="O45" s="14">
        <v>0.09</v>
      </c>
      <c r="P45" s="14">
        <v>0.1</v>
      </c>
      <c r="Q45" s="14">
        <v>0.1</v>
      </c>
      <c r="R45" s="14">
        <v>0.06</v>
      </c>
      <c r="S45" s="14">
        <v>0.11</v>
      </c>
      <c r="T45" s="14">
        <v>0.11</v>
      </c>
      <c r="U45" s="14">
        <v>0.06</v>
      </c>
      <c r="V45" s="14">
        <v>0.22</v>
      </c>
      <c r="W45" s="14">
        <v>0.06</v>
      </c>
      <c r="X45" s="14">
        <v>0.02</v>
      </c>
      <c r="Y45" s="14">
        <v>0.12</v>
      </c>
      <c r="Z45" s="14">
        <v>0.21</v>
      </c>
      <c r="AA45" s="14">
        <v>0.12</v>
      </c>
      <c r="AB45" s="14">
        <v>0.19</v>
      </c>
      <c r="AC45" s="14">
        <v>0.11</v>
      </c>
      <c r="AD45" s="14">
        <v>0.08</v>
      </c>
      <c r="AE45" s="14">
        <v>7.0000000000000007E-2</v>
      </c>
      <c r="AF45" s="14">
        <v>0.04</v>
      </c>
    </row>
    <row r="46" spans="1:32" ht="21.5" x14ac:dyDescent="0.35">
      <c r="A46" s="31"/>
      <c r="B46" s="11" t="s">
        <v>1174</v>
      </c>
      <c r="C46" s="12">
        <v>713</v>
      </c>
      <c r="D46" s="12">
        <v>25</v>
      </c>
      <c r="E46" s="12">
        <v>46</v>
      </c>
      <c r="F46" s="12">
        <v>18</v>
      </c>
      <c r="G46" s="12">
        <v>38</v>
      </c>
      <c r="H46" s="12">
        <v>30</v>
      </c>
      <c r="I46" s="12">
        <v>43</v>
      </c>
      <c r="J46" s="12">
        <v>13</v>
      </c>
      <c r="K46" s="12">
        <v>24</v>
      </c>
      <c r="L46" s="12">
        <v>37</v>
      </c>
      <c r="M46" s="12">
        <v>33</v>
      </c>
      <c r="N46" s="12">
        <v>33</v>
      </c>
      <c r="O46" s="12">
        <v>8</v>
      </c>
      <c r="P46" s="12">
        <v>20</v>
      </c>
      <c r="Q46" s="12">
        <v>55</v>
      </c>
      <c r="R46" s="12">
        <v>13</v>
      </c>
      <c r="S46" s="12">
        <v>40</v>
      </c>
      <c r="T46" s="12">
        <v>22</v>
      </c>
      <c r="U46" s="12">
        <v>9</v>
      </c>
      <c r="V46" s="12">
        <v>33</v>
      </c>
      <c r="W46" s="12">
        <v>24</v>
      </c>
      <c r="X46" s="12">
        <v>6</v>
      </c>
      <c r="Y46" s="12">
        <v>35</v>
      </c>
      <c r="Z46" s="12">
        <v>9</v>
      </c>
      <c r="AA46" s="12">
        <v>57</v>
      </c>
      <c r="AB46" s="12">
        <v>30</v>
      </c>
      <c r="AC46" s="12">
        <v>40</v>
      </c>
      <c r="AD46" s="12">
        <v>19</v>
      </c>
      <c r="AE46" s="12">
        <v>6</v>
      </c>
      <c r="AF46" s="12">
        <v>17</v>
      </c>
    </row>
    <row r="47" spans="1:32" ht="21.5" x14ac:dyDescent="0.35">
      <c r="A47" s="31"/>
      <c r="B47" s="13" t="s">
        <v>1175</v>
      </c>
      <c r="C47" s="14">
        <v>0.03</v>
      </c>
      <c r="D47" s="14">
        <v>0.02</v>
      </c>
      <c r="E47" s="14">
        <v>0.04</v>
      </c>
      <c r="F47" s="14">
        <v>0.02</v>
      </c>
      <c r="G47" s="14">
        <v>0.04</v>
      </c>
      <c r="H47" s="14">
        <v>0.02</v>
      </c>
      <c r="I47" s="14">
        <v>0.03</v>
      </c>
      <c r="J47" s="14">
        <v>0.04</v>
      </c>
      <c r="K47" s="14">
        <v>0.02</v>
      </c>
      <c r="L47" s="14">
        <v>0.04</v>
      </c>
      <c r="M47" s="14">
        <v>0.03</v>
      </c>
      <c r="N47" s="14">
        <v>0.03</v>
      </c>
      <c r="O47" s="14">
        <v>0.01</v>
      </c>
      <c r="P47" s="14">
        <v>0.02</v>
      </c>
      <c r="Q47" s="14">
        <v>0.05</v>
      </c>
      <c r="R47" s="14">
        <v>0.03</v>
      </c>
      <c r="S47" s="14">
        <v>0.04</v>
      </c>
      <c r="T47" s="14">
        <v>0.02</v>
      </c>
      <c r="U47" s="14">
        <v>0.02</v>
      </c>
      <c r="V47" s="14">
        <v>0.03</v>
      </c>
      <c r="W47" s="14">
        <v>0.05</v>
      </c>
      <c r="X47" s="15" t="s">
        <v>333</v>
      </c>
      <c r="Y47" s="14">
        <v>0.03</v>
      </c>
      <c r="Z47" s="14">
        <v>0.01</v>
      </c>
      <c r="AA47" s="14">
        <v>0.05</v>
      </c>
      <c r="AB47" s="14">
        <v>0.03</v>
      </c>
      <c r="AC47" s="14">
        <v>0.04</v>
      </c>
      <c r="AD47" s="14">
        <v>0.02</v>
      </c>
      <c r="AE47" s="14">
        <v>0.01</v>
      </c>
      <c r="AF47" s="14">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223</v>
      </c>
      <c r="C3" s="30"/>
      <c r="D3" s="30"/>
      <c r="E3" s="30"/>
      <c r="F3" s="30"/>
      <c r="H3" s="30" t="s">
        <v>224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1176</v>
      </c>
      <c r="C12" s="12">
        <v>1873</v>
      </c>
      <c r="D12" s="12">
        <v>72</v>
      </c>
      <c r="E12" s="12">
        <v>77</v>
      </c>
      <c r="F12" s="12">
        <v>86</v>
      </c>
      <c r="G12" s="12">
        <v>57</v>
      </c>
      <c r="H12" s="12">
        <v>68</v>
      </c>
      <c r="I12" s="12">
        <v>82</v>
      </c>
      <c r="J12" s="12">
        <v>14</v>
      </c>
      <c r="K12" s="12">
        <v>108</v>
      </c>
      <c r="L12" s="12">
        <v>64</v>
      </c>
      <c r="M12" s="12">
        <v>149</v>
      </c>
      <c r="N12" s="12">
        <v>51</v>
      </c>
      <c r="O12" s="12">
        <v>60</v>
      </c>
      <c r="P12" s="12">
        <v>84</v>
      </c>
      <c r="Q12" s="12">
        <v>116</v>
      </c>
      <c r="R12" s="12">
        <v>39</v>
      </c>
      <c r="S12" s="12">
        <v>63</v>
      </c>
      <c r="T12" s="12">
        <v>87</v>
      </c>
      <c r="U12" s="12">
        <v>35</v>
      </c>
      <c r="V12" s="12">
        <v>67</v>
      </c>
      <c r="W12" s="12">
        <v>43</v>
      </c>
      <c r="X12" s="12">
        <v>78</v>
      </c>
      <c r="Y12" s="12">
        <v>57</v>
      </c>
      <c r="Z12" s="12">
        <v>78</v>
      </c>
      <c r="AA12" s="12">
        <v>88</v>
      </c>
      <c r="AB12" s="12">
        <v>30</v>
      </c>
      <c r="AC12" s="12">
        <v>103</v>
      </c>
      <c r="AD12" s="12">
        <v>121</v>
      </c>
      <c r="AE12" s="12">
        <v>79</v>
      </c>
      <c r="AF12" s="12">
        <v>56</v>
      </c>
    </row>
    <row r="13" spans="1:32" x14ac:dyDescent="0.35">
      <c r="A13" s="31"/>
      <c r="B13" s="13" t="s">
        <v>1177</v>
      </c>
      <c r="C13" s="14">
        <v>7.0000000000000007E-2</v>
      </c>
      <c r="D13" s="14">
        <v>7.0000000000000007E-2</v>
      </c>
      <c r="E13" s="14">
        <v>7.0000000000000007E-2</v>
      </c>
      <c r="F13" s="14">
        <v>0.08</v>
      </c>
      <c r="G13" s="14">
        <v>0.06</v>
      </c>
      <c r="H13" s="14">
        <v>0.06</v>
      </c>
      <c r="I13" s="14">
        <v>0.05</v>
      </c>
      <c r="J13" s="14">
        <v>0.05</v>
      </c>
      <c r="K13" s="14">
        <v>0.11</v>
      </c>
      <c r="L13" s="14">
        <v>0.06</v>
      </c>
      <c r="M13" s="14">
        <v>0.15</v>
      </c>
      <c r="N13" s="14">
        <v>0.05</v>
      </c>
      <c r="O13" s="14">
        <v>0.06</v>
      </c>
      <c r="P13" s="14">
        <v>0.08</v>
      </c>
      <c r="Q13" s="14">
        <v>0.11</v>
      </c>
      <c r="R13" s="14">
        <v>0.08</v>
      </c>
      <c r="S13" s="14">
        <v>0.06</v>
      </c>
      <c r="T13" s="14">
        <v>0.09</v>
      </c>
      <c r="U13" s="14">
        <v>7.0000000000000007E-2</v>
      </c>
      <c r="V13" s="14">
        <v>7.0000000000000007E-2</v>
      </c>
      <c r="W13" s="14">
        <v>0.08</v>
      </c>
      <c r="X13" s="14">
        <v>0.08</v>
      </c>
      <c r="Y13" s="14">
        <v>0.06</v>
      </c>
      <c r="Z13" s="14">
        <v>0.08</v>
      </c>
      <c r="AA13" s="14">
        <v>0.08</v>
      </c>
      <c r="AB13" s="14">
        <v>0.03</v>
      </c>
      <c r="AC13" s="14">
        <v>0.1</v>
      </c>
      <c r="AD13" s="14">
        <v>0.12</v>
      </c>
      <c r="AE13" s="14">
        <v>0.08</v>
      </c>
      <c r="AF13" s="14">
        <v>0.06</v>
      </c>
    </row>
    <row r="14" spans="1:32" x14ac:dyDescent="0.35">
      <c r="A14" s="31"/>
      <c r="B14" s="11" t="s">
        <v>1178</v>
      </c>
      <c r="C14" s="12">
        <v>12808</v>
      </c>
      <c r="D14" s="12">
        <v>415</v>
      </c>
      <c r="E14" s="12">
        <v>549</v>
      </c>
      <c r="F14" s="12">
        <v>526</v>
      </c>
      <c r="G14" s="12">
        <v>509</v>
      </c>
      <c r="H14" s="12">
        <v>573</v>
      </c>
      <c r="I14" s="12">
        <v>733</v>
      </c>
      <c r="J14" s="12">
        <v>160</v>
      </c>
      <c r="K14" s="12">
        <v>487</v>
      </c>
      <c r="L14" s="12">
        <v>557</v>
      </c>
      <c r="M14" s="12">
        <v>415</v>
      </c>
      <c r="N14" s="12">
        <v>491</v>
      </c>
      <c r="O14" s="12">
        <v>452</v>
      </c>
      <c r="P14" s="12">
        <v>525</v>
      </c>
      <c r="Q14" s="12">
        <v>469</v>
      </c>
      <c r="R14" s="12">
        <v>255</v>
      </c>
      <c r="S14" s="12">
        <v>525</v>
      </c>
      <c r="T14" s="12">
        <v>478</v>
      </c>
      <c r="U14" s="12">
        <v>280</v>
      </c>
      <c r="V14" s="12">
        <v>618</v>
      </c>
      <c r="W14" s="12">
        <v>275</v>
      </c>
      <c r="X14" s="12">
        <v>442</v>
      </c>
      <c r="Y14" s="12">
        <v>559</v>
      </c>
      <c r="Z14" s="12">
        <v>542</v>
      </c>
      <c r="AA14" s="12">
        <v>523</v>
      </c>
      <c r="AB14" s="12">
        <v>576</v>
      </c>
      <c r="AC14" s="12">
        <v>464</v>
      </c>
      <c r="AD14" s="12">
        <v>518</v>
      </c>
      <c r="AE14" s="12">
        <v>449</v>
      </c>
      <c r="AF14" s="12">
        <v>565</v>
      </c>
    </row>
    <row r="15" spans="1:32" x14ac:dyDescent="0.35">
      <c r="A15" s="31"/>
      <c r="B15" s="13" t="s">
        <v>1179</v>
      </c>
      <c r="C15" s="14">
        <v>0.49</v>
      </c>
      <c r="D15" s="14">
        <v>0.41</v>
      </c>
      <c r="E15" s="14">
        <v>0.53</v>
      </c>
      <c r="F15" s="14">
        <v>0.52</v>
      </c>
      <c r="G15" s="14">
        <v>0.5</v>
      </c>
      <c r="H15" s="14">
        <v>0.46</v>
      </c>
      <c r="I15" s="14">
        <v>0.48</v>
      </c>
      <c r="J15" s="14">
        <v>0.53</v>
      </c>
      <c r="K15" s="14">
        <v>0.48</v>
      </c>
      <c r="L15" s="14">
        <v>0.56000000000000005</v>
      </c>
      <c r="M15" s="14">
        <v>0.41</v>
      </c>
      <c r="N15" s="14">
        <v>0.49</v>
      </c>
      <c r="O15" s="14">
        <v>0.45</v>
      </c>
      <c r="P15" s="14">
        <v>0.52</v>
      </c>
      <c r="Q15" s="14">
        <v>0.45</v>
      </c>
      <c r="R15" s="14">
        <v>0.51</v>
      </c>
      <c r="S15" s="14">
        <v>0.51</v>
      </c>
      <c r="T15" s="14">
        <v>0.47</v>
      </c>
      <c r="U15" s="14">
        <v>0.55000000000000004</v>
      </c>
      <c r="V15" s="14">
        <v>0.61</v>
      </c>
      <c r="W15" s="14">
        <v>0.55000000000000004</v>
      </c>
      <c r="X15" s="14">
        <v>0.44</v>
      </c>
      <c r="Y15" s="14">
        <v>0.56000000000000005</v>
      </c>
      <c r="Z15" s="14">
        <v>0.53</v>
      </c>
      <c r="AA15" s="14">
        <v>0.51</v>
      </c>
      <c r="AB15" s="14">
        <v>0.54</v>
      </c>
      <c r="AC15" s="14">
        <v>0.46</v>
      </c>
      <c r="AD15" s="14">
        <v>0.52</v>
      </c>
      <c r="AE15" s="14">
        <v>0.44</v>
      </c>
      <c r="AF15" s="14">
        <v>0.55000000000000004</v>
      </c>
    </row>
    <row r="16" spans="1:32" x14ac:dyDescent="0.35">
      <c r="A16" s="31"/>
      <c r="B16" s="11" t="s">
        <v>1180</v>
      </c>
      <c r="C16" s="12">
        <v>11730</v>
      </c>
      <c r="D16" s="12">
        <v>537</v>
      </c>
      <c r="E16" s="12">
        <v>414</v>
      </c>
      <c r="F16" s="12">
        <v>406</v>
      </c>
      <c r="G16" s="12">
        <v>451</v>
      </c>
      <c r="H16" s="12">
        <v>591</v>
      </c>
      <c r="I16" s="12">
        <v>715</v>
      </c>
      <c r="J16" s="12">
        <v>124</v>
      </c>
      <c r="K16" s="12">
        <v>414</v>
      </c>
      <c r="L16" s="12">
        <v>383</v>
      </c>
      <c r="M16" s="12">
        <v>440</v>
      </c>
      <c r="N16" s="12">
        <v>458</v>
      </c>
      <c r="O16" s="12">
        <v>489</v>
      </c>
      <c r="P16" s="12">
        <v>395</v>
      </c>
      <c r="Q16" s="12">
        <v>449</v>
      </c>
      <c r="R16" s="12">
        <v>207</v>
      </c>
      <c r="S16" s="12">
        <v>433</v>
      </c>
      <c r="T16" s="12">
        <v>453</v>
      </c>
      <c r="U16" s="12">
        <v>195</v>
      </c>
      <c r="V16" s="12">
        <v>329</v>
      </c>
      <c r="W16" s="12">
        <v>183</v>
      </c>
      <c r="X16" s="12">
        <v>489</v>
      </c>
      <c r="Y16" s="12">
        <v>386</v>
      </c>
      <c r="Z16" s="12">
        <v>399</v>
      </c>
      <c r="AA16" s="12">
        <v>420</v>
      </c>
      <c r="AB16" s="12">
        <v>450</v>
      </c>
      <c r="AC16" s="12">
        <v>446</v>
      </c>
      <c r="AD16" s="12">
        <v>366</v>
      </c>
      <c r="AE16" s="12">
        <v>479</v>
      </c>
      <c r="AF16" s="12">
        <v>399</v>
      </c>
    </row>
    <row r="17" spans="1:32" x14ac:dyDescent="0.35">
      <c r="A17" s="31"/>
      <c r="B17" s="13" t="s">
        <v>1181</v>
      </c>
      <c r="C17" s="14">
        <v>0.44</v>
      </c>
      <c r="D17" s="14">
        <v>0.52</v>
      </c>
      <c r="E17" s="14">
        <v>0.4</v>
      </c>
      <c r="F17" s="14">
        <v>0.4</v>
      </c>
      <c r="G17" s="14">
        <v>0.44</v>
      </c>
      <c r="H17" s="14">
        <v>0.48</v>
      </c>
      <c r="I17" s="14">
        <v>0.47</v>
      </c>
      <c r="J17" s="14">
        <v>0.42</v>
      </c>
      <c r="K17" s="14">
        <v>0.41</v>
      </c>
      <c r="L17" s="14">
        <v>0.38</v>
      </c>
      <c r="M17" s="14">
        <v>0.44</v>
      </c>
      <c r="N17" s="14">
        <v>0.46</v>
      </c>
      <c r="O17" s="14">
        <v>0.49</v>
      </c>
      <c r="P17" s="14">
        <v>0.4</v>
      </c>
      <c r="Q17" s="14">
        <v>0.44</v>
      </c>
      <c r="R17" s="14">
        <v>0.41</v>
      </c>
      <c r="S17" s="14">
        <v>0.43</v>
      </c>
      <c r="T17" s="14">
        <v>0.44</v>
      </c>
      <c r="U17" s="14">
        <v>0.38</v>
      </c>
      <c r="V17" s="14">
        <v>0.32</v>
      </c>
      <c r="W17" s="14">
        <v>0.37</v>
      </c>
      <c r="X17" s="14">
        <v>0.48</v>
      </c>
      <c r="Y17" s="14">
        <v>0.38</v>
      </c>
      <c r="Z17" s="14">
        <v>0.39</v>
      </c>
      <c r="AA17" s="14">
        <v>0.41</v>
      </c>
      <c r="AB17" s="14">
        <v>0.43</v>
      </c>
      <c r="AC17" s="14">
        <v>0.44</v>
      </c>
      <c r="AD17" s="14">
        <v>0.36</v>
      </c>
      <c r="AE17" s="14">
        <v>0.48</v>
      </c>
      <c r="AF17" s="14">
        <v>0.39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225</v>
      </c>
      <c r="C3" s="30"/>
      <c r="D3" s="30"/>
      <c r="E3" s="30"/>
      <c r="F3" s="30"/>
      <c r="H3" s="30" t="s">
        <v>226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1176</v>
      </c>
      <c r="C12" s="12">
        <v>1873</v>
      </c>
      <c r="D12" s="12">
        <v>72</v>
      </c>
      <c r="E12" s="12">
        <v>77</v>
      </c>
      <c r="F12" s="12">
        <v>86</v>
      </c>
      <c r="G12" s="12">
        <v>57</v>
      </c>
      <c r="H12" s="12">
        <v>68</v>
      </c>
      <c r="I12" s="12">
        <v>82</v>
      </c>
      <c r="J12" s="12">
        <v>14</v>
      </c>
      <c r="K12" s="12">
        <v>108</v>
      </c>
      <c r="L12" s="12">
        <v>64</v>
      </c>
      <c r="M12" s="12">
        <v>149</v>
      </c>
      <c r="N12" s="12">
        <v>51</v>
      </c>
      <c r="O12" s="12">
        <v>60</v>
      </c>
      <c r="P12" s="12">
        <v>84</v>
      </c>
      <c r="Q12" s="12">
        <v>116</v>
      </c>
      <c r="R12" s="12">
        <v>39</v>
      </c>
      <c r="S12" s="12">
        <v>63</v>
      </c>
      <c r="T12" s="12">
        <v>87</v>
      </c>
      <c r="U12" s="12">
        <v>35</v>
      </c>
      <c r="V12" s="12">
        <v>67</v>
      </c>
      <c r="W12" s="12">
        <v>43</v>
      </c>
      <c r="X12" s="12">
        <v>78</v>
      </c>
      <c r="Y12" s="12">
        <v>57</v>
      </c>
      <c r="Z12" s="12">
        <v>78</v>
      </c>
      <c r="AA12" s="12">
        <v>88</v>
      </c>
      <c r="AB12" s="12">
        <v>30</v>
      </c>
      <c r="AC12" s="12">
        <v>103</v>
      </c>
      <c r="AD12" s="12">
        <v>121</v>
      </c>
      <c r="AE12" s="12">
        <v>79</v>
      </c>
      <c r="AF12" s="12">
        <v>56</v>
      </c>
    </row>
    <row r="13" spans="1:32" x14ac:dyDescent="0.35">
      <c r="A13" s="31"/>
      <c r="B13" s="13" t="s">
        <v>1177</v>
      </c>
      <c r="C13" s="14">
        <v>7.0000000000000007E-2</v>
      </c>
      <c r="D13" s="14">
        <v>7.0000000000000007E-2</v>
      </c>
      <c r="E13" s="14">
        <v>7.0000000000000007E-2</v>
      </c>
      <c r="F13" s="14">
        <v>0.09</v>
      </c>
      <c r="G13" s="14">
        <v>0.06</v>
      </c>
      <c r="H13" s="14">
        <v>0.06</v>
      </c>
      <c r="I13" s="14">
        <v>0.05</v>
      </c>
      <c r="J13" s="14">
        <v>0.05</v>
      </c>
      <c r="K13" s="14">
        <v>0.11</v>
      </c>
      <c r="L13" s="14">
        <v>0.06</v>
      </c>
      <c r="M13" s="14">
        <v>0.15</v>
      </c>
      <c r="N13" s="14">
        <v>0.05</v>
      </c>
      <c r="O13" s="14">
        <v>0.06</v>
      </c>
      <c r="P13" s="14">
        <v>0.08</v>
      </c>
      <c r="Q13" s="14">
        <v>0.11</v>
      </c>
      <c r="R13" s="14">
        <v>0.08</v>
      </c>
      <c r="S13" s="14">
        <v>0.06</v>
      </c>
      <c r="T13" s="14">
        <v>0.09</v>
      </c>
      <c r="U13" s="14">
        <v>7.0000000000000007E-2</v>
      </c>
      <c r="V13" s="14">
        <v>0.06</v>
      </c>
      <c r="W13" s="14">
        <v>0.09</v>
      </c>
      <c r="X13" s="14">
        <v>0.08</v>
      </c>
      <c r="Y13" s="14">
        <v>0.06</v>
      </c>
      <c r="Z13" s="14">
        <v>0.08</v>
      </c>
      <c r="AA13" s="14">
        <v>0.08</v>
      </c>
      <c r="AB13" s="14">
        <v>0.03</v>
      </c>
      <c r="AC13" s="14">
        <v>0.1</v>
      </c>
      <c r="AD13" s="14">
        <v>0.12</v>
      </c>
      <c r="AE13" s="14">
        <v>0.08</v>
      </c>
      <c r="AF13" s="14">
        <v>0.06</v>
      </c>
    </row>
    <row r="14" spans="1:32" x14ac:dyDescent="0.35">
      <c r="A14" s="31"/>
      <c r="B14" s="11" t="s">
        <v>1182</v>
      </c>
      <c r="C14" s="12">
        <v>3107</v>
      </c>
      <c r="D14" s="12">
        <v>106</v>
      </c>
      <c r="E14" s="12">
        <v>88</v>
      </c>
      <c r="F14" s="12">
        <v>113</v>
      </c>
      <c r="G14" s="12">
        <v>150</v>
      </c>
      <c r="H14" s="12">
        <v>191</v>
      </c>
      <c r="I14" s="12">
        <v>225</v>
      </c>
      <c r="J14" s="12">
        <v>34</v>
      </c>
      <c r="K14" s="12">
        <v>141</v>
      </c>
      <c r="L14" s="12">
        <v>191</v>
      </c>
      <c r="M14" s="12">
        <v>47</v>
      </c>
      <c r="N14" s="12">
        <v>63</v>
      </c>
      <c r="O14" s="12">
        <v>142</v>
      </c>
      <c r="P14" s="12">
        <v>98</v>
      </c>
      <c r="Q14" s="12">
        <v>100</v>
      </c>
      <c r="R14" s="12">
        <v>74</v>
      </c>
      <c r="S14" s="12">
        <v>165</v>
      </c>
      <c r="T14" s="12">
        <v>112</v>
      </c>
      <c r="U14" s="12">
        <v>97</v>
      </c>
      <c r="V14" s="12">
        <v>70</v>
      </c>
      <c r="W14" s="12">
        <v>116</v>
      </c>
      <c r="X14" s="12">
        <v>184</v>
      </c>
      <c r="Y14" s="12">
        <v>166</v>
      </c>
      <c r="Z14" s="12">
        <v>77</v>
      </c>
      <c r="AA14" s="12">
        <v>131</v>
      </c>
      <c r="AB14" s="12">
        <v>69</v>
      </c>
      <c r="AC14" s="12">
        <v>131</v>
      </c>
      <c r="AD14" s="12">
        <v>133</v>
      </c>
      <c r="AE14" s="12">
        <v>197</v>
      </c>
      <c r="AF14" s="12">
        <v>238</v>
      </c>
    </row>
    <row r="15" spans="1:32" x14ac:dyDescent="0.35">
      <c r="A15" s="31"/>
      <c r="B15" s="13" t="s">
        <v>1183</v>
      </c>
      <c r="C15" s="14">
        <v>0.12</v>
      </c>
      <c r="D15" s="14">
        <v>0.1</v>
      </c>
      <c r="E15" s="14">
        <v>0.09</v>
      </c>
      <c r="F15" s="14">
        <v>0.11</v>
      </c>
      <c r="G15" s="14">
        <v>0.15</v>
      </c>
      <c r="H15" s="14">
        <v>0.15</v>
      </c>
      <c r="I15" s="14">
        <v>0.15</v>
      </c>
      <c r="J15" s="14">
        <v>0.11</v>
      </c>
      <c r="K15" s="14">
        <v>0.14000000000000001</v>
      </c>
      <c r="L15" s="14">
        <v>0.19</v>
      </c>
      <c r="M15" s="14">
        <v>0.05</v>
      </c>
      <c r="N15" s="14">
        <v>0.06</v>
      </c>
      <c r="O15" s="14">
        <v>0.14000000000000001</v>
      </c>
      <c r="P15" s="14">
        <v>0.1</v>
      </c>
      <c r="Q15" s="14">
        <v>0.1</v>
      </c>
      <c r="R15" s="14">
        <v>0.15</v>
      </c>
      <c r="S15" s="14">
        <v>0.16</v>
      </c>
      <c r="T15" s="14">
        <v>0.11</v>
      </c>
      <c r="U15" s="14">
        <v>0.19</v>
      </c>
      <c r="V15" s="14">
        <v>7.0000000000000007E-2</v>
      </c>
      <c r="W15" s="14">
        <v>0.23</v>
      </c>
      <c r="X15" s="14">
        <v>0.18</v>
      </c>
      <c r="Y15" s="14">
        <v>0.16</v>
      </c>
      <c r="Z15" s="14">
        <v>0.08</v>
      </c>
      <c r="AA15" s="14">
        <v>0.13</v>
      </c>
      <c r="AB15" s="14">
        <v>7.0000000000000007E-2</v>
      </c>
      <c r="AC15" s="14">
        <v>0.13</v>
      </c>
      <c r="AD15" s="14">
        <v>0.13</v>
      </c>
      <c r="AE15" s="14">
        <v>0.2</v>
      </c>
      <c r="AF15" s="14">
        <v>0.23</v>
      </c>
    </row>
    <row r="16" spans="1:32" x14ac:dyDescent="0.35">
      <c r="A16" s="31"/>
      <c r="B16" s="11" t="s">
        <v>1184</v>
      </c>
      <c r="C16" s="12">
        <v>3706</v>
      </c>
      <c r="D16" s="12">
        <v>158</v>
      </c>
      <c r="E16" s="12">
        <v>166</v>
      </c>
      <c r="F16" s="12">
        <v>223</v>
      </c>
      <c r="G16" s="12">
        <v>152</v>
      </c>
      <c r="H16" s="12">
        <v>145</v>
      </c>
      <c r="I16" s="12">
        <v>176</v>
      </c>
      <c r="J16" s="12">
        <v>30</v>
      </c>
      <c r="K16" s="12">
        <v>143</v>
      </c>
      <c r="L16" s="12">
        <v>140</v>
      </c>
      <c r="M16" s="12">
        <v>181</v>
      </c>
      <c r="N16" s="12">
        <v>125</v>
      </c>
      <c r="O16" s="12">
        <v>111</v>
      </c>
      <c r="P16" s="12">
        <v>164</v>
      </c>
      <c r="Q16" s="12">
        <v>164</v>
      </c>
      <c r="R16" s="12">
        <v>98</v>
      </c>
      <c r="S16" s="12">
        <v>98</v>
      </c>
      <c r="T16" s="12">
        <v>118</v>
      </c>
      <c r="U16" s="12">
        <v>90</v>
      </c>
      <c r="V16" s="12">
        <v>227</v>
      </c>
      <c r="W16" s="12">
        <v>87</v>
      </c>
      <c r="X16" s="12">
        <v>155</v>
      </c>
      <c r="Y16" s="12">
        <v>146</v>
      </c>
      <c r="Z16" s="12">
        <v>177</v>
      </c>
      <c r="AA16" s="12">
        <v>126</v>
      </c>
      <c r="AB16" s="12">
        <v>159</v>
      </c>
      <c r="AC16" s="12">
        <v>115</v>
      </c>
      <c r="AD16" s="12">
        <v>154</v>
      </c>
      <c r="AE16" s="12">
        <v>78</v>
      </c>
      <c r="AF16" s="12">
        <v>162</v>
      </c>
    </row>
    <row r="17" spans="1:32" x14ac:dyDescent="0.35">
      <c r="A17" s="31"/>
      <c r="B17" s="13" t="s">
        <v>1185</v>
      </c>
      <c r="C17" s="14">
        <v>0.14000000000000001</v>
      </c>
      <c r="D17" s="14">
        <v>0.15</v>
      </c>
      <c r="E17" s="14">
        <v>0.16</v>
      </c>
      <c r="F17" s="14">
        <v>0.22</v>
      </c>
      <c r="G17" s="14">
        <v>0.15</v>
      </c>
      <c r="H17" s="14">
        <v>0.12</v>
      </c>
      <c r="I17" s="14">
        <v>0.11</v>
      </c>
      <c r="J17" s="14">
        <v>0.1</v>
      </c>
      <c r="K17" s="14">
        <v>0.14000000000000001</v>
      </c>
      <c r="L17" s="14">
        <v>0.14000000000000001</v>
      </c>
      <c r="M17" s="14">
        <v>0.18</v>
      </c>
      <c r="N17" s="14">
        <v>0.13</v>
      </c>
      <c r="O17" s="14">
        <v>0.11</v>
      </c>
      <c r="P17" s="14">
        <v>0.16</v>
      </c>
      <c r="Q17" s="14">
        <v>0.16</v>
      </c>
      <c r="R17" s="14">
        <v>0.2</v>
      </c>
      <c r="S17" s="14">
        <v>0.1</v>
      </c>
      <c r="T17" s="14">
        <v>0.12</v>
      </c>
      <c r="U17" s="14">
        <v>0.18</v>
      </c>
      <c r="V17" s="14">
        <v>0.22</v>
      </c>
      <c r="W17" s="14">
        <v>0.18</v>
      </c>
      <c r="X17" s="14">
        <v>0.15</v>
      </c>
      <c r="Y17" s="14">
        <v>0.14000000000000001</v>
      </c>
      <c r="Z17" s="14">
        <v>0.17</v>
      </c>
      <c r="AA17" s="14">
        <v>0.12</v>
      </c>
      <c r="AB17" s="14">
        <v>0.15</v>
      </c>
      <c r="AC17" s="14">
        <v>0.11</v>
      </c>
      <c r="AD17" s="14">
        <v>0.15</v>
      </c>
      <c r="AE17" s="14">
        <v>0.08</v>
      </c>
      <c r="AF17" s="14">
        <v>0.16</v>
      </c>
    </row>
    <row r="18" spans="1:32" x14ac:dyDescent="0.35">
      <c r="A18" s="31"/>
      <c r="B18" s="11" t="s">
        <v>1186</v>
      </c>
      <c r="C18" s="12">
        <v>5994</v>
      </c>
      <c r="D18" s="12">
        <v>151</v>
      </c>
      <c r="E18" s="12">
        <v>295</v>
      </c>
      <c r="F18" s="12">
        <v>189</v>
      </c>
      <c r="G18" s="12">
        <v>207</v>
      </c>
      <c r="H18" s="12">
        <v>237</v>
      </c>
      <c r="I18" s="12">
        <v>332</v>
      </c>
      <c r="J18" s="12">
        <v>95</v>
      </c>
      <c r="K18" s="12">
        <v>202</v>
      </c>
      <c r="L18" s="12">
        <v>226</v>
      </c>
      <c r="M18" s="12">
        <v>186</v>
      </c>
      <c r="N18" s="12">
        <v>303</v>
      </c>
      <c r="O18" s="12">
        <v>199</v>
      </c>
      <c r="P18" s="12">
        <v>264</v>
      </c>
      <c r="Q18" s="12">
        <v>205</v>
      </c>
      <c r="R18" s="12">
        <v>83</v>
      </c>
      <c r="S18" s="12">
        <v>262</v>
      </c>
      <c r="T18" s="12">
        <v>248</v>
      </c>
      <c r="U18" s="12">
        <v>93</v>
      </c>
      <c r="V18" s="12">
        <v>321</v>
      </c>
      <c r="W18" s="12">
        <v>71</v>
      </c>
      <c r="X18" s="12">
        <v>104</v>
      </c>
      <c r="Y18" s="12">
        <v>247</v>
      </c>
      <c r="Z18" s="12">
        <v>289</v>
      </c>
      <c r="AA18" s="12">
        <v>265</v>
      </c>
      <c r="AB18" s="12">
        <v>347</v>
      </c>
      <c r="AC18" s="12">
        <v>218</v>
      </c>
      <c r="AD18" s="12">
        <v>231</v>
      </c>
      <c r="AE18" s="12">
        <v>175</v>
      </c>
      <c r="AF18" s="12">
        <v>165</v>
      </c>
    </row>
    <row r="19" spans="1:32" x14ac:dyDescent="0.35">
      <c r="A19" s="31"/>
      <c r="B19" s="13" t="s">
        <v>1187</v>
      </c>
      <c r="C19" s="14">
        <v>0.23</v>
      </c>
      <c r="D19" s="14">
        <v>0.15</v>
      </c>
      <c r="E19" s="14">
        <v>0.28000000000000003</v>
      </c>
      <c r="F19" s="14">
        <v>0.19</v>
      </c>
      <c r="G19" s="14">
        <v>0.2</v>
      </c>
      <c r="H19" s="14">
        <v>0.19</v>
      </c>
      <c r="I19" s="14">
        <v>0.22</v>
      </c>
      <c r="J19" s="14">
        <v>0.32</v>
      </c>
      <c r="K19" s="14">
        <v>0.2</v>
      </c>
      <c r="L19" s="14">
        <v>0.22</v>
      </c>
      <c r="M19" s="14">
        <v>0.19</v>
      </c>
      <c r="N19" s="14">
        <v>0.3</v>
      </c>
      <c r="O19" s="14">
        <v>0.2</v>
      </c>
      <c r="P19" s="14">
        <v>0.26</v>
      </c>
      <c r="Q19" s="14">
        <v>0.2</v>
      </c>
      <c r="R19" s="14">
        <v>0.16</v>
      </c>
      <c r="S19" s="14">
        <v>0.26</v>
      </c>
      <c r="T19" s="14">
        <v>0.24</v>
      </c>
      <c r="U19" s="14">
        <v>0.18</v>
      </c>
      <c r="V19" s="14">
        <v>0.32</v>
      </c>
      <c r="W19" s="14">
        <v>0.14000000000000001</v>
      </c>
      <c r="X19" s="14">
        <v>0.1</v>
      </c>
      <c r="Y19" s="14">
        <v>0.25</v>
      </c>
      <c r="Z19" s="14">
        <v>0.28000000000000003</v>
      </c>
      <c r="AA19" s="14">
        <v>0.26</v>
      </c>
      <c r="AB19" s="14">
        <v>0.33</v>
      </c>
      <c r="AC19" s="14">
        <v>0.22</v>
      </c>
      <c r="AD19" s="14">
        <v>0.23</v>
      </c>
      <c r="AE19" s="14">
        <v>0.17</v>
      </c>
      <c r="AF19" s="14">
        <v>0.16</v>
      </c>
    </row>
    <row r="20" spans="1:32" x14ac:dyDescent="0.35">
      <c r="A20" s="31"/>
      <c r="B20" s="11" t="s">
        <v>1188</v>
      </c>
      <c r="C20" s="12">
        <v>1093</v>
      </c>
      <c r="D20" s="12">
        <v>17</v>
      </c>
      <c r="E20" s="12">
        <v>30</v>
      </c>
      <c r="F20" s="12">
        <v>21</v>
      </c>
      <c r="G20" s="12">
        <v>2</v>
      </c>
      <c r="H20" s="12">
        <v>48</v>
      </c>
      <c r="I20" s="12">
        <v>51</v>
      </c>
      <c r="J20" s="12">
        <v>2</v>
      </c>
      <c r="K20" s="12">
        <v>28</v>
      </c>
      <c r="L20" s="12">
        <v>67</v>
      </c>
      <c r="M20" s="12">
        <v>80</v>
      </c>
      <c r="N20" s="12">
        <v>67</v>
      </c>
      <c r="O20" s="12">
        <v>27</v>
      </c>
      <c r="P20" s="12">
        <v>18</v>
      </c>
      <c r="Q20" s="12">
        <v>74</v>
      </c>
      <c r="R20" s="12">
        <v>28</v>
      </c>
      <c r="S20" s="12">
        <v>36</v>
      </c>
      <c r="T20" s="12">
        <v>25</v>
      </c>
      <c r="U20" s="12">
        <v>15</v>
      </c>
      <c r="V20" s="12">
        <v>8</v>
      </c>
      <c r="W20" s="12">
        <v>75</v>
      </c>
      <c r="X20" s="12">
        <v>29</v>
      </c>
      <c r="Y20" s="12">
        <v>26</v>
      </c>
      <c r="Z20" s="12">
        <v>36</v>
      </c>
      <c r="AA20" s="12">
        <v>20</v>
      </c>
      <c r="AB20" s="12">
        <v>95</v>
      </c>
      <c r="AC20" s="12">
        <v>9</v>
      </c>
      <c r="AD20" s="12">
        <v>15</v>
      </c>
      <c r="AE20" s="12">
        <v>3</v>
      </c>
      <c r="AF20" s="12">
        <v>2</v>
      </c>
    </row>
    <row r="21" spans="1:32" x14ac:dyDescent="0.35">
      <c r="A21" s="31"/>
      <c r="B21" s="13" t="s">
        <v>1189</v>
      </c>
      <c r="C21" s="14">
        <v>0.04</v>
      </c>
      <c r="D21" s="14">
        <v>0.02</v>
      </c>
      <c r="E21" s="14">
        <v>0.03</v>
      </c>
      <c r="F21" s="14">
        <v>0.02</v>
      </c>
      <c r="G21" s="15" t="s">
        <v>333</v>
      </c>
      <c r="H21" s="14">
        <v>0.04</v>
      </c>
      <c r="I21" s="14">
        <v>0.03</v>
      </c>
      <c r="J21" s="14">
        <v>0.01</v>
      </c>
      <c r="K21" s="14">
        <v>0.03</v>
      </c>
      <c r="L21" s="14">
        <v>7.0000000000000007E-2</v>
      </c>
      <c r="M21" s="14">
        <v>0.08</v>
      </c>
      <c r="N21" s="14">
        <v>7.0000000000000007E-2</v>
      </c>
      <c r="O21" s="14">
        <v>0.03</v>
      </c>
      <c r="P21" s="14">
        <v>0.02</v>
      </c>
      <c r="Q21" s="14">
        <v>7.0000000000000007E-2</v>
      </c>
      <c r="R21" s="14">
        <v>0.05</v>
      </c>
      <c r="S21" s="14">
        <v>0.03</v>
      </c>
      <c r="T21" s="14">
        <v>0.02</v>
      </c>
      <c r="U21" s="14">
        <v>0.03</v>
      </c>
      <c r="V21" s="14">
        <v>0.01</v>
      </c>
      <c r="W21" s="14">
        <v>0.15</v>
      </c>
      <c r="X21" s="14">
        <v>0.03</v>
      </c>
      <c r="Y21" s="14">
        <v>0.02</v>
      </c>
      <c r="Z21" s="14">
        <v>0.04</v>
      </c>
      <c r="AA21" s="14">
        <v>0.02</v>
      </c>
      <c r="AB21" s="14">
        <v>0.09</v>
      </c>
      <c r="AC21" s="14">
        <v>0.01</v>
      </c>
      <c r="AD21" s="14">
        <v>0.02</v>
      </c>
      <c r="AE21" s="15" t="s">
        <v>333</v>
      </c>
      <c r="AF21" s="15" t="s">
        <v>333</v>
      </c>
    </row>
    <row r="22" spans="1:32" x14ac:dyDescent="0.35">
      <c r="A22" s="31"/>
      <c r="B22" s="11" t="s">
        <v>1190</v>
      </c>
      <c r="C22" s="12">
        <v>1137</v>
      </c>
      <c r="D22" s="12">
        <v>77</v>
      </c>
      <c r="E22" s="12">
        <v>52</v>
      </c>
      <c r="F22" s="12">
        <v>33</v>
      </c>
      <c r="G22" s="12">
        <v>58</v>
      </c>
      <c r="H22" s="12">
        <v>44</v>
      </c>
      <c r="I22" s="12">
        <v>54</v>
      </c>
      <c r="J22" s="12">
        <v>11</v>
      </c>
      <c r="K22" s="12">
        <v>46</v>
      </c>
      <c r="L22" s="12">
        <v>32</v>
      </c>
      <c r="M22" s="12">
        <v>44</v>
      </c>
      <c r="N22" s="12">
        <v>79</v>
      </c>
      <c r="O22" s="12">
        <v>73</v>
      </c>
      <c r="P22" s="12">
        <v>35</v>
      </c>
      <c r="Q22" s="12">
        <v>25</v>
      </c>
      <c r="R22" s="12">
        <v>24</v>
      </c>
      <c r="S22" s="12">
        <v>52</v>
      </c>
      <c r="T22" s="12">
        <v>80</v>
      </c>
      <c r="U22" s="12">
        <v>14</v>
      </c>
      <c r="V22" s="12">
        <v>18</v>
      </c>
      <c r="W22" s="12">
        <v>11</v>
      </c>
      <c r="X22" s="12">
        <v>26</v>
      </c>
      <c r="Y22" s="12">
        <v>27</v>
      </c>
      <c r="Z22" s="12">
        <v>13</v>
      </c>
      <c r="AA22" s="12">
        <v>39</v>
      </c>
      <c r="AB22" s="12">
        <v>12</v>
      </c>
      <c r="AC22" s="12">
        <v>32</v>
      </c>
      <c r="AD22" s="12">
        <v>43</v>
      </c>
      <c r="AE22" s="12">
        <v>64</v>
      </c>
      <c r="AF22" s="12">
        <v>40</v>
      </c>
    </row>
    <row r="23" spans="1:32" x14ac:dyDescent="0.35">
      <c r="A23" s="31"/>
      <c r="B23" s="13" t="s">
        <v>1191</v>
      </c>
      <c r="C23" s="14">
        <v>0.04</v>
      </c>
      <c r="D23" s="14">
        <v>0.08</v>
      </c>
      <c r="E23" s="14">
        <v>0.05</v>
      </c>
      <c r="F23" s="14">
        <v>0.03</v>
      </c>
      <c r="G23" s="14">
        <v>0.06</v>
      </c>
      <c r="H23" s="14">
        <v>0.04</v>
      </c>
      <c r="I23" s="14">
        <v>0.04</v>
      </c>
      <c r="J23" s="14">
        <v>0.04</v>
      </c>
      <c r="K23" s="14">
        <v>0.05</v>
      </c>
      <c r="L23" s="14">
        <v>0.03</v>
      </c>
      <c r="M23" s="14">
        <v>0.04</v>
      </c>
      <c r="N23" s="14">
        <v>0.08</v>
      </c>
      <c r="O23" s="14">
        <v>7.0000000000000007E-2</v>
      </c>
      <c r="P23" s="14">
        <v>0.04</v>
      </c>
      <c r="Q23" s="14">
        <v>0.02</v>
      </c>
      <c r="R23" s="14">
        <v>0.05</v>
      </c>
      <c r="S23" s="14">
        <v>0.05</v>
      </c>
      <c r="T23" s="14">
        <v>0.08</v>
      </c>
      <c r="U23" s="14">
        <v>0.03</v>
      </c>
      <c r="V23" s="14">
        <v>0.02</v>
      </c>
      <c r="W23" s="14">
        <v>0.02</v>
      </c>
      <c r="X23" s="14">
        <v>0.03</v>
      </c>
      <c r="Y23" s="14">
        <v>0.03</v>
      </c>
      <c r="Z23" s="14">
        <v>0.01</v>
      </c>
      <c r="AA23" s="14">
        <v>0.04</v>
      </c>
      <c r="AB23" s="14">
        <v>0.01</v>
      </c>
      <c r="AC23" s="14">
        <v>0.03</v>
      </c>
      <c r="AD23" s="14">
        <v>0.04</v>
      </c>
      <c r="AE23" s="14">
        <v>0.06</v>
      </c>
      <c r="AF23" s="14">
        <v>0.04</v>
      </c>
    </row>
    <row r="24" spans="1:32" x14ac:dyDescent="0.35">
      <c r="A24" s="31"/>
      <c r="B24" s="11" t="s">
        <v>1192</v>
      </c>
      <c r="C24" s="12">
        <v>6907</v>
      </c>
      <c r="D24" s="12">
        <v>311</v>
      </c>
      <c r="E24" s="12">
        <v>274</v>
      </c>
      <c r="F24" s="12">
        <v>257</v>
      </c>
      <c r="G24" s="12">
        <v>264</v>
      </c>
      <c r="H24" s="12">
        <v>336</v>
      </c>
      <c r="I24" s="12">
        <v>424</v>
      </c>
      <c r="J24" s="12">
        <v>89</v>
      </c>
      <c r="K24" s="12">
        <v>243</v>
      </c>
      <c r="L24" s="12">
        <v>177</v>
      </c>
      <c r="M24" s="12">
        <v>246</v>
      </c>
      <c r="N24" s="12">
        <v>221</v>
      </c>
      <c r="O24" s="12">
        <v>290</v>
      </c>
      <c r="P24" s="12">
        <v>275</v>
      </c>
      <c r="Q24" s="12">
        <v>243</v>
      </c>
      <c r="R24" s="12">
        <v>113</v>
      </c>
      <c r="S24" s="12">
        <v>267</v>
      </c>
      <c r="T24" s="12">
        <v>267</v>
      </c>
      <c r="U24" s="12">
        <v>115</v>
      </c>
      <c r="V24" s="12">
        <v>250</v>
      </c>
      <c r="W24" s="12">
        <v>62</v>
      </c>
      <c r="X24" s="12">
        <v>279</v>
      </c>
      <c r="Y24" s="12">
        <v>258</v>
      </c>
      <c r="Z24" s="12">
        <v>276</v>
      </c>
      <c r="AA24" s="12">
        <v>271</v>
      </c>
      <c r="AB24" s="12">
        <v>278</v>
      </c>
      <c r="AC24" s="12">
        <v>307</v>
      </c>
      <c r="AD24" s="12">
        <v>230</v>
      </c>
      <c r="AE24" s="12">
        <v>303</v>
      </c>
      <c r="AF24" s="12">
        <v>281</v>
      </c>
    </row>
    <row r="25" spans="1:32" x14ac:dyDescent="0.35">
      <c r="A25" s="31"/>
      <c r="B25" s="13" t="s">
        <v>1193</v>
      </c>
      <c r="C25" s="14">
        <v>0.26</v>
      </c>
      <c r="D25" s="14">
        <v>0.3</v>
      </c>
      <c r="E25" s="14">
        <v>0.26</v>
      </c>
      <c r="F25" s="14">
        <v>0.25</v>
      </c>
      <c r="G25" s="14">
        <v>0.26</v>
      </c>
      <c r="H25" s="14">
        <v>0.27</v>
      </c>
      <c r="I25" s="14">
        <v>0.28000000000000003</v>
      </c>
      <c r="J25" s="14">
        <v>0.3</v>
      </c>
      <c r="K25" s="14">
        <v>0.24</v>
      </c>
      <c r="L25" s="14">
        <v>0.18</v>
      </c>
      <c r="M25" s="14">
        <v>0.24</v>
      </c>
      <c r="N25" s="14">
        <v>0.22</v>
      </c>
      <c r="O25" s="14">
        <v>0.28999999999999998</v>
      </c>
      <c r="P25" s="14">
        <v>0.27</v>
      </c>
      <c r="Q25" s="14">
        <v>0.24</v>
      </c>
      <c r="R25" s="14">
        <v>0.23</v>
      </c>
      <c r="S25" s="14">
        <v>0.26</v>
      </c>
      <c r="T25" s="14">
        <v>0.26</v>
      </c>
      <c r="U25" s="14">
        <v>0.22</v>
      </c>
      <c r="V25" s="14">
        <v>0.25</v>
      </c>
      <c r="W25" s="14">
        <v>0.12</v>
      </c>
      <c r="X25" s="14">
        <v>0.28000000000000003</v>
      </c>
      <c r="Y25" s="14">
        <v>0.26</v>
      </c>
      <c r="Z25" s="14">
        <v>0.27</v>
      </c>
      <c r="AA25" s="14">
        <v>0.26</v>
      </c>
      <c r="AB25" s="14">
        <v>0.26</v>
      </c>
      <c r="AC25" s="14">
        <v>0.3</v>
      </c>
      <c r="AD25" s="14">
        <v>0.23</v>
      </c>
      <c r="AE25" s="14">
        <v>0.3</v>
      </c>
      <c r="AF25" s="14">
        <v>0.28000000000000003</v>
      </c>
    </row>
    <row r="26" spans="1:32" x14ac:dyDescent="0.35">
      <c r="A26" s="31"/>
      <c r="B26" s="11" t="s">
        <v>1194</v>
      </c>
      <c r="C26" s="12">
        <v>2593</v>
      </c>
      <c r="D26" s="12">
        <v>132</v>
      </c>
      <c r="E26" s="12">
        <v>59</v>
      </c>
      <c r="F26" s="12">
        <v>95</v>
      </c>
      <c r="G26" s="12">
        <v>127</v>
      </c>
      <c r="H26" s="12">
        <v>164</v>
      </c>
      <c r="I26" s="12">
        <v>186</v>
      </c>
      <c r="J26" s="12">
        <v>22</v>
      </c>
      <c r="K26" s="12">
        <v>96</v>
      </c>
      <c r="L26" s="12">
        <v>106</v>
      </c>
      <c r="M26" s="12">
        <v>70</v>
      </c>
      <c r="N26" s="12">
        <v>91</v>
      </c>
      <c r="O26" s="12">
        <v>99</v>
      </c>
      <c r="P26" s="12">
        <v>67</v>
      </c>
      <c r="Q26" s="12">
        <v>107</v>
      </c>
      <c r="R26" s="12">
        <v>42</v>
      </c>
      <c r="S26" s="12">
        <v>78</v>
      </c>
      <c r="T26" s="12">
        <v>81</v>
      </c>
      <c r="U26" s="12">
        <v>51</v>
      </c>
      <c r="V26" s="12">
        <v>53</v>
      </c>
      <c r="W26" s="12">
        <v>35</v>
      </c>
      <c r="X26" s="12">
        <v>156</v>
      </c>
      <c r="Y26" s="12">
        <v>76</v>
      </c>
      <c r="Z26" s="12">
        <v>75</v>
      </c>
      <c r="AA26" s="12">
        <v>90</v>
      </c>
      <c r="AB26" s="12">
        <v>65</v>
      </c>
      <c r="AC26" s="12">
        <v>98</v>
      </c>
      <c r="AD26" s="12">
        <v>78</v>
      </c>
      <c r="AE26" s="12">
        <v>110</v>
      </c>
      <c r="AF26" s="12">
        <v>76</v>
      </c>
    </row>
    <row r="27" spans="1:32" x14ac:dyDescent="0.35">
      <c r="A27" s="31"/>
      <c r="B27" s="13" t="s">
        <v>1195</v>
      </c>
      <c r="C27" s="14">
        <v>0.1</v>
      </c>
      <c r="D27" s="14">
        <v>0.13</v>
      </c>
      <c r="E27" s="14">
        <v>0.06</v>
      </c>
      <c r="F27" s="14">
        <v>0.09</v>
      </c>
      <c r="G27" s="14">
        <v>0.12</v>
      </c>
      <c r="H27" s="14">
        <v>0.13</v>
      </c>
      <c r="I27" s="14">
        <v>0.12</v>
      </c>
      <c r="J27" s="14">
        <v>7.0000000000000007E-2</v>
      </c>
      <c r="K27" s="14">
        <v>0.09</v>
      </c>
      <c r="L27" s="14">
        <v>0.11</v>
      </c>
      <c r="M27" s="14">
        <v>7.0000000000000007E-2</v>
      </c>
      <c r="N27" s="14">
        <v>0.09</v>
      </c>
      <c r="O27" s="14">
        <v>0.1</v>
      </c>
      <c r="P27" s="14">
        <v>7.0000000000000007E-2</v>
      </c>
      <c r="Q27" s="14">
        <v>0.1</v>
      </c>
      <c r="R27" s="14">
        <v>0.08</v>
      </c>
      <c r="S27" s="14">
        <v>0.08</v>
      </c>
      <c r="T27" s="14">
        <v>0.08</v>
      </c>
      <c r="U27" s="14">
        <v>0.1</v>
      </c>
      <c r="V27" s="14">
        <v>0.05</v>
      </c>
      <c r="W27" s="14">
        <v>7.0000000000000007E-2</v>
      </c>
      <c r="X27" s="14">
        <v>0.15</v>
      </c>
      <c r="Y27" s="14">
        <v>0.08</v>
      </c>
      <c r="Z27" s="14">
        <v>7.0000000000000007E-2</v>
      </c>
      <c r="AA27" s="14">
        <v>0.09</v>
      </c>
      <c r="AB27" s="14">
        <v>0.06</v>
      </c>
      <c r="AC27" s="14">
        <v>0.1</v>
      </c>
      <c r="AD27" s="14">
        <v>0.08</v>
      </c>
      <c r="AE27" s="14">
        <v>0.11</v>
      </c>
      <c r="AF27" s="14">
        <v>7.0000000000000007E-2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4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227</v>
      </c>
      <c r="C3" s="30"/>
      <c r="D3" s="30"/>
      <c r="E3" s="30"/>
      <c r="F3" s="30"/>
      <c r="H3" s="30" t="s">
        <v>228</v>
      </c>
      <c r="I3" s="30"/>
      <c r="J3" s="30"/>
      <c r="K3" s="30"/>
      <c r="L3" s="30"/>
    </row>
    <row r="4" spans="1:32" ht="27" customHeight="1" x14ac:dyDescent="0.35">
      <c r="B4" s="30"/>
      <c r="C4" s="30"/>
      <c r="D4" s="30"/>
      <c r="E4" s="30"/>
      <c r="F4" s="30"/>
      <c r="H4" s="30"/>
      <c r="I4" s="30"/>
      <c r="J4" s="30"/>
      <c r="K4" s="30"/>
      <c r="L4" s="30"/>
    </row>
    <row r="5" spans="1:32" ht="12" customHeight="1" x14ac:dyDescent="0.35">
      <c r="B5" s="30" t="s">
        <v>1196</v>
      </c>
      <c r="C5" s="30"/>
      <c r="D5" s="30"/>
      <c r="E5" s="30"/>
      <c r="F5" s="30"/>
      <c r="H5" s="30" t="s">
        <v>1197</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11730</v>
      </c>
      <c r="D10" s="10">
        <v>537</v>
      </c>
      <c r="E10" s="10">
        <v>414</v>
      </c>
      <c r="F10" s="10">
        <v>406</v>
      </c>
      <c r="G10" s="10">
        <v>451</v>
      </c>
      <c r="H10" s="10">
        <v>591</v>
      </c>
      <c r="I10" s="10">
        <v>715</v>
      </c>
      <c r="J10" s="10">
        <v>124</v>
      </c>
      <c r="K10" s="10">
        <v>414</v>
      </c>
      <c r="L10" s="10">
        <v>383</v>
      </c>
      <c r="M10" s="10">
        <v>440</v>
      </c>
      <c r="N10" s="10">
        <v>458</v>
      </c>
      <c r="O10" s="10">
        <v>489</v>
      </c>
      <c r="P10" s="10">
        <v>395</v>
      </c>
      <c r="Q10" s="10">
        <v>449</v>
      </c>
      <c r="R10" s="10">
        <v>207</v>
      </c>
      <c r="S10" s="10">
        <v>433</v>
      </c>
      <c r="T10" s="10">
        <v>453</v>
      </c>
      <c r="U10" s="10">
        <v>195</v>
      </c>
      <c r="V10" s="10">
        <v>329</v>
      </c>
      <c r="W10" s="10">
        <v>183</v>
      </c>
      <c r="X10" s="10">
        <v>489</v>
      </c>
      <c r="Y10" s="10">
        <v>386</v>
      </c>
      <c r="Z10" s="10">
        <v>399</v>
      </c>
      <c r="AA10" s="10">
        <v>420</v>
      </c>
      <c r="AB10" s="10">
        <v>450</v>
      </c>
      <c r="AC10" s="10">
        <v>446</v>
      </c>
      <c r="AD10" s="10">
        <v>366</v>
      </c>
      <c r="AE10" s="10">
        <v>479</v>
      </c>
      <c r="AF10" s="10">
        <v>399</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1148</v>
      </c>
      <c r="C12" s="12">
        <v>238</v>
      </c>
      <c r="D12" s="12">
        <v>3</v>
      </c>
      <c r="E12" s="12">
        <v>7</v>
      </c>
      <c r="F12" s="12">
        <v>7</v>
      </c>
      <c r="G12" s="12">
        <v>6</v>
      </c>
      <c r="H12" s="12">
        <v>3</v>
      </c>
      <c r="I12" s="12">
        <v>3</v>
      </c>
      <c r="J12" s="12">
        <v>0</v>
      </c>
      <c r="K12" s="12">
        <v>3</v>
      </c>
      <c r="L12" s="12">
        <v>3</v>
      </c>
      <c r="M12" s="12">
        <v>38</v>
      </c>
      <c r="N12" s="12">
        <v>10</v>
      </c>
      <c r="O12" s="12">
        <v>4</v>
      </c>
      <c r="P12" s="12">
        <v>2</v>
      </c>
      <c r="Q12" s="12">
        <v>17</v>
      </c>
      <c r="R12" s="12">
        <v>2</v>
      </c>
      <c r="S12" s="12">
        <v>0</v>
      </c>
      <c r="T12" s="12">
        <v>1</v>
      </c>
      <c r="U12" s="12">
        <v>2</v>
      </c>
      <c r="V12" s="12">
        <v>1</v>
      </c>
      <c r="W12" s="12">
        <v>2</v>
      </c>
      <c r="X12" s="12">
        <v>0</v>
      </c>
      <c r="Y12" s="12">
        <v>9</v>
      </c>
      <c r="Z12" s="12">
        <v>27</v>
      </c>
      <c r="AA12" s="12">
        <v>12</v>
      </c>
      <c r="AB12" s="12">
        <v>12</v>
      </c>
      <c r="AC12" s="12">
        <v>8</v>
      </c>
      <c r="AD12" s="12">
        <v>1</v>
      </c>
      <c r="AE12" s="12">
        <v>17</v>
      </c>
      <c r="AF12" s="12">
        <v>0</v>
      </c>
    </row>
    <row r="13" spans="1:32" x14ac:dyDescent="0.35">
      <c r="A13" s="31"/>
      <c r="B13" s="13" t="s">
        <v>1149</v>
      </c>
      <c r="C13" s="14">
        <v>0.02</v>
      </c>
      <c r="D13" s="14">
        <v>0.01</v>
      </c>
      <c r="E13" s="14">
        <v>0.02</v>
      </c>
      <c r="F13" s="14">
        <v>0.02</v>
      </c>
      <c r="G13" s="14">
        <v>0.01</v>
      </c>
      <c r="H13" s="15" t="s">
        <v>333</v>
      </c>
      <c r="I13" s="15" t="s">
        <v>333</v>
      </c>
      <c r="J13" s="15" t="s">
        <v>333</v>
      </c>
      <c r="K13" s="14">
        <v>0.01</v>
      </c>
      <c r="L13" s="14">
        <v>0.01</v>
      </c>
      <c r="M13" s="14">
        <v>0.09</v>
      </c>
      <c r="N13" s="14">
        <v>0.02</v>
      </c>
      <c r="O13" s="14">
        <v>0.01</v>
      </c>
      <c r="P13" s="15" t="s">
        <v>333</v>
      </c>
      <c r="Q13" s="14">
        <v>0.04</v>
      </c>
      <c r="R13" s="14">
        <v>0.01</v>
      </c>
      <c r="S13" s="15" t="s">
        <v>333</v>
      </c>
      <c r="T13" s="15" t="s">
        <v>333</v>
      </c>
      <c r="U13" s="14">
        <v>0.01</v>
      </c>
      <c r="V13" s="15" t="s">
        <v>333</v>
      </c>
      <c r="W13" s="14">
        <v>0.01</v>
      </c>
      <c r="X13" s="15" t="s">
        <v>333</v>
      </c>
      <c r="Y13" s="14">
        <v>0.02</v>
      </c>
      <c r="Z13" s="14">
        <v>7.0000000000000007E-2</v>
      </c>
      <c r="AA13" s="14">
        <v>0.03</v>
      </c>
      <c r="AB13" s="14">
        <v>0.03</v>
      </c>
      <c r="AC13" s="14">
        <v>0.02</v>
      </c>
      <c r="AD13" s="15" t="s">
        <v>333</v>
      </c>
      <c r="AE13" s="14">
        <v>0.04</v>
      </c>
      <c r="AF13" s="15" t="s">
        <v>333</v>
      </c>
    </row>
    <row r="14" spans="1:32" x14ac:dyDescent="0.35">
      <c r="A14" s="31"/>
      <c r="B14" s="11" t="s">
        <v>1150</v>
      </c>
      <c r="C14" s="12">
        <v>7</v>
      </c>
      <c r="D14" s="12">
        <v>1</v>
      </c>
      <c r="E14" s="12">
        <v>0</v>
      </c>
      <c r="F14" s="12">
        <v>0</v>
      </c>
      <c r="G14" s="12">
        <v>0</v>
      </c>
      <c r="H14" s="12">
        <v>0</v>
      </c>
      <c r="I14" s="12">
        <v>0</v>
      </c>
      <c r="J14" s="12">
        <v>0</v>
      </c>
      <c r="K14" s="12">
        <v>0</v>
      </c>
      <c r="L14" s="12">
        <v>0</v>
      </c>
      <c r="M14" s="12">
        <v>0</v>
      </c>
      <c r="N14" s="12">
        <v>0</v>
      </c>
      <c r="O14" s="12">
        <v>0</v>
      </c>
      <c r="P14" s="12">
        <v>2</v>
      </c>
      <c r="Q14" s="12">
        <v>0</v>
      </c>
      <c r="R14" s="12">
        <v>1</v>
      </c>
      <c r="S14" s="12">
        <v>0</v>
      </c>
      <c r="T14" s="12">
        <v>0</v>
      </c>
      <c r="U14" s="12">
        <v>0</v>
      </c>
      <c r="V14" s="12">
        <v>0</v>
      </c>
      <c r="W14" s="12">
        <v>0</v>
      </c>
      <c r="X14" s="12">
        <v>1</v>
      </c>
      <c r="Y14" s="12">
        <v>0</v>
      </c>
      <c r="Z14" s="12">
        <v>2</v>
      </c>
      <c r="AA14" s="12">
        <v>0</v>
      </c>
      <c r="AB14" s="12">
        <v>0</v>
      </c>
      <c r="AC14" s="12">
        <v>0</v>
      </c>
      <c r="AD14" s="12">
        <v>0</v>
      </c>
      <c r="AE14" s="12">
        <v>0</v>
      </c>
      <c r="AF14" s="12">
        <v>0</v>
      </c>
    </row>
    <row r="15" spans="1:32" x14ac:dyDescent="0.35">
      <c r="A15" s="31"/>
      <c r="B15" s="13" t="s">
        <v>1151</v>
      </c>
      <c r="C15" s="15" t="s">
        <v>333</v>
      </c>
      <c r="D15" s="15" t="s">
        <v>333</v>
      </c>
      <c r="E15" s="15" t="s">
        <v>333</v>
      </c>
      <c r="F15" s="15" t="s">
        <v>333</v>
      </c>
      <c r="G15" s="15" t="s">
        <v>333</v>
      </c>
      <c r="H15" s="15" t="s">
        <v>333</v>
      </c>
      <c r="I15" s="15" t="s">
        <v>333</v>
      </c>
      <c r="J15" s="15" t="s">
        <v>333</v>
      </c>
      <c r="K15" s="15" t="s">
        <v>333</v>
      </c>
      <c r="L15" s="15" t="s">
        <v>333</v>
      </c>
      <c r="M15" s="15" t="s">
        <v>333</v>
      </c>
      <c r="N15" s="15" t="s">
        <v>333</v>
      </c>
      <c r="O15" s="15" t="s">
        <v>333</v>
      </c>
      <c r="P15" s="15" t="s">
        <v>333</v>
      </c>
      <c r="Q15" s="15" t="s">
        <v>333</v>
      </c>
      <c r="R15" s="14">
        <v>0.01</v>
      </c>
      <c r="S15" s="15" t="s">
        <v>333</v>
      </c>
      <c r="T15" s="15" t="s">
        <v>333</v>
      </c>
      <c r="U15" s="15" t="s">
        <v>333</v>
      </c>
      <c r="V15" s="15" t="s">
        <v>333</v>
      </c>
      <c r="W15" s="15" t="s">
        <v>333</v>
      </c>
      <c r="X15" s="15" t="s">
        <v>333</v>
      </c>
      <c r="Y15" s="15" t="s">
        <v>333</v>
      </c>
      <c r="Z15" s="15" t="s">
        <v>333</v>
      </c>
      <c r="AA15" s="15" t="s">
        <v>333</v>
      </c>
      <c r="AB15" s="15" t="s">
        <v>333</v>
      </c>
      <c r="AC15" s="15" t="s">
        <v>333</v>
      </c>
      <c r="AD15" s="15" t="s">
        <v>333</v>
      </c>
      <c r="AE15" s="15" t="s">
        <v>333</v>
      </c>
      <c r="AF15" s="15" t="s">
        <v>333</v>
      </c>
    </row>
    <row r="16" spans="1:32" ht="41.5" x14ac:dyDescent="0.35">
      <c r="A16" s="31"/>
      <c r="B16" s="11" t="s">
        <v>1152</v>
      </c>
      <c r="C16" s="12">
        <v>121</v>
      </c>
      <c r="D16" s="12">
        <v>8</v>
      </c>
      <c r="E16" s="12">
        <v>1</v>
      </c>
      <c r="F16" s="12">
        <v>7</v>
      </c>
      <c r="G16" s="12">
        <v>3</v>
      </c>
      <c r="H16" s="12">
        <v>7</v>
      </c>
      <c r="I16" s="12">
        <v>12</v>
      </c>
      <c r="J16" s="12">
        <v>4</v>
      </c>
      <c r="K16" s="12">
        <v>2</v>
      </c>
      <c r="L16" s="12">
        <v>6</v>
      </c>
      <c r="M16" s="12">
        <v>4</v>
      </c>
      <c r="N16" s="12">
        <v>1</v>
      </c>
      <c r="O16" s="12">
        <v>5</v>
      </c>
      <c r="P16" s="12">
        <v>0</v>
      </c>
      <c r="Q16" s="12">
        <v>3</v>
      </c>
      <c r="R16" s="12">
        <v>4</v>
      </c>
      <c r="S16" s="12">
        <v>8</v>
      </c>
      <c r="T16" s="12">
        <v>3</v>
      </c>
      <c r="U16" s="12">
        <v>4</v>
      </c>
      <c r="V16" s="12">
        <v>0</v>
      </c>
      <c r="W16" s="12">
        <v>4</v>
      </c>
      <c r="X16" s="12">
        <v>15</v>
      </c>
      <c r="Y16" s="12">
        <v>6</v>
      </c>
      <c r="Z16" s="12">
        <v>0</v>
      </c>
      <c r="AA16" s="12">
        <v>2</v>
      </c>
      <c r="AB16" s="12">
        <v>0</v>
      </c>
      <c r="AC16" s="12">
        <v>7</v>
      </c>
      <c r="AD16" s="12">
        <v>6</v>
      </c>
      <c r="AE16" s="12">
        <v>8</v>
      </c>
      <c r="AF16" s="12">
        <v>13</v>
      </c>
    </row>
    <row r="17" spans="1:32" ht="31.5" x14ac:dyDescent="0.35">
      <c r="A17" s="31"/>
      <c r="B17" s="13" t="s">
        <v>1153</v>
      </c>
      <c r="C17" s="14">
        <v>0.01</v>
      </c>
      <c r="D17" s="14">
        <v>0.01</v>
      </c>
      <c r="E17" s="15" t="s">
        <v>333</v>
      </c>
      <c r="F17" s="14">
        <v>0.02</v>
      </c>
      <c r="G17" s="14">
        <v>0.01</v>
      </c>
      <c r="H17" s="14">
        <v>0.01</v>
      </c>
      <c r="I17" s="14">
        <v>0.02</v>
      </c>
      <c r="J17" s="14">
        <v>0.03</v>
      </c>
      <c r="K17" s="14">
        <v>0.01</v>
      </c>
      <c r="L17" s="14">
        <v>0.02</v>
      </c>
      <c r="M17" s="14">
        <v>0.01</v>
      </c>
      <c r="N17" s="15" t="s">
        <v>333</v>
      </c>
      <c r="O17" s="14">
        <v>0.01</v>
      </c>
      <c r="P17" s="15" t="s">
        <v>333</v>
      </c>
      <c r="Q17" s="15" t="s">
        <v>333</v>
      </c>
      <c r="R17" s="14">
        <v>0.02</v>
      </c>
      <c r="S17" s="14">
        <v>0.02</v>
      </c>
      <c r="T17" s="14">
        <v>0.01</v>
      </c>
      <c r="U17" s="14">
        <v>0.02</v>
      </c>
      <c r="V17" s="15" t="s">
        <v>333</v>
      </c>
      <c r="W17" s="14">
        <v>0.02</v>
      </c>
      <c r="X17" s="14">
        <v>0.03</v>
      </c>
      <c r="Y17" s="14">
        <v>0.02</v>
      </c>
      <c r="Z17" s="15" t="s">
        <v>333</v>
      </c>
      <c r="AA17" s="14">
        <v>0.01</v>
      </c>
      <c r="AB17" s="15" t="s">
        <v>333</v>
      </c>
      <c r="AC17" s="14">
        <v>0.02</v>
      </c>
      <c r="AD17" s="14">
        <v>0.02</v>
      </c>
      <c r="AE17" s="14">
        <v>0.02</v>
      </c>
      <c r="AF17" s="14">
        <v>0.03</v>
      </c>
    </row>
    <row r="18" spans="1:32" ht="31.5" x14ac:dyDescent="0.35">
      <c r="A18" s="31"/>
      <c r="B18" s="11" t="s">
        <v>1154</v>
      </c>
      <c r="C18" s="12">
        <v>348</v>
      </c>
      <c r="D18" s="12">
        <v>15</v>
      </c>
      <c r="E18" s="12">
        <v>5</v>
      </c>
      <c r="F18" s="12">
        <v>5</v>
      </c>
      <c r="G18" s="12">
        <v>2</v>
      </c>
      <c r="H18" s="12">
        <v>14</v>
      </c>
      <c r="I18" s="12">
        <v>16</v>
      </c>
      <c r="J18" s="12">
        <v>2</v>
      </c>
      <c r="K18" s="12">
        <v>2</v>
      </c>
      <c r="L18" s="12">
        <v>3</v>
      </c>
      <c r="M18" s="12">
        <v>33</v>
      </c>
      <c r="N18" s="12">
        <v>10</v>
      </c>
      <c r="O18" s="12">
        <v>20</v>
      </c>
      <c r="P18" s="12">
        <v>11</v>
      </c>
      <c r="Q18" s="12">
        <v>27</v>
      </c>
      <c r="R18" s="12">
        <v>9</v>
      </c>
      <c r="S18" s="12">
        <v>3</v>
      </c>
      <c r="T18" s="12">
        <v>3</v>
      </c>
      <c r="U18" s="12">
        <v>11</v>
      </c>
      <c r="V18" s="12">
        <v>5</v>
      </c>
      <c r="W18" s="12">
        <v>8</v>
      </c>
      <c r="X18" s="12">
        <v>11</v>
      </c>
      <c r="Y18" s="12">
        <v>9</v>
      </c>
      <c r="Z18" s="12">
        <v>6</v>
      </c>
      <c r="AA18" s="12">
        <v>19</v>
      </c>
      <c r="AB18" s="12">
        <v>4</v>
      </c>
      <c r="AC18" s="12">
        <v>6</v>
      </c>
      <c r="AD18" s="12">
        <v>2</v>
      </c>
      <c r="AE18" s="12">
        <v>9</v>
      </c>
      <c r="AF18" s="12">
        <v>5</v>
      </c>
    </row>
    <row r="19" spans="1:32" ht="21.5" x14ac:dyDescent="0.35">
      <c r="A19" s="31"/>
      <c r="B19" s="13" t="s">
        <v>1155</v>
      </c>
      <c r="C19" s="14">
        <v>0.03</v>
      </c>
      <c r="D19" s="14">
        <v>0.03</v>
      </c>
      <c r="E19" s="14">
        <v>0.01</v>
      </c>
      <c r="F19" s="14">
        <v>0.01</v>
      </c>
      <c r="G19" s="15" t="s">
        <v>333</v>
      </c>
      <c r="H19" s="14">
        <v>0.02</v>
      </c>
      <c r="I19" s="14">
        <v>0.02</v>
      </c>
      <c r="J19" s="14">
        <v>0.02</v>
      </c>
      <c r="K19" s="14">
        <v>0.01</v>
      </c>
      <c r="L19" s="14">
        <v>0.01</v>
      </c>
      <c r="M19" s="14">
        <v>0.08</v>
      </c>
      <c r="N19" s="14">
        <v>0.02</v>
      </c>
      <c r="O19" s="14">
        <v>0.04</v>
      </c>
      <c r="P19" s="14">
        <v>0.03</v>
      </c>
      <c r="Q19" s="14">
        <v>0.06</v>
      </c>
      <c r="R19" s="14">
        <v>0.04</v>
      </c>
      <c r="S19" s="14">
        <v>0.01</v>
      </c>
      <c r="T19" s="14">
        <v>0.01</v>
      </c>
      <c r="U19" s="14">
        <v>0.06</v>
      </c>
      <c r="V19" s="14">
        <v>0.02</v>
      </c>
      <c r="W19" s="14">
        <v>0.05</v>
      </c>
      <c r="X19" s="14">
        <v>0.02</v>
      </c>
      <c r="Y19" s="14">
        <v>0.02</v>
      </c>
      <c r="Z19" s="14">
        <v>0.01</v>
      </c>
      <c r="AA19" s="14">
        <v>0.04</v>
      </c>
      <c r="AB19" s="14">
        <v>0.01</v>
      </c>
      <c r="AC19" s="14">
        <v>0.01</v>
      </c>
      <c r="AD19" s="14">
        <v>0.01</v>
      </c>
      <c r="AE19" s="14">
        <v>0.02</v>
      </c>
      <c r="AF19" s="14">
        <v>0.01</v>
      </c>
    </row>
    <row r="20" spans="1:32" ht="31.5" x14ac:dyDescent="0.35">
      <c r="A20" s="31"/>
      <c r="B20" s="11" t="s">
        <v>1156</v>
      </c>
      <c r="C20" s="12">
        <v>151</v>
      </c>
      <c r="D20" s="12">
        <v>8</v>
      </c>
      <c r="E20" s="12">
        <v>2</v>
      </c>
      <c r="F20" s="12">
        <v>4</v>
      </c>
      <c r="G20" s="12">
        <v>4</v>
      </c>
      <c r="H20" s="12">
        <v>10</v>
      </c>
      <c r="I20" s="12">
        <v>14</v>
      </c>
      <c r="J20" s="12">
        <v>4</v>
      </c>
      <c r="K20" s="12">
        <v>18</v>
      </c>
      <c r="L20" s="12">
        <v>1</v>
      </c>
      <c r="M20" s="12">
        <v>12</v>
      </c>
      <c r="N20" s="12">
        <v>6</v>
      </c>
      <c r="O20" s="12">
        <v>3</v>
      </c>
      <c r="P20" s="12">
        <v>2</v>
      </c>
      <c r="Q20" s="12">
        <v>3</v>
      </c>
      <c r="R20" s="12">
        <v>5</v>
      </c>
      <c r="S20" s="12">
        <v>4</v>
      </c>
      <c r="T20" s="12">
        <v>2</v>
      </c>
      <c r="U20" s="12">
        <v>3</v>
      </c>
      <c r="V20" s="12">
        <v>6</v>
      </c>
      <c r="W20" s="12">
        <v>2</v>
      </c>
      <c r="X20" s="12">
        <v>15</v>
      </c>
      <c r="Y20" s="12">
        <v>4</v>
      </c>
      <c r="Z20" s="12">
        <v>0</v>
      </c>
      <c r="AA20" s="12">
        <v>7</v>
      </c>
      <c r="AB20" s="12">
        <v>3</v>
      </c>
      <c r="AC20" s="12">
        <v>9</v>
      </c>
      <c r="AD20" s="12">
        <v>3</v>
      </c>
      <c r="AE20" s="12">
        <v>21</v>
      </c>
      <c r="AF20" s="12">
        <v>8</v>
      </c>
    </row>
    <row r="21" spans="1:32" ht="21.5" x14ac:dyDescent="0.35">
      <c r="A21" s="31"/>
      <c r="B21" s="13" t="s">
        <v>1157</v>
      </c>
      <c r="C21" s="14">
        <v>0.01</v>
      </c>
      <c r="D21" s="14">
        <v>0.02</v>
      </c>
      <c r="E21" s="15" t="s">
        <v>333</v>
      </c>
      <c r="F21" s="14">
        <v>0.01</v>
      </c>
      <c r="G21" s="14">
        <v>0.01</v>
      </c>
      <c r="H21" s="14">
        <v>0.02</v>
      </c>
      <c r="I21" s="14">
        <v>0.02</v>
      </c>
      <c r="J21" s="14">
        <v>0.03</v>
      </c>
      <c r="K21" s="14">
        <v>0.04</v>
      </c>
      <c r="L21" s="15" t="s">
        <v>333</v>
      </c>
      <c r="M21" s="14">
        <v>0.03</v>
      </c>
      <c r="N21" s="14">
        <v>0.01</v>
      </c>
      <c r="O21" s="14">
        <v>0.01</v>
      </c>
      <c r="P21" s="14">
        <v>0.01</v>
      </c>
      <c r="Q21" s="14">
        <v>0.01</v>
      </c>
      <c r="R21" s="14">
        <v>0.03</v>
      </c>
      <c r="S21" s="14">
        <v>0.01</v>
      </c>
      <c r="T21" s="15" t="s">
        <v>333</v>
      </c>
      <c r="U21" s="14">
        <v>0.01</v>
      </c>
      <c r="V21" s="14">
        <v>0.02</v>
      </c>
      <c r="W21" s="14">
        <v>0.01</v>
      </c>
      <c r="X21" s="14">
        <v>0.03</v>
      </c>
      <c r="Y21" s="14">
        <v>0.01</v>
      </c>
      <c r="Z21" s="15" t="s">
        <v>333</v>
      </c>
      <c r="AA21" s="14">
        <v>0.02</v>
      </c>
      <c r="AB21" s="14">
        <v>0.01</v>
      </c>
      <c r="AC21" s="14">
        <v>0.02</v>
      </c>
      <c r="AD21" s="14">
        <v>0.01</v>
      </c>
      <c r="AE21" s="14">
        <v>0.04</v>
      </c>
      <c r="AF21" s="14">
        <v>0.02</v>
      </c>
    </row>
    <row r="22" spans="1:32" ht="31.5" x14ac:dyDescent="0.35">
      <c r="A22" s="31"/>
      <c r="B22" s="11" t="s">
        <v>1158</v>
      </c>
      <c r="C22" s="12">
        <v>188</v>
      </c>
      <c r="D22" s="12">
        <v>6</v>
      </c>
      <c r="E22" s="12">
        <v>8</v>
      </c>
      <c r="F22" s="12">
        <v>6</v>
      </c>
      <c r="G22" s="12">
        <v>5</v>
      </c>
      <c r="H22" s="12">
        <v>10</v>
      </c>
      <c r="I22" s="12">
        <v>10</v>
      </c>
      <c r="J22" s="12">
        <v>1</v>
      </c>
      <c r="K22" s="12">
        <v>31</v>
      </c>
      <c r="L22" s="12">
        <v>13</v>
      </c>
      <c r="M22" s="12">
        <v>5</v>
      </c>
      <c r="N22" s="12">
        <v>11</v>
      </c>
      <c r="O22" s="12">
        <v>5</v>
      </c>
      <c r="P22" s="12">
        <v>3</v>
      </c>
      <c r="Q22" s="12">
        <v>1</v>
      </c>
      <c r="R22" s="12">
        <v>4</v>
      </c>
      <c r="S22" s="12">
        <v>30</v>
      </c>
      <c r="T22" s="12">
        <v>28</v>
      </c>
      <c r="U22" s="12">
        <v>4</v>
      </c>
      <c r="V22" s="12">
        <v>8</v>
      </c>
      <c r="W22" s="12">
        <v>7</v>
      </c>
      <c r="X22" s="12">
        <v>15</v>
      </c>
      <c r="Y22" s="12">
        <v>4</v>
      </c>
      <c r="Z22" s="12">
        <v>4</v>
      </c>
      <c r="AA22" s="12">
        <v>3</v>
      </c>
      <c r="AB22" s="12">
        <v>4</v>
      </c>
      <c r="AC22" s="12">
        <v>19</v>
      </c>
      <c r="AD22" s="12">
        <v>7</v>
      </c>
      <c r="AE22" s="12">
        <v>31</v>
      </c>
      <c r="AF22" s="12">
        <v>32</v>
      </c>
    </row>
    <row r="23" spans="1:32" ht="31.5" x14ac:dyDescent="0.35">
      <c r="A23" s="31"/>
      <c r="B23" s="13" t="s">
        <v>1159</v>
      </c>
      <c r="C23" s="14">
        <v>0.02</v>
      </c>
      <c r="D23" s="14">
        <v>0.01</v>
      </c>
      <c r="E23" s="14">
        <v>0.02</v>
      </c>
      <c r="F23" s="14">
        <v>0.02</v>
      </c>
      <c r="G23" s="14">
        <v>0.01</v>
      </c>
      <c r="H23" s="14">
        <v>0.02</v>
      </c>
      <c r="I23" s="14">
        <v>0.02</v>
      </c>
      <c r="J23" s="15" t="s">
        <v>333</v>
      </c>
      <c r="K23" s="14">
        <v>7.0000000000000007E-2</v>
      </c>
      <c r="L23" s="14">
        <v>0.03</v>
      </c>
      <c r="M23" s="14">
        <v>0.01</v>
      </c>
      <c r="N23" s="14">
        <v>0.03</v>
      </c>
      <c r="O23" s="14">
        <v>0.01</v>
      </c>
      <c r="P23" s="14">
        <v>0.01</v>
      </c>
      <c r="Q23" s="15" t="s">
        <v>333</v>
      </c>
      <c r="R23" s="14">
        <v>0.02</v>
      </c>
      <c r="S23" s="14">
        <v>7.0000000000000007E-2</v>
      </c>
      <c r="T23" s="14">
        <v>0.06</v>
      </c>
      <c r="U23" s="14">
        <v>0.02</v>
      </c>
      <c r="V23" s="14">
        <v>0.02</v>
      </c>
      <c r="W23" s="14">
        <v>0.04</v>
      </c>
      <c r="X23" s="14">
        <v>0.03</v>
      </c>
      <c r="Y23" s="14">
        <v>0.01</v>
      </c>
      <c r="Z23" s="14">
        <v>0.01</v>
      </c>
      <c r="AA23" s="14">
        <v>0.01</v>
      </c>
      <c r="AB23" s="14">
        <v>0.01</v>
      </c>
      <c r="AC23" s="14">
        <v>0.04</v>
      </c>
      <c r="AD23" s="14">
        <v>0.02</v>
      </c>
      <c r="AE23" s="14">
        <v>0.06</v>
      </c>
      <c r="AF23" s="14">
        <v>0.08</v>
      </c>
    </row>
    <row r="24" spans="1:32" ht="41.5" x14ac:dyDescent="0.35">
      <c r="A24" s="31"/>
      <c r="B24" s="11" t="s">
        <v>1160</v>
      </c>
      <c r="C24" s="12">
        <v>270</v>
      </c>
      <c r="D24" s="12">
        <v>15</v>
      </c>
      <c r="E24" s="12">
        <v>7</v>
      </c>
      <c r="F24" s="12">
        <v>3</v>
      </c>
      <c r="G24" s="12">
        <v>22</v>
      </c>
      <c r="H24" s="12">
        <v>21</v>
      </c>
      <c r="I24" s="12">
        <v>24</v>
      </c>
      <c r="J24" s="12">
        <v>4</v>
      </c>
      <c r="K24" s="12">
        <v>5</v>
      </c>
      <c r="L24" s="12">
        <v>9</v>
      </c>
      <c r="M24" s="12">
        <v>6</v>
      </c>
      <c r="N24" s="12">
        <v>4</v>
      </c>
      <c r="O24" s="12">
        <v>20</v>
      </c>
      <c r="P24" s="12">
        <v>2</v>
      </c>
      <c r="Q24" s="12">
        <v>5</v>
      </c>
      <c r="R24" s="12">
        <v>4</v>
      </c>
      <c r="S24" s="12">
        <v>7</v>
      </c>
      <c r="T24" s="12">
        <v>5</v>
      </c>
      <c r="U24" s="12">
        <v>12</v>
      </c>
      <c r="V24" s="12">
        <v>3</v>
      </c>
      <c r="W24" s="12">
        <v>4</v>
      </c>
      <c r="X24" s="12">
        <v>16</v>
      </c>
      <c r="Y24" s="12">
        <v>12</v>
      </c>
      <c r="Z24" s="12">
        <v>3</v>
      </c>
      <c r="AA24" s="12">
        <v>3</v>
      </c>
      <c r="AB24" s="12">
        <v>0</v>
      </c>
      <c r="AC24" s="12">
        <v>12</v>
      </c>
      <c r="AD24" s="12">
        <v>2</v>
      </c>
      <c r="AE24" s="12">
        <v>16</v>
      </c>
      <c r="AF24" s="12">
        <v>17</v>
      </c>
    </row>
    <row r="25" spans="1:32" ht="51.5" x14ac:dyDescent="0.35">
      <c r="A25" s="31"/>
      <c r="B25" s="13" t="s">
        <v>1161</v>
      </c>
      <c r="C25" s="14">
        <v>0.02</v>
      </c>
      <c r="D25" s="14">
        <v>0.03</v>
      </c>
      <c r="E25" s="14">
        <v>0.02</v>
      </c>
      <c r="F25" s="14">
        <v>0.01</v>
      </c>
      <c r="G25" s="14">
        <v>0.05</v>
      </c>
      <c r="H25" s="14">
        <v>0.04</v>
      </c>
      <c r="I25" s="14">
        <v>0.04</v>
      </c>
      <c r="J25" s="14">
        <v>0.03</v>
      </c>
      <c r="K25" s="14">
        <v>0.01</v>
      </c>
      <c r="L25" s="14">
        <v>0.02</v>
      </c>
      <c r="M25" s="14">
        <v>0.01</v>
      </c>
      <c r="N25" s="14">
        <v>0.01</v>
      </c>
      <c r="O25" s="14">
        <v>0.04</v>
      </c>
      <c r="P25" s="14">
        <v>0.01</v>
      </c>
      <c r="Q25" s="14">
        <v>0.01</v>
      </c>
      <c r="R25" s="14">
        <v>0.02</v>
      </c>
      <c r="S25" s="14">
        <v>0.02</v>
      </c>
      <c r="T25" s="14">
        <v>0.01</v>
      </c>
      <c r="U25" s="14">
        <v>0.06</v>
      </c>
      <c r="V25" s="14">
        <v>0.01</v>
      </c>
      <c r="W25" s="14">
        <v>0.02</v>
      </c>
      <c r="X25" s="14">
        <v>0.03</v>
      </c>
      <c r="Y25" s="14">
        <v>0.03</v>
      </c>
      <c r="Z25" s="14">
        <v>0.01</v>
      </c>
      <c r="AA25" s="14">
        <v>0.01</v>
      </c>
      <c r="AB25" s="15" t="s">
        <v>333</v>
      </c>
      <c r="AC25" s="14">
        <v>0.03</v>
      </c>
      <c r="AD25" s="15" t="s">
        <v>333</v>
      </c>
      <c r="AE25" s="14">
        <v>0.03</v>
      </c>
      <c r="AF25" s="14">
        <v>0.04</v>
      </c>
    </row>
    <row r="26" spans="1:32" ht="31.5" x14ac:dyDescent="0.35">
      <c r="A26" s="31"/>
      <c r="B26" s="11" t="s">
        <v>1162</v>
      </c>
      <c r="C26" s="12">
        <v>1000</v>
      </c>
      <c r="D26" s="12">
        <v>54</v>
      </c>
      <c r="E26" s="12">
        <v>20</v>
      </c>
      <c r="F26" s="12">
        <v>30</v>
      </c>
      <c r="G26" s="12">
        <v>72</v>
      </c>
      <c r="H26" s="12">
        <v>71</v>
      </c>
      <c r="I26" s="12">
        <v>87</v>
      </c>
      <c r="J26" s="12">
        <v>16</v>
      </c>
      <c r="K26" s="12">
        <v>35</v>
      </c>
      <c r="L26" s="12">
        <v>37</v>
      </c>
      <c r="M26" s="12">
        <v>15</v>
      </c>
      <c r="N26" s="12">
        <v>17</v>
      </c>
      <c r="O26" s="12">
        <v>55</v>
      </c>
      <c r="P26" s="12">
        <v>21</v>
      </c>
      <c r="Q26" s="12">
        <v>17</v>
      </c>
      <c r="R26" s="12">
        <v>13</v>
      </c>
      <c r="S26" s="12">
        <v>43</v>
      </c>
      <c r="T26" s="12">
        <v>30</v>
      </c>
      <c r="U26" s="12">
        <v>28</v>
      </c>
      <c r="V26" s="12">
        <v>15</v>
      </c>
      <c r="W26" s="12">
        <v>12</v>
      </c>
      <c r="X26" s="12">
        <v>108</v>
      </c>
      <c r="Y26" s="12">
        <v>24</v>
      </c>
      <c r="Z26" s="12">
        <v>13</v>
      </c>
      <c r="AA26" s="12">
        <v>11</v>
      </c>
      <c r="AB26" s="12">
        <v>6</v>
      </c>
      <c r="AC26" s="12">
        <v>42</v>
      </c>
      <c r="AD26" s="12">
        <v>31</v>
      </c>
      <c r="AE26" s="12">
        <v>75</v>
      </c>
      <c r="AF26" s="12">
        <v>86</v>
      </c>
    </row>
    <row r="27" spans="1:32" ht="51.5" x14ac:dyDescent="0.35">
      <c r="A27" s="31"/>
      <c r="B27" s="13" t="s">
        <v>1163</v>
      </c>
      <c r="C27" s="14">
        <v>0.09</v>
      </c>
      <c r="D27" s="14">
        <v>0.1</v>
      </c>
      <c r="E27" s="14">
        <v>0.05</v>
      </c>
      <c r="F27" s="14">
        <v>0.08</v>
      </c>
      <c r="G27" s="14">
        <v>0.16</v>
      </c>
      <c r="H27" s="14">
        <v>0.12</v>
      </c>
      <c r="I27" s="14">
        <v>0.12</v>
      </c>
      <c r="J27" s="14">
        <v>0.13</v>
      </c>
      <c r="K27" s="14">
        <v>0.08</v>
      </c>
      <c r="L27" s="14">
        <v>0.1</v>
      </c>
      <c r="M27" s="14">
        <v>0.03</v>
      </c>
      <c r="N27" s="14">
        <v>0.04</v>
      </c>
      <c r="O27" s="14">
        <v>0.11</v>
      </c>
      <c r="P27" s="14">
        <v>0.05</v>
      </c>
      <c r="Q27" s="14">
        <v>0.04</v>
      </c>
      <c r="R27" s="14">
        <v>0.06</v>
      </c>
      <c r="S27" s="14">
        <v>0.1</v>
      </c>
      <c r="T27" s="14">
        <v>7.0000000000000007E-2</v>
      </c>
      <c r="U27" s="14">
        <v>0.14000000000000001</v>
      </c>
      <c r="V27" s="14">
        <v>0.05</v>
      </c>
      <c r="W27" s="14">
        <v>7.0000000000000007E-2</v>
      </c>
      <c r="X27" s="14">
        <v>0.22</v>
      </c>
      <c r="Y27" s="14">
        <v>0.06</v>
      </c>
      <c r="Z27" s="14">
        <v>0.03</v>
      </c>
      <c r="AA27" s="14">
        <v>0.03</v>
      </c>
      <c r="AB27" s="14">
        <v>0.01</v>
      </c>
      <c r="AC27" s="14">
        <v>0.09</v>
      </c>
      <c r="AD27" s="14">
        <v>0.08</v>
      </c>
      <c r="AE27" s="14">
        <v>0.16</v>
      </c>
      <c r="AF27" s="14">
        <v>0.22</v>
      </c>
    </row>
    <row r="28" spans="1:32" ht="21.5" x14ac:dyDescent="0.35">
      <c r="A28" s="31"/>
      <c r="B28" s="11" t="s">
        <v>1164</v>
      </c>
      <c r="C28" s="12">
        <v>1308</v>
      </c>
      <c r="D28" s="12">
        <v>80</v>
      </c>
      <c r="E28" s="12">
        <v>51</v>
      </c>
      <c r="F28" s="12">
        <v>91</v>
      </c>
      <c r="G28" s="12">
        <v>66</v>
      </c>
      <c r="H28" s="12">
        <v>91</v>
      </c>
      <c r="I28" s="12">
        <v>102</v>
      </c>
      <c r="J28" s="12">
        <v>11</v>
      </c>
      <c r="K28" s="12">
        <v>21</v>
      </c>
      <c r="L28" s="12">
        <v>49</v>
      </c>
      <c r="M28" s="12">
        <v>41</v>
      </c>
      <c r="N28" s="12">
        <v>28</v>
      </c>
      <c r="O28" s="12">
        <v>60</v>
      </c>
      <c r="P28" s="12">
        <v>38</v>
      </c>
      <c r="Q28" s="12">
        <v>45</v>
      </c>
      <c r="R28" s="12">
        <v>29</v>
      </c>
      <c r="S28" s="12">
        <v>21</v>
      </c>
      <c r="T28" s="12">
        <v>15</v>
      </c>
      <c r="U28" s="12">
        <v>29</v>
      </c>
      <c r="V28" s="12">
        <v>41</v>
      </c>
      <c r="W28" s="12">
        <v>16</v>
      </c>
      <c r="X28" s="12">
        <v>75</v>
      </c>
      <c r="Y28" s="12">
        <v>63</v>
      </c>
      <c r="Z28" s="12">
        <v>29</v>
      </c>
      <c r="AA28" s="12">
        <v>19</v>
      </c>
      <c r="AB28" s="12">
        <v>13</v>
      </c>
      <c r="AC28" s="12">
        <v>53</v>
      </c>
      <c r="AD28" s="12">
        <v>43</v>
      </c>
      <c r="AE28" s="12">
        <v>46</v>
      </c>
      <c r="AF28" s="12">
        <v>64</v>
      </c>
    </row>
    <row r="29" spans="1:32" ht="21.5" x14ac:dyDescent="0.35">
      <c r="A29" s="31"/>
      <c r="B29" s="13" t="s">
        <v>1165</v>
      </c>
      <c r="C29" s="14">
        <v>0.11</v>
      </c>
      <c r="D29" s="14">
        <v>0.15</v>
      </c>
      <c r="E29" s="14">
        <v>0.12</v>
      </c>
      <c r="F29" s="14">
        <v>0.22</v>
      </c>
      <c r="G29" s="14">
        <v>0.15</v>
      </c>
      <c r="H29" s="14">
        <v>0.15</v>
      </c>
      <c r="I29" s="14">
        <v>0.14000000000000001</v>
      </c>
      <c r="J29" s="14">
        <v>0.09</v>
      </c>
      <c r="K29" s="14">
        <v>0.05</v>
      </c>
      <c r="L29" s="14">
        <v>0.13</v>
      </c>
      <c r="M29" s="14">
        <v>0.09</v>
      </c>
      <c r="N29" s="14">
        <v>0.06</v>
      </c>
      <c r="O29" s="14">
        <v>0.12</v>
      </c>
      <c r="P29" s="14">
        <v>0.1</v>
      </c>
      <c r="Q29" s="14">
        <v>0.1</v>
      </c>
      <c r="R29" s="14">
        <v>0.14000000000000001</v>
      </c>
      <c r="S29" s="14">
        <v>0.05</v>
      </c>
      <c r="T29" s="14">
        <v>0.03</v>
      </c>
      <c r="U29" s="14">
        <v>0.15</v>
      </c>
      <c r="V29" s="14">
        <v>0.12</v>
      </c>
      <c r="W29" s="14">
        <v>0.09</v>
      </c>
      <c r="X29" s="14">
        <v>0.15</v>
      </c>
      <c r="Y29" s="14">
        <v>0.16</v>
      </c>
      <c r="Z29" s="14">
        <v>7.0000000000000007E-2</v>
      </c>
      <c r="AA29" s="14">
        <v>0.04</v>
      </c>
      <c r="AB29" s="14">
        <v>0.03</v>
      </c>
      <c r="AC29" s="14">
        <v>0.12</v>
      </c>
      <c r="AD29" s="14">
        <v>0.12</v>
      </c>
      <c r="AE29" s="14">
        <v>0.1</v>
      </c>
      <c r="AF29" s="14">
        <v>0.16</v>
      </c>
    </row>
    <row r="30" spans="1:32" ht="41.5" x14ac:dyDescent="0.35">
      <c r="A30" s="31"/>
      <c r="B30" s="11" t="s">
        <v>1166</v>
      </c>
      <c r="C30" s="12">
        <v>518</v>
      </c>
      <c r="D30" s="12">
        <v>29</v>
      </c>
      <c r="E30" s="12">
        <v>21</v>
      </c>
      <c r="F30" s="12">
        <v>9</v>
      </c>
      <c r="G30" s="12">
        <v>14</v>
      </c>
      <c r="H30" s="12">
        <v>24</v>
      </c>
      <c r="I30" s="12">
        <v>28</v>
      </c>
      <c r="J30" s="12">
        <v>4</v>
      </c>
      <c r="K30" s="12">
        <v>17</v>
      </c>
      <c r="L30" s="12">
        <v>11</v>
      </c>
      <c r="M30" s="12">
        <v>33</v>
      </c>
      <c r="N30" s="12">
        <v>13</v>
      </c>
      <c r="O30" s="12">
        <v>39</v>
      </c>
      <c r="P30" s="12">
        <v>9</v>
      </c>
      <c r="Q30" s="12">
        <v>8</v>
      </c>
      <c r="R30" s="12">
        <v>19</v>
      </c>
      <c r="S30" s="12">
        <v>27</v>
      </c>
      <c r="T30" s="12">
        <v>25</v>
      </c>
      <c r="U30" s="12">
        <v>11</v>
      </c>
      <c r="V30" s="12">
        <v>9</v>
      </c>
      <c r="W30" s="12">
        <v>9</v>
      </c>
      <c r="X30" s="12">
        <v>22</v>
      </c>
      <c r="Y30" s="12">
        <v>9</v>
      </c>
      <c r="Z30" s="12">
        <v>27</v>
      </c>
      <c r="AA30" s="12">
        <v>12</v>
      </c>
      <c r="AB30" s="12">
        <v>11</v>
      </c>
      <c r="AC30" s="12">
        <v>26</v>
      </c>
      <c r="AD30" s="12">
        <v>8</v>
      </c>
      <c r="AE30" s="12">
        <v>8</v>
      </c>
      <c r="AF30" s="12">
        <v>22</v>
      </c>
    </row>
    <row r="31" spans="1:32" ht="31.5" x14ac:dyDescent="0.35">
      <c r="A31" s="31"/>
      <c r="B31" s="13" t="s">
        <v>1167</v>
      </c>
      <c r="C31" s="14">
        <v>0.04</v>
      </c>
      <c r="D31" s="14">
        <v>0.05</v>
      </c>
      <c r="E31" s="14">
        <v>0.05</v>
      </c>
      <c r="F31" s="14">
        <v>0.02</v>
      </c>
      <c r="G31" s="14">
        <v>0.03</v>
      </c>
      <c r="H31" s="14">
        <v>0.04</v>
      </c>
      <c r="I31" s="14">
        <v>0.04</v>
      </c>
      <c r="J31" s="14">
        <v>0.03</v>
      </c>
      <c r="K31" s="14">
        <v>0.04</v>
      </c>
      <c r="L31" s="14">
        <v>0.03</v>
      </c>
      <c r="M31" s="14">
        <v>0.08</v>
      </c>
      <c r="N31" s="14">
        <v>0.03</v>
      </c>
      <c r="O31" s="14">
        <v>0.08</v>
      </c>
      <c r="P31" s="14">
        <v>0.02</v>
      </c>
      <c r="Q31" s="14">
        <v>0.02</v>
      </c>
      <c r="R31" s="14">
        <v>0.09</v>
      </c>
      <c r="S31" s="14">
        <v>0.06</v>
      </c>
      <c r="T31" s="14">
        <v>0.06</v>
      </c>
      <c r="U31" s="14">
        <v>0.06</v>
      </c>
      <c r="V31" s="14">
        <v>0.03</v>
      </c>
      <c r="W31" s="14">
        <v>0.05</v>
      </c>
      <c r="X31" s="14">
        <v>0.05</v>
      </c>
      <c r="Y31" s="14">
        <v>0.02</v>
      </c>
      <c r="Z31" s="14">
        <v>7.0000000000000007E-2</v>
      </c>
      <c r="AA31" s="14">
        <v>0.03</v>
      </c>
      <c r="AB31" s="14">
        <v>0.02</v>
      </c>
      <c r="AC31" s="14">
        <v>0.06</v>
      </c>
      <c r="AD31" s="14">
        <v>0.02</v>
      </c>
      <c r="AE31" s="14">
        <v>0.02</v>
      </c>
      <c r="AF31" s="14">
        <v>0.06</v>
      </c>
    </row>
    <row r="32" spans="1:32" ht="51.5" x14ac:dyDescent="0.35">
      <c r="A32" s="31"/>
      <c r="B32" s="11" t="s">
        <v>1168</v>
      </c>
      <c r="C32" s="12">
        <v>1230</v>
      </c>
      <c r="D32" s="12">
        <v>57</v>
      </c>
      <c r="E32" s="12">
        <v>34</v>
      </c>
      <c r="F32" s="12">
        <v>30</v>
      </c>
      <c r="G32" s="12">
        <v>96</v>
      </c>
      <c r="H32" s="12">
        <v>54</v>
      </c>
      <c r="I32" s="12">
        <v>67</v>
      </c>
      <c r="J32" s="12">
        <v>13</v>
      </c>
      <c r="K32" s="12">
        <v>46</v>
      </c>
      <c r="L32" s="12">
        <v>32</v>
      </c>
      <c r="M32" s="12">
        <v>53</v>
      </c>
      <c r="N32" s="12">
        <v>43</v>
      </c>
      <c r="O32" s="12">
        <v>68</v>
      </c>
      <c r="P32" s="12">
        <v>66</v>
      </c>
      <c r="Q32" s="12">
        <v>19</v>
      </c>
      <c r="R32" s="12">
        <v>24</v>
      </c>
      <c r="S32" s="12">
        <v>73</v>
      </c>
      <c r="T32" s="12">
        <v>64</v>
      </c>
      <c r="U32" s="12">
        <v>33</v>
      </c>
      <c r="V32" s="12">
        <v>16</v>
      </c>
      <c r="W32" s="12">
        <v>13</v>
      </c>
      <c r="X32" s="12">
        <v>108</v>
      </c>
      <c r="Y32" s="12">
        <v>54</v>
      </c>
      <c r="Z32" s="12">
        <v>42</v>
      </c>
      <c r="AA32" s="12">
        <v>23</v>
      </c>
      <c r="AB32" s="12">
        <v>22</v>
      </c>
      <c r="AC32" s="12">
        <v>34</v>
      </c>
      <c r="AD32" s="12">
        <v>59</v>
      </c>
      <c r="AE32" s="12">
        <v>95</v>
      </c>
      <c r="AF32" s="12">
        <v>74</v>
      </c>
    </row>
    <row r="33" spans="1:32" ht="41.5" x14ac:dyDescent="0.35">
      <c r="A33" s="31"/>
      <c r="B33" s="13" t="s">
        <v>1169</v>
      </c>
      <c r="C33" s="14">
        <v>0.11</v>
      </c>
      <c r="D33" s="14">
        <v>0.11</v>
      </c>
      <c r="E33" s="14">
        <v>0.08</v>
      </c>
      <c r="F33" s="14">
        <v>7.0000000000000007E-2</v>
      </c>
      <c r="G33" s="14">
        <v>0.21</v>
      </c>
      <c r="H33" s="14">
        <v>0.09</v>
      </c>
      <c r="I33" s="14">
        <v>0.09</v>
      </c>
      <c r="J33" s="14">
        <v>0.11</v>
      </c>
      <c r="K33" s="14">
        <v>0.11</v>
      </c>
      <c r="L33" s="14">
        <v>0.08</v>
      </c>
      <c r="M33" s="14">
        <v>0.12</v>
      </c>
      <c r="N33" s="14">
        <v>0.09</v>
      </c>
      <c r="O33" s="14">
        <v>0.14000000000000001</v>
      </c>
      <c r="P33" s="14">
        <v>0.17</v>
      </c>
      <c r="Q33" s="14">
        <v>0.04</v>
      </c>
      <c r="R33" s="14">
        <v>0.11</v>
      </c>
      <c r="S33" s="14">
        <v>0.17</v>
      </c>
      <c r="T33" s="14">
        <v>0.14000000000000001</v>
      </c>
      <c r="U33" s="14">
        <v>0.17</v>
      </c>
      <c r="V33" s="14">
        <v>0.05</v>
      </c>
      <c r="W33" s="14">
        <v>7.0000000000000007E-2</v>
      </c>
      <c r="X33" s="14">
        <v>0.22</v>
      </c>
      <c r="Y33" s="14">
        <v>0.14000000000000001</v>
      </c>
      <c r="Z33" s="14">
        <v>0.1</v>
      </c>
      <c r="AA33" s="14">
        <v>0.05</v>
      </c>
      <c r="AB33" s="14">
        <v>0.05</v>
      </c>
      <c r="AC33" s="14">
        <v>0.08</v>
      </c>
      <c r="AD33" s="14">
        <v>0.16</v>
      </c>
      <c r="AE33" s="14">
        <v>0.2</v>
      </c>
      <c r="AF33" s="14">
        <v>0.18</v>
      </c>
    </row>
    <row r="34" spans="1:32" ht="21.5" x14ac:dyDescent="0.35">
      <c r="A34" s="31"/>
      <c r="B34" s="11" t="s">
        <v>1170</v>
      </c>
      <c r="C34" s="12">
        <v>295</v>
      </c>
      <c r="D34" s="12">
        <v>11</v>
      </c>
      <c r="E34" s="12">
        <v>19</v>
      </c>
      <c r="F34" s="12">
        <v>11</v>
      </c>
      <c r="G34" s="12">
        <v>9</v>
      </c>
      <c r="H34" s="12">
        <v>19</v>
      </c>
      <c r="I34" s="12">
        <v>23</v>
      </c>
      <c r="J34" s="12">
        <v>4</v>
      </c>
      <c r="K34" s="12">
        <v>13</v>
      </c>
      <c r="L34" s="12">
        <v>16</v>
      </c>
      <c r="M34" s="12">
        <v>2</v>
      </c>
      <c r="N34" s="12">
        <v>7</v>
      </c>
      <c r="O34" s="12">
        <v>18</v>
      </c>
      <c r="P34" s="12">
        <v>19</v>
      </c>
      <c r="Q34" s="12">
        <v>7</v>
      </c>
      <c r="R34" s="12">
        <v>1</v>
      </c>
      <c r="S34" s="12">
        <v>13</v>
      </c>
      <c r="T34" s="12">
        <v>21</v>
      </c>
      <c r="U34" s="12">
        <v>2</v>
      </c>
      <c r="V34" s="12">
        <v>15</v>
      </c>
      <c r="W34" s="12">
        <v>4</v>
      </c>
      <c r="X34" s="12">
        <v>13</v>
      </c>
      <c r="Y34" s="12">
        <v>10</v>
      </c>
      <c r="Z34" s="12">
        <v>6</v>
      </c>
      <c r="AA34" s="12">
        <v>6</v>
      </c>
      <c r="AB34" s="12">
        <v>7</v>
      </c>
      <c r="AC34" s="12">
        <v>11</v>
      </c>
      <c r="AD34" s="12">
        <v>8</v>
      </c>
      <c r="AE34" s="12">
        <v>9</v>
      </c>
      <c r="AF34" s="12">
        <v>12</v>
      </c>
    </row>
    <row r="35" spans="1:32" ht="21.5" x14ac:dyDescent="0.35">
      <c r="A35" s="31"/>
      <c r="B35" s="13" t="s">
        <v>1171</v>
      </c>
      <c r="C35" s="14">
        <v>0.03</v>
      </c>
      <c r="D35" s="14">
        <v>0.02</v>
      </c>
      <c r="E35" s="14">
        <v>0.05</v>
      </c>
      <c r="F35" s="14">
        <v>0.03</v>
      </c>
      <c r="G35" s="14">
        <v>0.02</v>
      </c>
      <c r="H35" s="14">
        <v>0.03</v>
      </c>
      <c r="I35" s="14">
        <v>0.03</v>
      </c>
      <c r="J35" s="14">
        <v>0.04</v>
      </c>
      <c r="K35" s="14">
        <v>0.03</v>
      </c>
      <c r="L35" s="14">
        <v>0.04</v>
      </c>
      <c r="M35" s="15" t="s">
        <v>333</v>
      </c>
      <c r="N35" s="14">
        <v>0.02</v>
      </c>
      <c r="O35" s="14">
        <v>0.04</v>
      </c>
      <c r="P35" s="14">
        <v>0.05</v>
      </c>
      <c r="Q35" s="14">
        <v>0.01</v>
      </c>
      <c r="R35" s="15" t="s">
        <v>333</v>
      </c>
      <c r="S35" s="14">
        <v>0.03</v>
      </c>
      <c r="T35" s="14">
        <v>0.05</v>
      </c>
      <c r="U35" s="14">
        <v>0.01</v>
      </c>
      <c r="V35" s="14">
        <v>0.05</v>
      </c>
      <c r="W35" s="14">
        <v>0.02</v>
      </c>
      <c r="X35" s="14">
        <v>0.03</v>
      </c>
      <c r="Y35" s="14">
        <v>0.03</v>
      </c>
      <c r="Z35" s="14">
        <v>0.02</v>
      </c>
      <c r="AA35" s="14">
        <v>0.01</v>
      </c>
      <c r="AB35" s="14">
        <v>0.01</v>
      </c>
      <c r="AC35" s="14">
        <v>0.02</v>
      </c>
      <c r="AD35" s="14">
        <v>0.02</v>
      </c>
      <c r="AE35" s="14">
        <v>0.02</v>
      </c>
      <c r="AF35" s="14">
        <v>0.03</v>
      </c>
    </row>
    <row r="36" spans="1:32" x14ac:dyDescent="0.35">
      <c r="A36" s="31"/>
      <c r="B36" s="11" t="s">
        <v>1172</v>
      </c>
      <c r="C36" s="12">
        <v>2229</v>
      </c>
      <c r="D36" s="12">
        <v>78</v>
      </c>
      <c r="E36" s="12">
        <v>99</v>
      </c>
      <c r="F36" s="12">
        <v>86</v>
      </c>
      <c r="G36" s="12">
        <v>51</v>
      </c>
      <c r="H36" s="12">
        <v>74</v>
      </c>
      <c r="I36" s="12">
        <v>102</v>
      </c>
      <c r="J36" s="12">
        <v>28</v>
      </c>
      <c r="K36" s="12">
        <v>94</v>
      </c>
      <c r="L36" s="12">
        <v>70</v>
      </c>
      <c r="M36" s="12">
        <v>45</v>
      </c>
      <c r="N36" s="12">
        <v>122</v>
      </c>
      <c r="O36" s="12">
        <v>74</v>
      </c>
      <c r="P36" s="12">
        <v>99</v>
      </c>
      <c r="Q36" s="12">
        <v>57</v>
      </c>
      <c r="R36" s="12">
        <v>29</v>
      </c>
      <c r="S36" s="12">
        <v>89</v>
      </c>
      <c r="T36" s="12">
        <v>105</v>
      </c>
      <c r="U36" s="12">
        <v>11</v>
      </c>
      <c r="V36" s="12">
        <v>110</v>
      </c>
      <c r="W36" s="12">
        <v>26</v>
      </c>
      <c r="X36" s="12">
        <v>27</v>
      </c>
      <c r="Y36" s="12">
        <v>69</v>
      </c>
      <c r="Z36" s="12">
        <v>162</v>
      </c>
      <c r="AA36" s="12">
        <v>117</v>
      </c>
      <c r="AB36" s="12">
        <v>168</v>
      </c>
      <c r="AC36" s="12">
        <v>85</v>
      </c>
      <c r="AD36" s="12">
        <v>84</v>
      </c>
      <c r="AE36" s="12">
        <v>74</v>
      </c>
      <c r="AF36" s="12">
        <v>23</v>
      </c>
    </row>
    <row r="37" spans="1:32" ht="21.5" x14ac:dyDescent="0.35">
      <c r="A37" s="31"/>
      <c r="B37" s="13" t="s">
        <v>1173</v>
      </c>
      <c r="C37" s="14">
        <v>0.19</v>
      </c>
      <c r="D37" s="14">
        <v>0.14000000000000001</v>
      </c>
      <c r="E37" s="14">
        <v>0.24</v>
      </c>
      <c r="F37" s="14">
        <v>0.21</v>
      </c>
      <c r="G37" s="14">
        <v>0.11</v>
      </c>
      <c r="H37" s="14">
        <v>0.13</v>
      </c>
      <c r="I37" s="14">
        <v>0.14000000000000001</v>
      </c>
      <c r="J37" s="14">
        <v>0.22</v>
      </c>
      <c r="K37" s="14">
        <v>0.23</v>
      </c>
      <c r="L37" s="14">
        <v>0.18</v>
      </c>
      <c r="M37" s="14">
        <v>0.1</v>
      </c>
      <c r="N37" s="14">
        <v>0.27</v>
      </c>
      <c r="O37" s="14">
        <v>0.15</v>
      </c>
      <c r="P37" s="14">
        <v>0.25</v>
      </c>
      <c r="Q37" s="14">
        <v>0.13</v>
      </c>
      <c r="R37" s="14">
        <v>0.14000000000000001</v>
      </c>
      <c r="S37" s="14">
        <v>0.2</v>
      </c>
      <c r="T37" s="14">
        <v>0.23</v>
      </c>
      <c r="U37" s="14">
        <v>0.06</v>
      </c>
      <c r="V37" s="14">
        <v>0.33</v>
      </c>
      <c r="W37" s="14">
        <v>0.14000000000000001</v>
      </c>
      <c r="X37" s="14">
        <v>0.06</v>
      </c>
      <c r="Y37" s="14">
        <v>0.18</v>
      </c>
      <c r="Z37" s="14">
        <v>0.41</v>
      </c>
      <c r="AA37" s="14">
        <v>0.28000000000000003</v>
      </c>
      <c r="AB37" s="14">
        <v>0.37</v>
      </c>
      <c r="AC37" s="14">
        <v>0.19</v>
      </c>
      <c r="AD37" s="14">
        <v>0.23</v>
      </c>
      <c r="AE37" s="14">
        <v>0.15</v>
      </c>
      <c r="AF37" s="14">
        <v>0.06</v>
      </c>
    </row>
    <row r="38" spans="1:32" ht="21.5" x14ac:dyDescent="0.35">
      <c r="A38" s="31"/>
      <c r="B38" s="11" t="s">
        <v>1174</v>
      </c>
      <c r="C38" s="12">
        <v>1453</v>
      </c>
      <c r="D38" s="12">
        <v>56</v>
      </c>
      <c r="E38" s="12">
        <v>82</v>
      </c>
      <c r="F38" s="12">
        <v>38</v>
      </c>
      <c r="G38" s="12">
        <v>81</v>
      </c>
      <c r="H38" s="12">
        <v>85</v>
      </c>
      <c r="I38" s="12">
        <v>98</v>
      </c>
      <c r="J38" s="12">
        <v>13</v>
      </c>
      <c r="K38" s="12">
        <v>73</v>
      </c>
      <c r="L38" s="12">
        <v>87</v>
      </c>
      <c r="M38" s="12">
        <v>38</v>
      </c>
      <c r="N38" s="12">
        <v>84</v>
      </c>
      <c r="O38" s="12">
        <v>27</v>
      </c>
      <c r="P38" s="12">
        <v>52</v>
      </c>
      <c r="Q38" s="12">
        <v>72</v>
      </c>
      <c r="R38" s="12">
        <v>18</v>
      </c>
      <c r="S38" s="12">
        <v>63</v>
      </c>
      <c r="T38" s="12">
        <v>92</v>
      </c>
      <c r="U38" s="12">
        <v>11</v>
      </c>
      <c r="V38" s="12">
        <v>45</v>
      </c>
      <c r="W38" s="12">
        <v>37</v>
      </c>
      <c r="X38" s="12">
        <v>51</v>
      </c>
      <c r="Y38" s="12">
        <v>44</v>
      </c>
      <c r="Z38" s="12">
        <v>10</v>
      </c>
      <c r="AA38" s="12">
        <v>96</v>
      </c>
      <c r="AB38" s="12">
        <v>90</v>
      </c>
      <c r="AC38" s="12">
        <v>53</v>
      </c>
      <c r="AD38" s="12">
        <v>46</v>
      </c>
      <c r="AE38" s="12">
        <v>46</v>
      </c>
      <c r="AF38" s="12">
        <v>24</v>
      </c>
    </row>
    <row r="39" spans="1:32" ht="21.5" x14ac:dyDescent="0.35">
      <c r="A39" s="31"/>
      <c r="B39" s="13" t="s">
        <v>1175</v>
      </c>
      <c r="C39" s="14">
        <v>0.12</v>
      </c>
      <c r="D39" s="14">
        <v>0.1</v>
      </c>
      <c r="E39" s="14">
        <v>0.2</v>
      </c>
      <c r="F39" s="14">
        <v>0.09</v>
      </c>
      <c r="G39" s="14">
        <v>0.18</v>
      </c>
      <c r="H39" s="14">
        <v>0.14000000000000001</v>
      </c>
      <c r="I39" s="14">
        <v>0.14000000000000001</v>
      </c>
      <c r="J39" s="14">
        <v>0.11</v>
      </c>
      <c r="K39" s="14">
        <v>0.18</v>
      </c>
      <c r="L39" s="14">
        <v>0.23</v>
      </c>
      <c r="M39" s="14">
        <v>0.09</v>
      </c>
      <c r="N39" s="14">
        <v>0.18</v>
      </c>
      <c r="O39" s="14">
        <v>0.06</v>
      </c>
      <c r="P39" s="14">
        <v>0.13</v>
      </c>
      <c r="Q39" s="14">
        <v>0.16</v>
      </c>
      <c r="R39" s="14">
        <v>0.09</v>
      </c>
      <c r="S39" s="14">
        <v>0.14000000000000001</v>
      </c>
      <c r="T39" s="14">
        <v>0.2</v>
      </c>
      <c r="U39" s="14">
        <v>0.05</v>
      </c>
      <c r="V39" s="14">
        <v>0.14000000000000001</v>
      </c>
      <c r="W39" s="14">
        <v>0.2</v>
      </c>
      <c r="X39" s="14">
        <v>0.1</v>
      </c>
      <c r="Y39" s="14">
        <v>0.12</v>
      </c>
      <c r="Z39" s="14">
        <v>0.03</v>
      </c>
      <c r="AA39" s="14">
        <v>0.23</v>
      </c>
      <c r="AB39" s="14">
        <v>0.2</v>
      </c>
      <c r="AC39" s="14">
        <v>0.12</v>
      </c>
      <c r="AD39" s="14">
        <v>0.13</v>
      </c>
      <c r="AE39" s="14">
        <v>0.09</v>
      </c>
      <c r="AF39" s="14">
        <v>0.06</v>
      </c>
    </row>
    <row r="40" spans="1:32" ht="21.5" x14ac:dyDescent="0.35">
      <c r="A40" s="31"/>
      <c r="B40" s="11" t="s">
        <v>1198</v>
      </c>
      <c r="C40" s="12">
        <v>2376</v>
      </c>
      <c r="D40" s="12">
        <v>117</v>
      </c>
      <c r="E40" s="12">
        <v>57</v>
      </c>
      <c r="F40" s="12">
        <v>77</v>
      </c>
      <c r="G40" s="12">
        <v>22</v>
      </c>
      <c r="H40" s="12">
        <v>110</v>
      </c>
      <c r="I40" s="12">
        <v>130</v>
      </c>
      <c r="J40" s="12">
        <v>20</v>
      </c>
      <c r="K40" s="12">
        <v>53</v>
      </c>
      <c r="L40" s="12">
        <v>46</v>
      </c>
      <c r="M40" s="12">
        <v>113</v>
      </c>
      <c r="N40" s="12">
        <v>101</v>
      </c>
      <c r="O40" s="12">
        <v>90</v>
      </c>
      <c r="P40" s="12">
        <v>69</v>
      </c>
      <c r="Q40" s="12">
        <v>169</v>
      </c>
      <c r="R40" s="12">
        <v>46</v>
      </c>
      <c r="S40" s="12">
        <v>52</v>
      </c>
      <c r="T40" s="12">
        <v>58</v>
      </c>
      <c r="U40" s="12">
        <v>34</v>
      </c>
      <c r="V40" s="12">
        <v>54</v>
      </c>
      <c r="W40" s="12">
        <v>39</v>
      </c>
      <c r="X40" s="12">
        <v>15</v>
      </c>
      <c r="Y40" s="12">
        <v>70</v>
      </c>
      <c r="Z40" s="12">
        <v>68</v>
      </c>
      <c r="AA40" s="12">
        <v>89</v>
      </c>
      <c r="AB40" s="12">
        <v>111</v>
      </c>
      <c r="AC40" s="12">
        <v>80</v>
      </c>
      <c r="AD40" s="12">
        <v>67</v>
      </c>
      <c r="AE40" s="12">
        <v>24</v>
      </c>
      <c r="AF40" s="12">
        <v>18</v>
      </c>
    </row>
    <row r="41" spans="1:32" x14ac:dyDescent="0.35">
      <c r="A41" s="31"/>
      <c r="B41" s="13" t="s">
        <v>1199</v>
      </c>
      <c r="C41" s="14">
        <v>0.2</v>
      </c>
      <c r="D41" s="14">
        <v>0.22</v>
      </c>
      <c r="E41" s="14">
        <v>0.14000000000000001</v>
      </c>
      <c r="F41" s="14">
        <v>0.19</v>
      </c>
      <c r="G41" s="14">
        <v>0.05</v>
      </c>
      <c r="H41" s="14">
        <v>0.19</v>
      </c>
      <c r="I41" s="14">
        <v>0.18</v>
      </c>
      <c r="J41" s="14">
        <v>0.16</v>
      </c>
      <c r="K41" s="14">
        <v>0.13</v>
      </c>
      <c r="L41" s="14">
        <v>0.12</v>
      </c>
      <c r="M41" s="14">
        <v>0.26</v>
      </c>
      <c r="N41" s="14">
        <v>0.22</v>
      </c>
      <c r="O41" s="14">
        <v>0.18</v>
      </c>
      <c r="P41" s="14">
        <v>0.17</v>
      </c>
      <c r="Q41" s="14">
        <v>0.38</v>
      </c>
      <c r="R41" s="14">
        <v>0.22</v>
      </c>
      <c r="S41" s="14">
        <v>0.12</v>
      </c>
      <c r="T41" s="14">
        <v>0.13</v>
      </c>
      <c r="U41" s="14">
        <v>0.18</v>
      </c>
      <c r="V41" s="14">
        <v>0.16</v>
      </c>
      <c r="W41" s="14">
        <v>0.21</v>
      </c>
      <c r="X41" s="14">
        <v>0.03</v>
      </c>
      <c r="Y41" s="14">
        <v>0.18</v>
      </c>
      <c r="Z41" s="14">
        <v>0.17</v>
      </c>
      <c r="AA41" s="14">
        <v>0.21</v>
      </c>
      <c r="AB41" s="14">
        <v>0.25</v>
      </c>
      <c r="AC41" s="14">
        <v>0.18</v>
      </c>
      <c r="AD41" s="14">
        <v>0.18</v>
      </c>
      <c r="AE41" s="14">
        <v>0.05</v>
      </c>
      <c r="AF41" s="14">
        <v>0.05</v>
      </c>
    </row>
  </sheetData>
  <mergeCells count="9">
    <mergeCell ref="H3:L3"/>
    <mergeCell ref="C8:AF8"/>
    <mergeCell ref="B3:F3"/>
    <mergeCell ref="B5:F5"/>
    <mergeCell ref="A10:A41"/>
    <mergeCell ref="H5:L5"/>
    <mergeCell ref="B10:B11"/>
    <mergeCell ref="H4:L4"/>
    <mergeCell ref="B4:F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1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229</v>
      </c>
      <c r="C3" s="30"/>
      <c r="D3" s="30"/>
      <c r="E3" s="30"/>
      <c r="F3" s="30"/>
      <c r="H3" s="30" t="s">
        <v>230</v>
      </c>
      <c r="I3" s="30"/>
      <c r="J3" s="30"/>
      <c r="K3" s="30"/>
      <c r="L3" s="30"/>
    </row>
    <row r="4" spans="1:32" ht="27" customHeight="1" x14ac:dyDescent="0.35">
      <c r="B4" s="30"/>
      <c r="C4" s="30"/>
      <c r="D4" s="30"/>
      <c r="E4" s="30"/>
      <c r="F4" s="30"/>
      <c r="H4" s="30"/>
      <c r="I4" s="30"/>
      <c r="J4" s="30"/>
      <c r="K4" s="30"/>
      <c r="L4" s="30"/>
    </row>
    <row r="5" spans="1:32" ht="12" customHeight="1" x14ac:dyDescent="0.35">
      <c r="B5" s="30" t="s">
        <v>1196</v>
      </c>
      <c r="C5" s="30"/>
      <c r="D5" s="30"/>
      <c r="E5" s="30"/>
      <c r="F5" s="30"/>
      <c r="H5" s="30" t="s">
        <v>1197</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11730</v>
      </c>
      <c r="D10" s="10">
        <v>537</v>
      </c>
      <c r="E10" s="10">
        <v>414</v>
      </c>
      <c r="F10" s="10">
        <v>406</v>
      </c>
      <c r="G10" s="10">
        <v>451</v>
      </c>
      <c r="H10" s="10">
        <v>591</v>
      </c>
      <c r="I10" s="10">
        <v>715</v>
      </c>
      <c r="J10" s="10">
        <v>124</v>
      </c>
      <c r="K10" s="10">
        <v>414</v>
      </c>
      <c r="L10" s="10">
        <v>383</v>
      </c>
      <c r="M10" s="10">
        <v>440</v>
      </c>
      <c r="N10" s="10">
        <v>458</v>
      </c>
      <c r="O10" s="10">
        <v>489</v>
      </c>
      <c r="P10" s="10">
        <v>395</v>
      </c>
      <c r="Q10" s="10">
        <v>449</v>
      </c>
      <c r="R10" s="10">
        <v>207</v>
      </c>
      <c r="S10" s="10">
        <v>433</v>
      </c>
      <c r="T10" s="10">
        <v>453</v>
      </c>
      <c r="U10" s="10">
        <v>195</v>
      </c>
      <c r="V10" s="10">
        <v>329</v>
      </c>
      <c r="W10" s="10">
        <v>183</v>
      </c>
      <c r="X10" s="10">
        <v>489</v>
      </c>
      <c r="Y10" s="10">
        <v>386</v>
      </c>
      <c r="Z10" s="10">
        <v>399</v>
      </c>
      <c r="AA10" s="10">
        <v>420</v>
      </c>
      <c r="AB10" s="10">
        <v>450</v>
      </c>
      <c r="AC10" s="10">
        <v>446</v>
      </c>
      <c r="AD10" s="10">
        <v>366</v>
      </c>
      <c r="AE10" s="10">
        <v>479</v>
      </c>
      <c r="AF10" s="10">
        <v>399</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1176</v>
      </c>
      <c r="C12" s="12">
        <v>864</v>
      </c>
      <c r="D12" s="12">
        <v>35</v>
      </c>
      <c r="E12" s="12">
        <v>15</v>
      </c>
      <c r="F12" s="12">
        <v>24</v>
      </c>
      <c r="G12" s="12">
        <v>15</v>
      </c>
      <c r="H12" s="12">
        <v>34</v>
      </c>
      <c r="I12" s="12">
        <v>44</v>
      </c>
      <c r="J12" s="12">
        <v>10</v>
      </c>
      <c r="K12" s="12">
        <v>26</v>
      </c>
      <c r="L12" s="12">
        <v>14</v>
      </c>
      <c r="M12" s="12">
        <v>87</v>
      </c>
      <c r="N12" s="12">
        <v>27</v>
      </c>
      <c r="O12" s="12">
        <v>33</v>
      </c>
      <c r="P12" s="12">
        <v>16</v>
      </c>
      <c r="Q12" s="12">
        <v>50</v>
      </c>
      <c r="R12" s="12">
        <v>22</v>
      </c>
      <c r="S12" s="12">
        <v>16</v>
      </c>
      <c r="T12" s="12">
        <v>10</v>
      </c>
      <c r="U12" s="12">
        <v>19</v>
      </c>
      <c r="V12" s="12">
        <v>13</v>
      </c>
      <c r="W12" s="12">
        <v>17</v>
      </c>
      <c r="X12" s="12">
        <v>42</v>
      </c>
      <c r="Y12" s="12">
        <v>27</v>
      </c>
      <c r="Z12" s="12">
        <v>34</v>
      </c>
      <c r="AA12" s="12">
        <v>40</v>
      </c>
      <c r="AB12" s="12">
        <v>19</v>
      </c>
      <c r="AC12" s="12">
        <v>31</v>
      </c>
      <c r="AD12" s="12">
        <v>11</v>
      </c>
      <c r="AE12" s="12">
        <v>55</v>
      </c>
      <c r="AF12" s="12">
        <v>26</v>
      </c>
    </row>
    <row r="13" spans="1:32" x14ac:dyDescent="0.35">
      <c r="A13" s="31"/>
      <c r="B13" s="13" t="s">
        <v>1177</v>
      </c>
      <c r="C13" s="14">
        <v>7.0000000000000007E-2</v>
      </c>
      <c r="D13" s="14">
        <v>0.06</v>
      </c>
      <c r="E13" s="14">
        <v>0.03</v>
      </c>
      <c r="F13" s="14">
        <v>0.06</v>
      </c>
      <c r="G13" s="14">
        <v>0.03</v>
      </c>
      <c r="H13" s="14">
        <v>0.06</v>
      </c>
      <c r="I13" s="14">
        <v>0.06</v>
      </c>
      <c r="J13" s="14">
        <v>0.08</v>
      </c>
      <c r="K13" s="14">
        <v>0.06</v>
      </c>
      <c r="L13" s="14">
        <v>0.04</v>
      </c>
      <c r="M13" s="14">
        <v>0.2</v>
      </c>
      <c r="N13" s="14">
        <v>0.06</v>
      </c>
      <c r="O13" s="14">
        <v>7.0000000000000007E-2</v>
      </c>
      <c r="P13" s="14">
        <v>0.04</v>
      </c>
      <c r="Q13" s="14">
        <v>0.11</v>
      </c>
      <c r="R13" s="14">
        <v>0.11</v>
      </c>
      <c r="S13" s="14">
        <v>0.04</v>
      </c>
      <c r="T13" s="14">
        <v>0.02</v>
      </c>
      <c r="U13" s="14">
        <v>0.1</v>
      </c>
      <c r="V13" s="14">
        <v>0.04</v>
      </c>
      <c r="W13" s="14">
        <v>0.09</v>
      </c>
      <c r="X13" s="14">
        <v>0.08</v>
      </c>
      <c r="Y13" s="14">
        <v>7.0000000000000007E-2</v>
      </c>
      <c r="Z13" s="14">
        <v>0.09</v>
      </c>
      <c r="AA13" s="14">
        <v>0.1</v>
      </c>
      <c r="AB13" s="14">
        <v>0.04</v>
      </c>
      <c r="AC13" s="14">
        <v>7.0000000000000007E-2</v>
      </c>
      <c r="AD13" s="14">
        <v>0.03</v>
      </c>
      <c r="AE13" s="14">
        <v>0.12</v>
      </c>
      <c r="AF13" s="14">
        <v>0.06</v>
      </c>
    </row>
    <row r="14" spans="1:32" x14ac:dyDescent="0.35">
      <c r="A14" s="31"/>
      <c r="B14" s="11" t="s">
        <v>1178</v>
      </c>
      <c r="C14" s="12">
        <v>8490</v>
      </c>
      <c r="D14" s="12">
        <v>385</v>
      </c>
      <c r="E14" s="12">
        <v>342</v>
      </c>
      <c r="F14" s="12">
        <v>305</v>
      </c>
      <c r="G14" s="12">
        <v>414</v>
      </c>
      <c r="H14" s="12">
        <v>447</v>
      </c>
      <c r="I14" s="12">
        <v>541</v>
      </c>
      <c r="J14" s="12">
        <v>94</v>
      </c>
      <c r="K14" s="12">
        <v>335</v>
      </c>
      <c r="L14" s="12">
        <v>323</v>
      </c>
      <c r="M14" s="12">
        <v>240</v>
      </c>
      <c r="N14" s="12">
        <v>330</v>
      </c>
      <c r="O14" s="12">
        <v>366</v>
      </c>
      <c r="P14" s="12">
        <v>310</v>
      </c>
      <c r="Q14" s="12">
        <v>231</v>
      </c>
      <c r="R14" s="12">
        <v>140</v>
      </c>
      <c r="S14" s="12">
        <v>366</v>
      </c>
      <c r="T14" s="12">
        <v>385</v>
      </c>
      <c r="U14" s="12">
        <v>141</v>
      </c>
      <c r="V14" s="12">
        <v>262</v>
      </c>
      <c r="W14" s="12">
        <v>128</v>
      </c>
      <c r="X14" s="12">
        <v>433</v>
      </c>
      <c r="Y14" s="12">
        <v>290</v>
      </c>
      <c r="Z14" s="12">
        <v>297</v>
      </c>
      <c r="AA14" s="12">
        <v>290</v>
      </c>
      <c r="AB14" s="12">
        <v>321</v>
      </c>
      <c r="AC14" s="12">
        <v>335</v>
      </c>
      <c r="AD14" s="12">
        <v>287</v>
      </c>
      <c r="AE14" s="12">
        <v>400</v>
      </c>
      <c r="AF14" s="12">
        <v>355</v>
      </c>
    </row>
    <row r="15" spans="1:32" x14ac:dyDescent="0.35">
      <c r="A15" s="31"/>
      <c r="B15" s="13" t="s">
        <v>1179</v>
      </c>
      <c r="C15" s="14">
        <v>0.73</v>
      </c>
      <c r="D15" s="14">
        <v>0.72</v>
      </c>
      <c r="E15" s="14">
        <v>0.83000000000000007</v>
      </c>
      <c r="F15" s="14">
        <v>0.75</v>
      </c>
      <c r="G15" s="14">
        <v>0.92</v>
      </c>
      <c r="H15" s="14">
        <v>0.76</v>
      </c>
      <c r="I15" s="14">
        <v>0.76</v>
      </c>
      <c r="J15" s="14">
        <v>0.76</v>
      </c>
      <c r="K15" s="14">
        <v>0.81</v>
      </c>
      <c r="L15" s="14">
        <v>0.84</v>
      </c>
      <c r="M15" s="14">
        <v>0.54</v>
      </c>
      <c r="N15" s="14">
        <v>0.72</v>
      </c>
      <c r="O15" s="14">
        <v>0.75</v>
      </c>
      <c r="P15" s="14">
        <v>0.79</v>
      </c>
      <c r="Q15" s="14">
        <v>0.51</v>
      </c>
      <c r="R15" s="14">
        <v>0.67</v>
      </c>
      <c r="S15" s="14">
        <v>0.84</v>
      </c>
      <c r="T15" s="14">
        <v>0.85</v>
      </c>
      <c r="U15" s="14">
        <v>0.72</v>
      </c>
      <c r="V15" s="14">
        <v>0.8</v>
      </c>
      <c r="W15" s="14">
        <v>0.70000000000000007</v>
      </c>
      <c r="X15" s="14">
        <v>0.89</v>
      </c>
      <c r="Y15" s="14">
        <v>0.75</v>
      </c>
      <c r="Z15" s="14">
        <v>0.74</v>
      </c>
      <c r="AA15" s="14">
        <v>0.69000000000000006</v>
      </c>
      <c r="AB15" s="14">
        <v>0.71</v>
      </c>
      <c r="AC15" s="14">
        <v>0.75</v>
      </c>
      <c r="AD15" s="14">
        <v>0.79</v>
      </c>
      <c r="AE15" s="14">
        <v>0.83000000000000007</v>
      </c>
      <c r="AF15" s="14">
        <v>0.89</v>
      </c>
    </row>
    <row r="16" spans="1:32" x14ac:dyDescent="0.35">
      <c r="A16" s="31"/>
      <c r="B16" s="11" t="s">
        <v>1180</v>
      </c>
      <c r="C16" s="12">
        <v>2376</v>
      </c>
      <c r="D16" s="12">
        <v>117</v>
      </c>
      <c r="E16" s="12">
        <v>57</v>
      </c>
      <c r="F16" s="12">
        <v>77</v>
      </c>
      <c r="G16" s="12">
        <v>22</v>
      </c>
      <c r="H16" s="12">
        <v>110</v>
      </c>
      <c r="I16" s="12">
        <v>130</v>
      </c>
      <c r="J16" s="12">
        <v>20</v>
      </c>
      <c r="K16" s="12">
        <v>53</v>
      </c>
      <c r="L16" s="12">
        <v>46</v>
      </c>
      <c r="M16" s="12">
        <v>113</v>
      </c>
      <c r="N16" s="12">
        <v>101</v>
      </c>
      <c r="O16" s="12">
        <v>90</v>
      </c>
      <c r="P16" s="12">
        <v>69</v>
      </c>
      <c r="Q16" s="12">
        <v>169</v>
      </c>
      <c r="R16" s="12">
        <v>46</v>
      </c>
      <c r="S16" s="12">
        <v>52</v>
      </c>
      <c r="T16" s="12">
        <v>58</v>
      </c>
      <c r="U16" s="12">
        <v>34</v>
      </c>
      <c r="V16" s="12">
        <v>54</v>
      </c>
      <c r="W16" s="12">
        <v>39</v>
      </c>
      <c r="X16" s="12">
        <v>15</v>
      </c>
      <c r="Y16" s="12">
        <v>70</v>
      </c>
      <c r="Z16" s="12">
        <v>68</v>
      </c>
      <c r="AA16" s="12">
        <v>89</v>
      </c>
      <c r="AB16" s="12">
        <v>111</v>
      </c>
      <c r="AC16" s="12">
        <v>80</v>
      </c>
      <c r="AD16" s="12">
        <v>67</v>
      </c>
      <c r="AE16" s="12">
        <v>24</v>
      </c>
      <c r="AF16" s="12">
        <v>18</v>
      </c>
    </row>
    <row r="17" spans="1:32" x14ac:dyDescent="0.35">
      <c r="A17" s="31"/>
      <c r="B17" s="13" t="s">
        <v>1181</v>
      </c>
      <c r="C17" s="14">
        <v>0.2</v>
      </c>
      <c r="D17" s="14">
        <v>0.22</v>
      </c>
      <c r="E17" s="14">
        <v>0.14000000000000001</v>
      </c>
      <c r="F17" s="14">
        <v>0.19</v>
      </c>
      <c r="G17" s="14">
        <v>0.05</v>
      </c>
      <c r="H17" s="14">
        <v>0.18</v>
      </c>
      <c r="I17" s="14">
        <v>0.18</v>
      </c>
      <c r="J17" s="14">
        <v>0.16</v>
      </c>
      <c r="K17" s="14">
        <v>0.13</v>
      </c>
      <c r="L17" s="14">
        <v>0.12</v>
      </c>
      <c r="M17" s="14">
        <v>0.26</v>
      </c>
      <c r="N17" s="14">
        <v>0.22</v>
      </c>
      <c r="O17" s="14">
        <v>0.18</v>
      </c>
      <c r="P17" s="14">
        <v>0.17</v>
      </c>
      <c r="Q17" s="14">
        <v>0.38</v>
      </c>
      <c r="R17" s="14">
        <v>0.22</v>
      </c>
      <c r="S17" s="14">
        <v>0.12</v>
      </c>
      <c r="T17" s="14">
        <v>0.13</v>
      </c>
      <c r="U17" s="14">
        <v>0.18</v>
      </c>
      <c r="V17" s="14">
        <v>0.16</v>
      </c>
      <c r="W17" s="14">
        <v>0.21</v>
      </c>
      <c r="X17" s="14">
        <v>0.03</v>
      </c>
      <c r="Y17" s="14">
        <v>0.18</v>
      </c>
      <c r="Z17" s="14">
        <v>0.17</v>
      </c>
      <c r="AA17" s="14">
        <v>0.21</v>
      </c>
      <c r="AB17" s="14">
        <v>0.25</v>
      </c>
      <c r="AC17" s="14">
        <v>0.18</v>
      </c>
      <c r="AD17" s="14">
        <v>0.18</v>
      </c>
      <c r="AE17" s="14">
        <v>0.05</v>
      </c>
      <c r="AF17" s="14">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231</v>
      </c>
      <c r="C3" s="30"/>
      <c r="D3" s="30"/>
      <c r="E3" s="30"/>
      <c r="F3" s="30"/>
      <c r="H3" s="30" t="s">
        <v>232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1200</v>
      </c>
      <c r="C12" s="12">
        <v>6676</v>
      </c>
      <c r="D12" s="12">
        <v>298</v>
      </c>
      <c r="E12" s="12">
        <v>173</v>
      </c>
      <c r="F12" s="12">
        <v>259</v>
      </c>
      <c r="G12" s="12">
        <v>292</v>
      </c>
      <c r="H12" s="12">
        <v>484</v>
      </c>
      <c r="I12" s="12">
        <v>598</v>
      </c>
      <c r="J12" s="12">
        <v>114</v>
      </c>
      <c r="K12" s="12">
        <v>324</v>
      </c>
      <c r="L12" s="12">
        <v>173</v>
      </c>
      <c r="M12" s="12">
        <v>174</v>
      </c>
      <c r="N12" s="12">
        <v>154</v>
      </c>
      <c r="O12" s="12">
        <v>328</v>
      </c>
      <c r="P12" s="12">
        <v>202</v>
      </c>
      <c r="Q12" s="12">
        <v>157</v>
      </c>
      <c r="R12" s="12">
        <v>99</v>
      </c>
      <c r="S12" s="12">
        <v>296</v>
      </c>
      <c r="T12" s="12">
        <v>270</v>
      </c>
      <c r="U12" s="12">
        <v>88</v>
      </c>
      <c r="V12" s="12">
        <v>218</v>
      </c>
      <c r="W12" s="12">
        <v>75</v>
      </c>
      <c r="X12" s="12">
        <v>323</v>
      </c>
      <c r="Y12" s="12">
        <v>191</v>
      </c>
      <c r="Z12" s="12">
        <v>178</v>
      </c>
      <c r="AA12" s="12">
        <v>144</v>
      </c>
      <c r="AB12" s="12">
        <v>168</v>
      </c>
      <c r="AC12" s="12">
        <v>169</v>
      </c>
      <c r="AD12" s="12">
        <v>132</v>
      </c>
      <c r="AE12" s="12">
        <v>369</v>
      </c>
      <c r="AF12" s="12">
        <v>397</v>
      </c>
    </row>
    <row r="13" spans="1:32" x14ac:dyDescent="0.35">
      <c r="A13" s="31"/>
      <c r="B13" s="13" t="s">
        <v>1200</v>
      </c>
      <c r="C13" s="14">
        <v>0.25</v>
      </c>
      <c r="D13" s="14">
        <v>0.28999999999999998</v>
      </c>
      <c r="E13" s="14">
        <v>0.17</v>
      </c>
      <c r="F13" s="14">
        <v>0.25</v>
      </c>
      <c r="G13" s="14">
        <v>0.28999999999999998</v>
      </c>
      <c r="H13" s="14">
        <v>0.39</v>
      </c>
      <c r="I13" s="14">
        <v>0.39</v>
      </c>
      <c r="J13" s="14">
        <v>0.38</v>
      </c>
      <c r="K13" s="14">
        <v>0.32</v>
      </c>
      <c r="L13" s="14">
        <v>0.17</v>
      </c>
      <c r="M13" s="14">
        <v>0.17</v>
      </c>
      <c r="N13" s="14">
        <v>0.15</v>
      </c>
      <c r="O13" s="14">
        <v>0.33</v>
      </c>
      <c r="P13" s="14">
        <v>0.2</v>
      </c>
      <c r="Q13" s="14">
        <v>0.15</v>
      </c>
      <c r="R13" s="14">
        <v>0.2</v>
      </c>
      <c r="S13" s="14">
        <v>0.28999999999999998</v>
      </c>
      <c r="T13" s="14">
        <v>0.26</v>
      </c>
      <c r="U13" s="14">
        <v>0.17</v>
      </c>
      <c r="V13" s="14">
        <v>0.22</v>
      </c>
      <c r="W13" s="14">
        <v>0.15</v>
      </c>
      <c r="X13" s="14">
        <v>0.32</v>
      </c>
      <c r="Y13" s="14">
        <v>0.19</v>
      </c>
      <c r="Z13" s="14">
        <v>0.17</v>
      </c>
      <c r="AA13" s="14">
        <v>0.14000000000000001</v>
      </c>
      <c r="AB13" s="14">
        <v>0.16</v>
      </c>
      <c r="AC13" s="14">
        <v>0.17</v>
      </c>
      <c r="AD13" s="14">
        <v>0.13</v>
      </c>
      <c r="AE13" s="14">
        <v>0.37</v>
      </c>
      <c r="AF13" s="14">
        <v>0.39</v>
      </c>
    </row>
    <row r="14" spans="1:32" x14ac:dyDescent="0.35">
      <c r="A14" s="31"/>
      <c r="B14" s="11" t="s">
        <v>713</v>
      </c>
      <c r="C14" s="12">
        <v>12993</v>
      </c>
      <c r="D14" s="12">
        <v>439</v>
      </c>
      <c r="E14" s="12">
        <v>523</v>
      </c>
      <c r="F14" s="12">
        <v>512</v>
      </c>
      <c r="G14" s="12">
        <v>533</v>
      </c>
      <c r="H14" s="12">
        <v>562</v>
      </c>
      <c r="I14" s="12">
        <v>705</v>
      </c>
      <c r="J14" s="12">
        <v>143</v>
      </c>
      <c r="K14" s="12">
        <v>465</v>
      </c>
      <c r="L14" s="12">
        <v>448</v>
      </c>
      <c r="M14" s="12">
        <v>533</v>
      </c>
      <c r="N14" s="12">
        <v>502</v>
      </c>
      <c r="O14" s="12">
        <v>493</v>
      </c>
      <c r="P14" s="12">
        <v>454</v>
      </c>
      <c r="Q14" s="12">
        <v>511</v>
      </c>
      <c r="R14" s="12">
        <v>254</v>
      </c>
      <c r="S14" s="12">
        <v>508</v>
      </c>
      <c r="T14" s="12">
        <v>528</v>
      </c>
      <c r="U14" s="12">
        <v>255</v>
      </c>
      <c r="V14" s="12">
        <v>600</v>
      </c>
      <c r="W14" s="12">
        <v>231</v>
      </c>
      <c r="X14" s="12">
        <v>422</v>
      </c>
      <c r="Y14" s="12">
        <v>611</v>
      </c>
      <c r="Z14" s="12">
        <v>559</v>
      </c>
      <c r="AA14" s="12">
        <v>462</v>
      </c>
      <c r="AB14" s="12">
        <v>521</v>
      </c>
      <c r="AC14" s="12">
        <v>458</v>
      </c>
      <c r="AD14" s="12">
        <v>474</v>
      </c>
      <c r="AE14" s="12">
        <v>517</v>
      </c>
      <c r="AF14" s="12">
        <v>498</v>
      </c>
    </row>
    <row r="15" spans="1:32" x14ac:dyDescent="0.35">
      <c r="A15" s="31"/>
      <c r="B15" s="13" t="s">
        <v>713</v>
      </c>
      <c r="C15" s="14">
        <v>0.49</v>
      </c>
      <c r="D15" s="14">
        <v>0.43</v>
      </c>
      <c r="E15" s="14">
        <v>0.5</v>
      </c>
      <c r="F15" s="14">
        <v>0.5</v>
      </c>
      <c r="G15" s="14">
        <v>0.52</v>
      </c>
      <c r="H15" s="14">
        <v>0.46</v>
      </c>
      <c r="I15" s="14">
        <v>0.46</v>
      </c>
      <c r="J15" s="14">
        <v>0.48</v>
      </c>
      <c r="K15" s="14">
        <v>0.46</v>
      </c>
      <c r="L15" s="14">
        <v>0.45</v>
      </c>
      <c r="M15" s="14">
        <v>0.53</v>
      </c>
      <c r="N15" s="14">
        <v>0.5</v>
      </c>
      <c r="O15" s="14">
        <v>0.49</v>
      </c>
      <c r="P15" s="14">
        <v>0.45</v>
      </c>
      <c r="Q15" s="14">
        <v>0.5</v>
      </c>
      <c r="R15" s="14">
        <v>0.51</v>
      </c>
      <c r="S15" s="14">
        <v>0.5</v>
      </c>
      <c r="T15" s="14">
        <v>0.52</v>
      </c>
      <c r="U15" s="14">
        <v>0.5</v>
      </c>
      <c r="V15" s="14">
        <v>0.59</v>
      </c>
      <c r="W15" s="14">
        <v>0.46</v>
      </c>
      <c r="X15" s="14">
        <v>0.42</v>
      </c>
      <c r="Y15" s="14">
        <v>0.61</v>
      </c>
      <c r="Z15" s="14">
        <v>0.55000000000000004</v>
      </c>
      <c r="AA15" s="14">
        <v>0.45</v>
      </c>
      <c r="AB15" s="14">
        <v>0.49</v>
      </c>
      <c r="AC15" s="14">
        <v>0.45</v>
      </c>
      <c r="AD15" s="14">
        <v>0.47</v>
      </c>
      <c r="AE15" s="14">
        <v>0.51</v>
      </c>
      <c r="AF15" s="14">
        <v>0.49</v>
      </c>
    </row>
    <row r="16" spans="1:32" x14ac:dyDescent="0.35">
      <c r="A16" s="31"/>
      <c r="B16" s="11" t="s">
        <v>714</v>
      </c>
      <c r="C16" s="12">
        <v>4013</v>
      </c>
      <c r="D16" s="12">
        <v>130</v>
      </c>
      <c r="E16" s="12">
        <v>230</v>
      </c>
      <c r="F16" s="12">
        <v>167</v>
      </c>
      <c r="G16" s="12">
        <v>115</v>
      </c>
      <c r="H16" s="12">
        <v>108</v>
      </c>
      <c r="I16" s="12">
        <v>130</v>
      </c>
      <c r="J16" s="12">
        <v>22</v>
      </c>
      <c r="K16" s="12">
        <v>147</v>
      </c>
      <c r="L16" s="12">
        <v>184</v>
      </c>
      <c r="M16" s="12">
        <v>168</v>
      </c>
      <c r="N16" s="12">
        <v>218</v>
      </c>
      <c r="O16" s="12">
        <v>105</v>
      </c>
      <c r="P16" s="12">
        <v>189</v>
      </c>
      <c r="Q16" s="12">
        <v>219</v>
      </c>
      <c r="R16" s="12">
        <v>77</v>
      </c>
      <c r="S16" s="12">
        <v>160</v>
      </c>
      <c r="T16" s="12">
        <v>160</v>
      </c>
      <c r="U16" s="12">
        <v>91</v>
      </c>
      <c r="V16" s="12">
        <v>123</v>
      </c>
      <c r="W16" s="12">
        <v>122</v>
      </c>
      <c r="X16" s="12">
        <v>127</v>
      </c>
      <c r="Y16" s="12">
        <v>125</v>
      </c>
      <c r="Z16" s="12">
        <v>161</v>
      </c>
      <c r="AA16" s="12">
        <v>253</v>
      </c>
      <c r="AB16" s="12">
        <v>256</v>
      </c>
      <c r="AC16" s="12">
        <v>181</v>
      </c>
      <c r="AD16" s="12">
        <v>237</v>
      </c>
      <c r="AE16" s="12">
        <v>78</v>
      </c>
      <c r="AF16" s="12">
        <v>79</v>
      </c>
    </row>
    <row r="17" spans="1:32" x14ac:dyDescent="0.35">
      <c r="A17" s="31"/>
      <c r="B17" s="13" t="s">
        <v>714</v>
      </c>
      <c r="C17" s="14">
        <v>0.15</v>
      </c>
      <c r="D17" s="14">
        <v>0.13</v>
      </c>
      <c r="E17" s="14">
        <v>0.22</v>
      </c>
      <c r="F17" s="14">
        <v>0.17</v>
      </c>
      <c r="G17" s="14">
        <v>0.11</v>
      </c>
      <c r="H17" s="14">
        <v>0.09</v>
      </c>
      <c r="I17" s="14">
        <v>0.09</v>
      </c>
      <c r="J17" s="14">
        <v>0.08</v>
      </c>
      <c r="K17" s="14">
        <v>0.15</v>
      </c>
      <c r="L17" s="14">
        <v>0.18</v>
      </c>
      <c r="M17" s="14">
        <v>0.17</v>
      </c>
      <c r="N17" s="14">
        <v>0.22</v>
      </c>
      <c r="O17" s="14">
        <v>0.11</v>
      </c>
      <c r="P17" s="14">
        <v>0.19</v>
      </c>
      <c r="Q17" s="14">
        <v>0.21</v>
      </c>
      <c r="R17" s="14">
        <v>0.15</v>
      </c>
      <c r="S17" s="14">
        <v>0.16</v>
      </c>
      <c r="T17" s="14">
        <v>0.16</v>
      </c>
      <c r="U17" s="14">
        <v>0.18</v>
      </c>
      <c r="V17" s="14">
        <v>0.12</v>
      </c>
      <c r="W17" s="14">
        <v>0.24</v>
      </c>
      <c r="X17" s="14">
        <v>0.12</v>
      </c>
      <c r="Y17" s="14">
        <v>0.12</v>
      </c>
      <c r="Z17" s="14">
        <v>0.16</v>
      </c>
      <c r="AA17" s="14">
        <v>0.24</v>
      </c>
      <c r="AB17" s="14">
        <v>0.24</v>
      </c>
      <c r="AC17" s="14">
        <v>0.18</v>
      </c>
      <c r="AD17" s="14">
        <v>0.24</v>
      </c>
      <c r="AE17" s="14">
        <v>0.08</v>
      </c>
      <c r="AF17" s="14">
        <v>0.08</v>
      </c>
    </row>
    <row r="18" spans="1:32" x14ac:dyDescent="0.35">
      <c r="A18" s="31"/>
      <c r="B18" s="11" t="s">
        <v>1201</v>
      </c>
      <c r="C18" s="12">
        <v>2729</v>
      </c>
      <c r="D18" s="12">
        <v>158</v>
      </c>
      <c r="E18" s="12">
        <v>113</v>
      </c>
      <c r="F18" s="12">
        <v>80</v>
      </c>
      <c r="G18" s="12">
        <v>77</v>
      </c>
      <c r="H18" s="12">
        <v>78</v>
      </c>
      <c r="I18" s="12">
        <v>97</v>
      </c>
      <c r="J18" s="12">
        <v>18</v>
      </c>
      <c r="K18" s="12">
        <v>74</v>
      </c>
      <c r="L18" s="12">
        <v>199</v>
      </c>
      <c r="M18" s="12">
        <v>128</v>
      </c>
      <c r="N18" s="12">
        <v>126</v>
      </c>
      <c r="O18" s="12">
        <v>73</v>
      </c>
      <c r="P18" s="12">
        <v>159</v>
      </c>
      <c r="Q18" s="12">
        <v>147</v>
      </c>
      <c r="R18" s="12">
        <v>70</v>
      </c>
      <c r="S18" s="12">
        <v>57</v>
      </c>
      <c r="T18" s="12">
        <v>59</v>
      </c>
      <c r="U18" s="12">
        <v>75</v>
      </c>
      <c r="V18" s="12">
        <v>73</v>
      </c>
      <c r="W18" s="12">
        <v>73</v>
      </c>
      <c r="X18" s="12">
        <v>138</v>
      </c>
      <c r="Y18" s="12">
        <v>76</v>
      </c>
      <c r="Z18" s="12">
        <v>121</v>
      </c>
      <c r="AA18" s="12">
        <v>171</v>
      </c>
      <c r="AB18" s="12">
        <v>111</v>
      </c>
      <c r="AC18" s="12">
        <v>204</v>
      </c>
      <c r="AD18" s="12">
        <v>162</v>
      </c>
      <c r="AE18" s="12">
        <v>43</v>
      </c>
      <c r="AF18" s="12">
        <v>45</v>
      </c>
    </row>
    <row r="19" spans="1:32" x14ac:dyDescent="0.35">
      <c r="A19" s="31"/>
      <c r="B19" s="13" t="s">
        <v>1201</v>
      </c>
      <c r="C19" s="14">
        <v>0.11</v>
      </c>
      <c r="D19" s="14">
        <v>0.15</v>
      </c>
      <c r="E19" s="14">
        <v>0.11</v>
      </c>
      <c r="F19" s="14">
        <v>0.08</v>
      </c>
      <c r="G19" s="14">
        <v>0.08</v>
      </c>
      <c r="H19" s="14">
        <v>0.06</v>
      </c>
      <c r="I19" s="14">
        <v>0.06</v>
      </c>
      <c r="J19" s="14">
        <v>0.06</v>
      </c>
      <c r="K19" s="14">
        <v>7.0000000000000007E-2</v>
      </c>
      <c r="L19" s="14">
        <v>0.2</v>
      </c>
      <c r="M19" s="14">
        <v>0.13</v>
      </c>
      <c r="N19" s="14">
        <v>0.13</v>
      </c>
      <c r="O19" s="14">
        <v>7.0000000000000007E-2</v>
      </c>
      <c r="P19" s="14">
        <v>0.16</v>
      </c>
      <c r="Q19" s="14">
        <v>0.14000000000000001</v>
      </c>
      <c r="R19" s="14">
        <v>0.14000000000000001</v>
      </c>
      <c r="S19" s="14">
        <v>0.05</v>
      </c>
      <c r="T19" s="14">
        <v>0.06</v>
      </c>
      <c r="U19" s="14">
        <v>0.15</v>
      </c>
      <c r="V19" s="14">
        <v>7.0000000000000007E-2</v>
      </c>
      <c r="W19" s="14">
        <v>0.15</v>
      </c>
      <c r="X19" s="14">
        <v>0.14000000000000001</v>
      </c>
      <c r="Y19" s="14">
        <v>0.08</v>
      </c>
      <c r="Z19" s="14">
        <v>0.12</v>
      </c>
      <c r="AA19" s="14">
        <v>0.17</v>
      </c>
      <c r="AB19" s="14">
        <v>0.11</v>
      </c>
      <c r="AC19" s="14">
        <v>0.2</v>
      </c>
      <c r="AD19" s="14">
        <v>0.16</v>
      </c>
      <c r="AE19" s="14">
        <v>0.04</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233</v>
      </c>
      <c r="C3" s="30"/>
      <c r="D3" s="30"/>
      <c r="E3" s="30"/>
      <c r="F3" s="30"/>
      <c r="H3" s="30" t="s">
        <v>234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1202</v>
      </c>
      <c r="C12" s="12">
        <v>22603</v>
      </c>
      <c r="D12" s="12">
        <v>858</v>
      </c>
      <c r="E12" s="12">
        <v>876</v>
      </c>
      <c r="F12" s="12">
        <v>850</v>
      </c>
      <c r="G12" s="12">
        <v>829</v>
      </c>
      <c r="H12" s="12">
        <v>1118</v>
      </c>
      <c r="I12" s="12">
        <v>1373</v>
      </c>
      <c r="J12" s="12">
        <v>256</v>
      </c>
      <c r="K12" s="12">
        <v>808</v>
      </c>
      <c r="L12" s="12">
        <v>809</v>
      </c>
      <c r="M12" s="12">
        <v>873</v>
      </c>
      <c r="N12" s="12">
        <v>844</v>
      </c>
      <c r="O12" s="12">
        <v>835</v>
      </c>
      <c r="P12" s="12">
        <v>820</v>
      </c>
      <c r="Q12" s="12">
        <v>906</v>
      </c>
      <c r="R12" s="12">
        <v>393</v>
      </c>
      <c r="S12" s="12">
        <v>839</v>
      </c>
      <c r="T12" s="12">
        <v>834</v>
      </c>
      <c r="U12" s="12">
        <v>383</v>
      </c>
      <c r="V12" s="12">
        <v>852</v>
      </c>
      <c r="W12" s="12">
        <v>409</v>
      </c>
      <c r="X12" s="12">
        <v>870</v>
      </c>
      <c r="Y12" s="12">
        <v>867</v>
      </c>
      <c r="Z12" s="12">
        <v>857</v>
      </c>
      <c r="AA12" s="12">
        <v>858</v>
      </c>
      <c r="AB12" s="12">
        <v>889</v>
      </c>
      <c r="AC12" s="12">
        <v>831</v>
      </c>
      <c r="AD12" s="12">
        <v>808</v>
      </c>
      <c r="AE12" s="12">
        <v>871</v>
      </c>
      <c r="AF12" s="12">
        <v>875</v>
      </c>
    </row>
    <row r="13" spans="1:32" x14ac:dyDescent="0.35">
      <c r="A13" s="31"/>
      <c r="B13" s="13" t="s">
        <v>1202</v>
      </c>
      <c r="C13" s="14">
        <v>0.86</v>
      </c>
      <c r="D13" s="14">
        <v>0.84</v>
      </c>
      <c r="E13" s="14">
        <v>0.84</v>
      </c>
      <c r="F13" s="14">
        <v>0.84</v>
      </c>
      <c r="G13" s="14">
        <v>0.82000000000000006</v>
      </c>
      <c r="H13" s="14">
        <v>0.91</v>
      </c>
      <c r="I13" s="14">
        <v>0.9</v>
      </c>
      <c r="J13" s="14">
        <v>0.86</v>
      </c>
      <c r="K13" s="14">
        <v>0.8</v>
      </c>
      <c r="L13" s="14">
        <v>0.81</v>
      </c>
      <c r="M13" s="14">
        <v>0.87</v>
      </c>
      <c r="N13" s="14">
        <v>0.84</v>
      </c>
      <c r="O13" s="14">
        <v>0.83000000000000007</v>
      </c>
      <c r="P13" s="14">
        <v>0.82000000000000006</v>
      </c>
      <c r="Q13" s="14">
        <v>0.88</v>
      </c>
      <c r="R13" s="14">
        <v>0.78</v>
      </c>
      <c r="S13" s="14">
        <v>0.82000000000000006</v>
      </c>
      <c r="T13" s="14">
        <v>0.82000000000000006</v>
      </c>
      <c r="U13" s="14">
        <v>0.75</v>
      </c>
      <c r="V13" s="14">
        <v>0.84</v>
      </c>
      <c r="W13" s="14">
        <v>0.82000000000000006</v>
      </c>
      <c r="X13" s="14">
        <v>0.86</v>
      </c>
      <c r="Y13" s="14">
        <v>0.86</v>
      </c>
      <c r="Z13" s="14">
        <v>0.84</v>
      </c>
      <c r="AA13" s="14">
        <v>0.83000000000000007</v>
      </c>
      <c r="AB13" s="14">
        <v>0.84</v>
      </c>
      <c r="AC13" s="14">
        <v>0.82000000000000006</v>
      </c>
      <c r="AD13" s="14">
        <v>0.81</v>
      </c>
      <c r="AE13" s="14">
        <v>0.87</v>
      </c>
      <c r="AF13" s="14">
        <v>0.86</v>
      </c>
    </row>
    <row r="14" spans="1:32" x14ac:dyDescent="0.35">
      <c r="A14" s="31"/>
      <c r="B14" s="11" t="s">
        <v>1200</v>
      </c>
      <c r="C14" s="12">
        <v>2433</v>
      </c>
      <c r="D14" s="12">
        <v>101</v>
      </c>
      <c r="E14" s="12">
        <v>115</v>
      </c>
      <c r="F14" s="12">
        <v>117</v>
      </c>
      <c r="G14" s="12">
        <v>85</v>
      </c>
      <c r="H14" s="12">
        <v>66</v>
      </c>
      <c r="I14" s="12">
        <v>93</v>
      </c>
      <c r="J14" s="12">
        <v>27</v>
      </c>
      <c r="K14" s="12">
        <v>136</v>
      </c>
      <c r="L14" s="12">
        <v>97</v>
      </c>
      <c r="M14" s="12">
        <v>80</v>
      </c>
      <c r="N14" s="12">
        <v>109</v>
      </c>
      <c r="O14" s="12">
        <v>96</v>
      </c>
      <c r="P14" s="12">
        <v>112</v>
      </c>
      <c r="Q14" s="12">
        <v>92</v>
      </c>
      <c r="R14" s="12">
        <v>64</v>
      </c>
      <c r="S14" s="12">
        <v>118</v>
      </c>
      <c r="T14" s="12">
        <v>124</v>
      </c>
      <c r="U14" s="12">
        <v>80</v>
      </c>
      <c r="V14" s="12">
        <v>90</v>
      </c>
      <c r="W14" s="12">
        <v>61</v>
      </c>
      <c r="X14" s="12">
        <v>87</v>
      </c>
      <c r="Y14" s="12">
        <v>88</v>
      </c>
      <c r="Z14" s="12">
        <v>101</v>
      </c>
      <c r="AA14" s="12">
        <v>132</v>
      </c>
      <c r="AB14" s="12">
        <v>127</v>
      </c>
      <c r="AC14" s="12">
        <v>112</v>
      </c>
      <c r="AD14" s="12">
        <v>123</v>
      </c>
      <c r="AE14" s="12">
        <v>81</v>
      </c>
      <c r="AF14" s="12">
        <v>87</v>
      </c>
    </row>
    <row r="15" spans="1:32" x14ac:dyDescent="0.35">
      <c r="A15" s="31"/>
      <c r="B15" s="13" t="s">
        <v>1200</v>
      </c>
      <c r="C15" s="14">
        <v>0.09</v>
      </c>
      <c r="D15" s="14">
        <v>0.1</v>
      </c>
      <c r="E15" s="14">
        <v>0.11</v>
      </c>
      <c r="F15" s="14">
        <v>0.11</v>
      </c>
      <c r="G15" s="14">
        <v>0.08</v>
      </c>
      <c r="H15" s="14">
        <v>0.05</v>
      </c>
      <c r="I15" s="14">
        <v>0.06</v>
      </c>
      <c r="J15" s="14">
        <v>0.09</v>
      </c>
      <c r="K15" s="14">
        <v>0.14000000000000001</v>
      </c>
      <c r="L15" s="14">
        <v>0.1</v>
      </c>
      <c r="M15" s="14">
        <v>0.08</v>
      </c>
      <c r="N15" s="14">
        <v>0.11</v>
      </c>
      <c r="O15" s="14">
        <v>0.1</v>
      </c>
      <c r="P15" s="14">
        <v>0.11</v>
      </c>
      <c r="Q15" s="14">
        <v>0.09</v>
      </c>
      <c r="R15" s="14">
        <v>0.13</v>
      </c>
      <c r="S15" s="14">
        <v>0.12</v>
      </c>
      <c r="T15" s="14">
        <v>0.12</v>
      </c>
      <c r="U15" s="14">
        <v>0.16</v>
      </c>
      <c r="V15" s="14">
        <v>0.09</v>
      </c>
      <c r="W15" s="14">
        <v>0.12</v>
      </c>
      <c r="X15" s="14">
        <v>0.09</v>
      </c>
      <c r="Y15" s="14">
        <v>0.09</v>
      </c>
      <c r="Z15" s="14">
        <v>0.1</v>
      </c>
      <c r="AA15" s="14">
        <v>0.13</v>
      </c>
      <c r="AB15" s="14">
        <v>0.12</v>
      </c>
      <c r="AC15" s="14">
        <v>0.11</v>
      </c>
      <c r="AD15" s="14">
        <v>0.12</v>
      </c>
      <c r="AE15" s="14">
        <v>0.08</v>
      </c>
      <c r="AF15" s="14">
        <v>0.09</v>
      </c>
    </row>
    <row r="16" spans="1:32" x14ac:dyDescent="0.35">
      <c r="A16" s="31"/>
      <c r="B16" s="11" t="s">
        <v>713</v>
      </c>
      <c r="C16" s="12">
        <v>1116</v>
      </c>
      <c r="D16" s="12">
        <v>53</v>
      </c>
      <c r="E16" s="12">
        <v>44</v>
      </c>
      <c r="F16" s="12">
        <v>44</v>
      </c>
      <c r="G16" s="12">
        <v>86</v>
      </c>
      <c r="H16" s="12">
        <v>42</v>
      </c>
      <c r="I16" s="12">
        <v>53</v>
      </c>
      <c r="J16" s="12">
        <v>12</v>
      </c>
      <c r="K16" s="12">
        <v>51</v>
      </c>
      <c r="L16" s="12">
        <v>78</v>
      </c>
      <c r="M16" s="12">
        <v>48</v>
      </c>
      <c r="N16" s="12">
        <v>40</v>
      </c>
      <c r="O16" s="12">
        <v>47</v>
      </c>
      <c r="P16" s="12">
        <v>55</v>
      </c>
      <c r="Q16" s="12">
        <v>35</v>
      </c>
      <c r="R16" s="12">
        <v>29</v>
      </c>
      <c r="S16" s="12">
        <v>46</v>
      </c>
      <c r="T16" s="12">
        <v>53</v>
      </c>
      <c r="U16" s="12">
        <v>35</v>
      </c>
      <c r="V16" s="12">
        <v>48</v>
      </c>
      <c r="W16" s="12">
        <v>29</v>
      </c>
      <c r="X16" s="12">
        <v>37</v>
      </c>
      <c r="Y16" s="12">
        <v>43</v>
      </c>
      <c r="Z16" s="12">
        <v>52</v>
      </c>
      <c r="AA16" s="12">
        <v>30</v>
      </c>
      <c r="AB16" s="12">
        <v>34</v>
      </c>
      <c r="AC16" s="12">
        <v>59</v>
      </c>
      <c r="AD16" s="12">
        <v>67</v>
      </c>
      <c r="AE16" s="12">
        <v>44</v>
      </c>
      <c r="AF16" s="12">
        <v>46</v>
      </c>
    </row>
    <row r="17" spans="1:32" x14ac:dyDescent="0.35">
      <c r="A17" s="31"/>
      <c r="B17" s="13" t="s">
        <v>713</v>
      </c>
      <c r="C17" s="14">
        <v>0.04</v>
      </c>
      <c r="D17" s="14">
        <v>0.05</v>
      </c>
      <c r="E17" s="14">
        <v>0.05</v>
      </c>
      <c r="F17" s="14">
        <v>0.04</v>
      </c>
      <c r="G17" s="14">
        <v>0.08</v>
      </c>
      <c r="H17" s="14">
        <v>0.04</v>
      </c>
      <c r="I17" s="14">
        <v>0.04</v>
      </c>
      <c r="J17" s="14">
        <v>0.04</v>
      </c>
      <c r="K17" s="14">
        <v>0.05</v>
      </c>
      <c r="L17" s="14">
        <v>0.08</v>
      </c>
      <c r="M17" s="14">
        <v>0.05</v>
      </c>
      <c r="N17" s="14">
        <v>0.04</v>
      </c>
      <c r="O17" s="14">
        <v>0.05</v>
      </c>
      <c r="P17" s="14">
        <v>0.05</v>
      </c>
      <c r="Q17" s="14">
        <v>0.03</v>
      </c>
      <c r="R17" s="14">
        <v>0.06</v>
      </c>
      <c r="S17" s="14">
        <v>0.04</v>
      </c>
      <c r="T17" s="14">
        <v>0.05</v>
      </c>
      <c r="U17" s="14">
        <v>7.0000000000000007E-2</v>
      </c>
      <c r="V17" s="14">
        <v>0.05</v>
      </c>
      <c r="W17" s="14">
        <v>0.06</v>
      </c>
      <c r="X17" s="14">
        <v>0.03</v>
      </c>
      <c r="Y17" s="14">
        <v>0.04</v>
      </c>
      <c r="Z17" s="14">
        <v>0.05</v>
      </c>
      <c r="AA17" s="14">
        <v>0.03</v>
      </c>
      <c r="AB17" s="14">
        <v>0.03</v>
      </c>
      <c r="AC17" s="14">
        <v>0.06</v>
      </c>
      <c r="AD17" s="14">
        <v>7.0000000000000007E-2</v>
      </c>
      <c r="AE17" s="14">
        <v>0.04</v>
      </c>
      <c r="AF17" s="14">
        <v>0.04</v>
      </c>
    </row>
    <row r="18" spans="1:32" x14ac:dyDescent="0.35">
      <c r="A18" s="31"/>
      <c r="B18" s="11" t="s">
        <v>714</v>
      </c>
      <c r="C18" s="12">
        <v>138</v>
      </c>
      <c r="D18" s="12">
        <v>6</v>
      </c>
      <c r="E18" s="12">
        <v>1</v>
      </c>
      <c r="F18" s="12">
        <v>1</v>
      </c>
      <c r="G18" s="12">
        <v>10</v>
      </c>
      <c r="H18" s="12">
        <v>3</v>
      </c>
      <c r="I18" s="12">
        <v>4</v>
      </c>
      <c r="J18" s="12">
        <v>2</v>
      </c>
      <c r="K18" s="12">
        <v>10</v>
      </c>
      <c r="L18" s="12">
        <v>16</v>
      </c>
      <c r="M18" s="12">
        <v>0</v>
      </c>
      <c r="N18" s="12">
        <v>5</v>
      </c>
      <c r="O18" s="12">
        <v>11</v>
      </c>
      <c r="P18" s="12">
        <v>5</v>
      </c>
      <c r="Q18" s="12">
        <v>1</v>
      </c>
      <c r="R18" s="12">
        <v>10</v>
      </c>
      <c r="S18" s="12">
        <v>10</v>
      </c>
      <c r="T18" s="12">
        <v>5</v>
      </c>
      <c r="U18" s="12">
        <v>10</v>
      </c>
      <c r="V18" s="12">
        <v>11</v>
      </c>
      <c r="W18" s="12">
        <v>1</v>
      </c>
      <c r="X18" s="12">
        <v>7</v>
      </c>
      <c r="Y18" s="12">
        <v>1</v>
      </c>
      <c r="Z18" s="12">
        <v>7</v>
      </c>
      <c r="AA18" s="12">
        <v>3</v>
      </c>
      <c r="AB18" s="12">
        <v>3</v>
      </c>
      <c r="AC18" s="12">
        <v>8</v>
      </c>
      <c r="AD18" s="12">
        <v>2</v>
      </c>
      <c r="AE18" s="12">
        <v>5</v>
      </c>
      <c r="AF18" s="12">
        <v>7</v>
      </c>
    </row>
    <row r="19" spans="1:32" x14ac:dyDescent="0.35">
      <c r="A19" s="31"/>
      <c r="B19" s="13" t="s">
        <v>714</v>
      </c>
      <c r="C19" s="14">
        <v>0.01</v>
      </c>
      <c r="D19" s="15" t="s">
        <v>333</v>
      </c>
      <c r="E19" s="15" t="s">
        <v>333</v>
      </c>
      <c r="F19" s="15" t="s">
        <v>333</v>
      </c>
      <c r="G19" s="14">
        <v>0.01</v>
      </c>
      <c r="H19" s="15" t="s">
        <v>333</v>
      </c>
      <c r="I19" s="15" t="s">
        <v>333</v>
      </c>
      <c r="J19" s="14">
        <v>0.01</v>
      </c>
      <c r="K19" s="14">
        <v>0.01</v>
      </c>
      <c r="L19" s="14">
        <v>0.01</v>
      </c>
      <c r="M19" s="15" t="s">
        <v>333</v>
      </c>
      <c r="N19" s="14">
        <v>0.01</v>
      </c>
      <c r="O19" s="14">
        <v>0.01</v>
      </c>
      <c r="P19" s="14">
        <v>0.01</v>
      </c>
      <c r="Q19" s="15" t="s">
        <v>333</v>
      </c>
      <c r="R19" s="14">
        <v>0.02</v>
      </c>
      <c r="S19" s="14">
        <v>0.01</v>
      </c>
      <c r="T19" s="14">
        <v>0.01</v>
      </c>
      <c r="U19" s="14">
        <v>0.02</v>
      </c>
      <c r="V19" s="14">
        <v>0.01</v>
      </c>
      <c r="W19" s="15" t="s">
        <v>333</v>
      </c>
      <c r="X19" s="14">
        <v>0.01</v>
      </c>
      <c r="Y19" s="15" t="s">
        <v>333</v>
      </c>
      <c r="Z19" s="14">
        <v>0.01</v>
      </c>
      <c r="AA19" s="15" t="s">
        <v>333</v>
      </c>
      <c r="AB19" s="15" t="s">
        <v>333</v>
      </c>
      <c r="AC19" s="14">
        <v>0.01</v>
      </c>
      <c r="AD19" s="15" t="s">
        <v>333</v>
      </c>
      <c r="AE19" s="15" t="s">
        <v>333</v>
      </c>
      <c r="AF19" s="14">
        <v>0.01</v>
      </c>
    </row>
    <row r="20" spans="1:32" x14ac:dyDescent="0.35">
      <c r="A20" s="31"/>
      <c r="B20" s="11" t="s">
        <v>1201</v>
      </c>
      <c r="C20" s="12">
        <v>120</v>
      </c>
      <c r="D20" s="12">
        <v>8</v>
      </c>
      <c r="E20" s="12">
        <v>3</v>
      </c>
      <c r="F20" s="12">
        <v>6</v>
      </c>
      <c r="G20" s="12">
        <v>8</v>
      </c>
      <c r="H20" s="12">
        <v>4</v>
      </c>
      <c r="I20" s="12">
        <v>5</v>
      </c>
      <c r="J20" s="12">
        <v>1</v>
      </c>
      <c r="K20" s="12">
        <v>4</v>
      </c>
      <c r="L20" s="12">
        <v>4</v>
      </c>
      <c r="M20" s="12">
        <v>3</v>
      </c>
      <c r="N20" s="12">
        <v>2</v>
      </c>
      <c r="O20" s="12">
        <v>10</v>
      </c>
      <c r="P20" s="12">
        <v>12</v>
      </c>
      <c r="Q20" s="12">
        <v>1</v>
      </c>
      <c r="R20" s="12">
        <v>5</v>
      </c>
      <c r="S20" s="12">
        <v>7</v>
      </c>
      <c r="T20" s="12">
        <v>1</v>
      </c>
      <c r="U20" s="12">
        <v>1</v>
      </c>
      <c r="V20" s="12">
        <v>13</v>
      </c>
      <c r="W20" s="12">
        <v>1</v>
      </c>
      <c r="X20" s="12">
        <v>9</v>
      </c>
      <c r="Y20" s="12">
        <v>4</v>
      </c>
      <c r="Z20" s="12">
        <v>2</v>
      </c>
      <c r="AA20" s="12">
        <v>7</v>
      </c>
      <c r="AB20" s="12">
        <v>4</v>
      </c>
      <c r="AC20" s="12">
        <v>4</v>
      </c>
      <c r="AD20" s="12">
        <v>4</v>
      </c>
      <c r="AE20" s="12">
        <v>6</v>
      </c>
      <c r="AF20" s="12">
        <v>5</v>
      </c>
    </row>
    <row r="21" spans="1:32" x14ac:dyDescent="0.35">
      <c r="A21" s="31"/>
      <c r="B21" s="13" t="s">
        <v>1201</v>
      </c>
      <c r="C21" s="15" t="s">
        <v>333</v>
      </c>
      <c r="D21" s="14">
        <v>0.01</v>
      </c>
      <c r="E21" s="15" t="s">
        <v>333</v>
      </c>
      <c r="F21" s="14">
        <v>0.01</v>
      </c>
      <c r="G21" s="14">
        <v>0.01</v>
      </c>
      <c r="H21" s="15" t="s">
        <v>333</v>
      </c>
      <c r="I21" s="15" t="s">
        <v>333</v>
      </c>
      <c r="J21" s="15" t="s">
        <v>333</v>
      </c>
      <c r="K21" s="15" t="s">
        <v>333</v>
      </c>
      <c r="L21" s="15" t="s">
        <v>333</v>
      </c>
      <c r="M21" s="15" t="s">
        <v>333</v>
      </c>
      <c r="N21" s="15" t="s">
        <v>333</v>
      </c>
      <c r="O21" s="14">
        <v>0.01</v>
      </c>
      <c r="P21" s="14">
        <v>0.01</v>
      </c>
      <c r="Q21" s="15" t="s">
        <v>333</v>
      </c>
      <c r="R21" s="14">
        <v>0.01</v>
      </c>
      <c r="S21" s="14">
        <v>0.01</v>
      </c>
      <c r="T21" s="15" t="s">
        <v>333</v>
      </c>
      <c r="U21" s="15" t="s">
        <v>333</v>
      </c>
      <c r="V21" s="14">
        <v>0.01</v>
      </c>
      <c r="W21" s="15" t="s">
        <v>333</v>
      </c>
      <c r="X21" s="14">
        <v>0.01</v>
      </c>
      <c r="Y21" s="14">
        <v>0.01</v>
      </c>
      <c r="Z21" s="15" t="s">
        <v>333</v>
      </c>
      <c r="AA21" s="14">
        <v>0.01</v>
      </c>
      <c r="AB21" s="14">
        <v>0.01</v>
      </c>
      <c r="AC21" s="15" t="s">
        <v>333</v>
      </c>
      <c r="AD21" s="15" t="s">
        <v>333</v>
      </c>
      <c r="AE21" s="14">
        <v>0.01</v>
      </c>
      <c r="AF21" s="15" t="s">
        <v>333</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1"/>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235</v>
      </c>
      <c r="C3" s="30"/>
      <c r="D3" s="30"/>
      <c r="E3" s="30"/>
      <c r="F3" s="30"/>
      <c r="H3" s="30" t="s">
        <v>236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HYPERLINK("#Content!A119","&lt;&lt;Back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1202</v>
      </c>
      <c r="C12" s="12">
        <v>23469</v>
      </c>
      <c r="D12" s="12">
        <v>889</v>
      </c>
      <c r="E12" s="12">
        <v>903</v>
      </c>
      <c r="F12" s="12">
        <v>912</v>
      </c>
      <c r="G12" s="12">
        <v>904</v>
      </c>
      <c r="H12" s="12">
        <v>1155</v>
      </c>
      <c r="I12" s="12">
        <v>1424</v>
      </c>
      <c r="J12" s="12">
        <v>270</v>
      </c>
      <c r="K12" s="12">
        <v>862</v>
      </c>
      <c r="L12" s="12">
        <v>858</v>
      </c>
      <c r="M12" s="12">
        <v>912</v>
      </c>
      <c r="N12" s="12">
        <v>894</v>
      </c>
      <c r="O12" s="12">
        <v>873</v>
      </c>
      <c r="P12" s="12">
        <v>865</v>
      </c>
      <c r="Q12" s="12">
        <v>932</v>
      </c>
      <c r="R12" s="12">
        <v>434</v>
      </c>
      <c r="S12" s="12">
        <v>889</v>
      </c>
      <c r="T12" s="12">
        <v>907</v>
      </c>
      <c r="U12" s="12">
        <v>415</v>
      </c>
      <c r="V12" s="12">
        <v>900</v>
      </c>
      <c r="W12" s="12">
        <v>425</v>
      </c>
      <c r="X12" s="12">
        <v>885</v>
      </c>
      <c r="Y12" s="12">
        <v>863</v>
      </c>
      <c r="Z12" s="12">
        <v>877</v>
      </c>
      <c r="AA12" s="12">
        <v>863</v>
      </c>
      <c r="AB12" s="12">
        <v>906</v>
      </c>
      <c r="AC12" s="12">
        <v>883</v>
      </c>
      <c r="AD12" s="12">
        <v>851</v>
      </c>
      <c r="AE12" s="12">
        <v>889</v>
      </c>
      <c r="AF12" s="12">
        <v>900</v>
      </c>
    </row>
    <row r="13" spans="1:32" x14ac:dyDescent="0.35">
      <c r="A13" s="31"/>
      <c r="B13" s="13" t="s">
        <v>1202</v>
      </c>
      <c r="C13" s="14">
        <v>0.89</v>
      </c>
      <c r="D13" s="14">
        <v>0.87</v>
      </c>
      <c r="E13" s="14">
        <v>0.87</v>
      </c>
      <c r="F13" s="14">
        <v>0.9</v>
      </c>
      <c r="G13" s="14">
        <v>0.89</v>
      </c>
      <c r="H13" s="14">
        <v>0.94000000000000006</v>
      </c>
      <c r="I13" s="14">
        <v>0.93</v>
      </c>
      <c r="J13" s="14">
        <v>0.91</v>
      </c>
      <c r="K13" s="14">
        <v>0.85</v>
      </c>
      <c r="L13" s="14">
        <v>0.86</v>
      </c>
      <c r="M13" s="14">
        <v>0.91</v>
      </c>
      <c r="N13" s="14">
        <v>0.9</v>
      </c>
      <c r="O13" s="14">
        <v>0.87</v>
      </c>
      <c r="P13" s="14">
        <v>0.86</v>
      </c>
      <c r="Q13" s="14">
        <v>0.9</v>
      </c>
      <c r="R13" s="14">
        <v>0.87</v>
      </c>
      <c r="S13" s="14">
        <v>0.87</v>
      </c>
      <c r="T13" s="14">
        <v>0.89</v>
      </c>
      <c r="U13" s="14">
        <v>0.82000000000000006</v>
      </c>
      <c r="V13" s="14">
        <v>0.89</v>
      </c>
      <c r="W13" s="14">
        <v>0.85</v>
      </c>
      <c r="X13" s="14">
        <v>0.88</v>
      </c>
      <c r="Y13" s="14">
        <v>0.86</v>
      </c>
      <c r="Z13" s="14">
        <v>0.86</v>
      </c>
      <c r="AA13" s="14">
        <v>0.84</v>
      </c>
      <c r="AB13" s="14">
        <v>0.86</v>
      </c>
      <c r="AC13" s="14">
        <v>0.87</v>
      </c>
      <c r="AD13" s="14">
        <v>0.85</v>
      </c>
      <c r="AE13" s="14">
        <v>0.88</v>
      </c>
      <c r="AF13" s="14">
        <v>0.88</v>
      </c>
    </row>
    <row r="14" spans="1:32" x14ac:dyDescent="0.35">
      <c r="A14" s="31"/>
      <c r="B14" s="11" t="s">
        <v>1200</v>
      </c>
      <c r="C14" s="12">
        <v>2238</v>
      </c>
      <c r="D14" s="12">
        <v>107</v>
      </c>
      <c r="E14" s="12">
        <v>109</v>
      </c>
      <c r="F14" s="12">
        <v>92</v>
      </c>
      <c r="G14" s="12">
        <v>82</v>
      </c>
      <c r="H14" s="12">
        <v>47</v>
      </c>
      <c r="I14" s="12">
        <v>71</v>
      </c>
      <c r="J14" s="12">
        <v>24</v>
      </c>
      <c r="K14" s="12">
        <v>120</v>
      </c>
      <c r="L14" s="12">
        <v>104</v>
      </c>
      <c r="M14" s="12">
        <v>59</v>
      </c>
      <c r="N14" s="12">
        <v>82</v>
      </c>
      <c r="O14" s="12">
        <v>99</v>
      </c>
      <c r="P14" s="12">
        <v>98</v>
      </c>
      <c r="Q14" s="12">
        <v>84</v>
      </c>
      <c r="R14" s="12">
        <v>54</v>
      </c>
      <c r="S14" s="12">
        <v>111</v>
      </c>
      <c r="T14" s="12">
        <v>97</v>
      </c>
      <c r="U14" s="12">
        <v>82</v>
      </c>
      <c r="V14" s="12">
        <v>88</v>
      </c>
      <c r="W14" s="12">
        <v>64</v>
      </c>
      <c r="X14" s="12">
        <v>87</v>
      </c>
      <c r="Y14" s="12">
        <v>110</v>
      </c>
      <c r="Z14" s="12">
        <v>109</v>
      </c>
      <c r="AA14" s="12">
        <v>131</v>
      </c>
      <c r="AB14" s="12">
        <v>111</v>
      </c>
      <c r="AC14" s="12">
        <v>99</v>
      </c>
      <c r="AD14" s="12">
        <v>123</v>
      </c>
      <c r="AE14" s="12">
        <v>79</v>
      </c>
      <c r="AF14" s="12">
        <v>93</v>
      </c>
    </row>
    <row r="15" spans="1:32" x14ac:dyDescent="0.35">
      <c r="A15" s="31"/>
      <c r="B15" s="13" t="s">
        <v>1200</v>
      </c>
      <c r="C15" s="14">
        <v>0.09</v>
      </c>
      <c r="D15" s="14">
        <v>0.1</v>
      </c>
      <c r="E15" s="14">
        <v>0.11</v>
      </c>
      <c r="F15" s="14">
        <v>0.09</v>
      </c>
      <c r="G15" s="14">
        <v>0.08</v>
      </c>
      <c r="H15" s="14">
        <v>0.04</v>
      </c>
      <c r="I15" s="14">
        <v>0.05</v>
      </c>
      <c r="J15" s="14">
        <v>0.08</v>
      </c>
      <c r="K15" s="14">
        <v>0.12</v>
      </c>
      <c r="L15" s="14">
        <v>0.1</v>
      </c>
      <c r="M15" s="14">
        <v>0.06</v>
      </c>
      <c r="N15" s="14">
        <v>0.08</v>
      </c>
      <c r="O15" s="14">
        <v>0.1</v>
      </c>
      <c r="P15" s="14">
        <v>0.1</v>
      </c>
      <c r="Q15" s="14">
        <v>0.08</v>
      </c>
      <c r="R15" s="14">
        <v>0.11</v>
      </c>
      <c r="S15" s="14">
        <v>0.11</v>
      </c>
      <c r="T15" s="14">
        <v>0.1</v>
      </c>
      <c r="U15" s="14">
        <v>0.16</v>
      </c>
      <c r="V15" s="14">
        <v>0.09</v>
      </c>
      <c r="W15" s="14">
        <v>0.13</v>
      </c>
      <c r="X15" s="14">
        <v>0.09</v>
      </c>
      <c r="Y15" s="14">
        <v>0.11</v>
      </c>
      <c r="Z15" s="14">
        <v>0.11</v>
      </c>
      <c r="AA15" s="14">
        <v>0.13</v>
      </c>
      <c r="AB15" s="14">
        <v>0.11</v>
      </c>
      <c r="AC15" s="14">
        <v>0.1</v>
      </c>
      <c r="AD15" s="14">
        <v>0.12</v>
      </c>
      <c r="AE15" s="14">
        <v>0.08</v>
      </c>
      <c r="AF15" s="14">
        <v>0.09</v>
      </c>
    </row>
    <row r="16" spans="1:32" x14ac:dyDescent="0.35">
      <c r="A16" s="31"/>
      <c r="B16" s="11" t="s">
        <v>713</v>
      </c>
      <c r="C16" s="12">
        <v>607</v>
      </c>
      <c r="D16" s="12">
        <v>26</v>
      </c>
      <c r="E16" s="12">
        <v>23</v>
      </c>
      <c r="F16" s="12">
        <v>13</v>
      </c>
      <c r="G16" s="12">
        <v>27</v>
      </c>
      <c r="H16" s="12">
        <v>27</v>
      </c>
      <c r="I16" s="12">
        <v>30</v>
      </c>
      <c r="J16" s="12">
        <v>3</v>
      </c>
      <c r="K16" s="12">
        <v>21</v>
      </c>
      <c r="L16" s="12">
        <v>39</v>
      </c>
      <c r="M16" s="12">
        <v>25</v>
      </c>
      <c r="N16" s="12">
        <v>20</v>
      </c>
      <c r="O16" s="12">
        <v>24</v>
      </c>
      <c r="P16" s="12">
        <v>34</v>
      </c>
      <c r="Q16" s="12">
        <v>18</v>
      </c>
      <c r="R16" s="12">
        <v>10</v>
      </c>
      <c r="S16" s="12">
        <v>14</v>
      </c>
      <c r="T16" s="12">
        <v>11</v>
      </c>
      <c r="U16" s="12">
        <v>11</v>
      </c>
      <c r="V16" s="12">
        <v>25</v>
      </c>
      <c r="W16" s="12">
        <v>11</v>
      </c>
      <c r="X16" s="12">
        <v>34</v>
      </c>
      <c r="Y16" s="12">
        <v>23</v>
      </c>
      <c r="Z16" s="12">
        <v>30</v>
      </c>
      <c r="AA16" s="12">
        <v>29</v>
      </c>
      <c r="AB16" s="12">
        <v>32</v>
      </c>
      <c r="AC16" s="12">
        <v>27</v>
      </c>
      <c r="AD16" s="12">
        <v>29</v>
      </c>
      <c r="AE16" s="12">
        <v>26</v>
      </c>
      <c r="AF16" s="12">
        <v>26</v>
      </c>
    </row>
    <row r="17" spans="1:32" x14ac:dyDescent="0.35">
      <c r="A17" s="31"/>
      <c r="B17" s="13" t="s">
        <v>713</v>
      </c>
      <c r="C17" s="14">
        <v>0.02</v>
      </c>
      <c r="D17" s="14">
        <v>0.03</v>
      </c>
      <c r="E17" s="14">
        <v>0.02</v>
      </c>
      <c r="F17" s="14">
        <v>0.01</v>
      </c>
      <c r="G17" s="14">
        <v>0.03</v>
      </c>
      <c r="H17" s="14">
        <v>0.02</v>
      </c>
      <c r="I17" s="14">
        <v>0.02</v>
      </c>
      <c r="J17" s="14">
        <v>0.01</v>
      </c>
      <c r="K17" s="14">
        <v>0.02</v>
      </c>
      <c r="L17" s="14">
        <v>0.04</v>
      </c>
      <c r="M17" s="14">
        <v>0.02</v>
      </c>
      <c r="N17" s="14">
        <v>0.02</v>
      </c>
      <c r="O17" s="14">
        <v>0.03</v>
      </c>
      <c r="P17" s="14">
        <v>0.03</v>
      </c>
      <c r="Q17" s="14">
        <v>0.02</v>
      </c>
      <c r="R17" s="14">
        <v>0.02</v>
      </c>
      <c r="S17" s="14">
        <v>0.01</v>
      </c>
      <c r="T17" s="14">
        <v>0.01</v>
      </c>
      <c r="U17" s="14">
        <v>0.02</v>
      </c>
      <c r="V17" s="14">
        <v>0.02</v>
      </c>
      <c r="W17" s="14">
        <v>0.02</v>
      </c>
      <c r="X17" s="14">
        <v>0.03</v>
      </c>
      <c r="Y17" s="14">
        <v>0.02</v>
      </c>
      <c r="Z17" s="14">
        <v>0.03</v>
      </c>
      <c r="AA17" s="14">
        <v>0.03</v>
      </c>
      <c r="AB17" s="14">
        <v>0.03</v>
      </c>
      <c r="AC17" s="14">
        <v>0.03</v>
      </c>
      <c r="AD17" s="14">
        <v>0.03</v>
      </c>
      <c r="AE17" s="14">
        <v>0.02</v>
      </c>
      <c r="AF17" s="14">
        <v>0.03</v>
      </c>
    </row>
    <row r="18" spans="1:32" x14ac:dyDescent="0.35">
      <c r="A18" s="31"/>
      <c r="B18" s="11" t="s">
        <v>714</v>
      </c>
      <c r="C18" s="12">
        <v>41</v>
      </c>
      <c r="D18" s="12">
        <v>2</v>
      </c>
      <c r="E18" s="12">
        <v>2</v>
      </c>
      <c r="F18" s="12">
        <v>1</v>
      </c>
      <c r="G18" s="12">
        <v>5</v>
      </c>
      <c r="H18" s="12">
        <v>2</v>
      </c>
      <c r="I18" s="12">
        <v>2</v>
      </c>
      <c r="J18" s="12">
        <v>0</v>
      </c>
      <c r="K18" s="12">
        <v>1</v>
      </c>
      <c r="L18" s="12">
        <v>2</v>
      </c>
      <c r="M18" s="12">
        <v>0</v>
      </c>
      <c r="N18" s="12">
        <v>3</v>
      </c>
      <c r="O18" s="12">
        <v>2</v>
      </c>
      <c r="P18" s="12">
        <v>1</v>
      </c>
      <c r="Q18" s="12">
        <v>0</v>
      </c>
      <c r="R18" s="12">
        <v>1</v>
      </c>
      <c r="S18" s="12">
        <v>5</v>
      </c>
      <c r="T18" s="12">
        <v>0</v>
      </c>
      <c r="U18" s="12">
        <v>1</v>
      </c>
      <c r="V18" s="12">
        <v>1</v>
      </c>
      <c r="W18" s="12">
        <v>0</v>
      </c>
      <c r="X18" s="12">
        <v>0</v>
      </c>
      <c r="Y18" s="12">
        <v>1</v>
      </c>
      <c r="Z18" s="12">
        <v>2</v>
      </c>
      <c r="AA18" s="12">
        <v>1</v>
      </c>
      <c r="AB18" s="12">
        <v>3</v>
      </c>
      <c r="AC18" s="12">
        <v>3</v>
      </c>
      <c r="AD18" s="12">
        <v>1</v>
      </c>
      <c r="AE18" s="12">
        <v>7</v>
      </c>
      <c r="AF18" s="12">
        <v>0</v>
      </c>
    </row>
    <row r="19" spans="1:32" x14ac:dyDescent="0.35">
      <c r="A19" s="31"/>
      <c r="B19" s="13" t="s">
        <v>714</v>
      </c>
      <c r="C19" s="15" t="s">
        <v>333</v>
      </c>
      <c r="D19" s="15" t="s">
        <v>333</v>
      </c>
      <c r="E19" s="15" t="s">
        <v>333</v>
      </c>
      <c r="F19" s="15" t="s">
        <v>333</v>
      </c>
      <c r="G19" s="15" t="s">
        <v>333</v>
      </c>
      <c r="H19" s="15" t="s">
        <v>333</v>
      </c>
      <c r="I19" s="15" t="s">
        <v>333</v>
      </c>
      <c r="J19" s="15" t="s">
        <v>333</v>
      </c>
      <c r="K19" s="15" t="s">
        <v>333</v>
      </c>
      <c r="L19" s="15" t="s">
        <v>333</v>
      </c>
      <c r="M19" s="15" t="s">
        <v>333</v>
      </c>
      <c r="N19" s="15" t="s">
        <v>333</v>
      </c>
      <c r="O19" s="15" t="s">
        <v>333</v>
      </c>
      <c r="P19" s="15" t="s">
        <v>333</v>
      </c>
      <c r="Q19" s="15" t="s">
        <v>333</v>
      </c>
      <c r="R19" s="15" t="s">
        <v>333</v>
      </c>
      <c r="S19" s="14">
        <v>0.01</v>
      </c>
      <c r="T19" s="15" t="s">
        <v>333</v>
      </c>
      <c r="U19" s="15" t="s">
        <v>333</v>
      </c>
      <c r="V19" s="15" t="s">
        <v>333</v>
      </c>
      <c r="W19" s="15" t="s">
        <v>333</v>
      </c>
      <c r="X19" s="15" t="s">
        <v>333</v>
      </c>
      <c r="Y19" s="15" t="s">
        <v>333</v>
      </c>
      <c r="Z19" s="15" t="s">
        <v>333</v>
      </c>
      <c r="AA19" s="15" t="s">
        <v>333</v>
      </c>
      <c r="AB19" s="15" t="s">
        <v>333</v>
      </c>
      <c r="AC19" s="15" t="s">
        <v>333</v>
      </c>
      <c r="AD19" s="15" t="s">
        <v>333</v>
      </c>
      <c r="AE19" s="14">
        <v>0.01</v>
      </c>
      <c r="AF19" s="15" t="s">
        <v>333</v>
      </c>
    </row>
    <row r="20" spans="1:32" x14ac:dyDescent="0.35">
      <c r="A20" s="31"/>
      <c r="B20" s="11" t="s">
        <v>1201</v>
      </c>
      <c r="C20" s="12">
        <v>55</v>
      </c>
      <c r="D20" s="12">
        <v>2</v>
      </c>
      <c r="E20" s="12">
        <v>2</v>
      </c>
      <c r="F20" s="12">
        <v>1</v>
      </c>
      <c r="G20" s="12">
        <v>0</v>
      </c>
      <c r="H20" s="12">
        <v>2</v>
      </c>
      <c r="I20" s="12">
        <v>2</v>
      </c>
      <c r="J20" s="12">
        <v>0</v>
      </c>
      <c r="K20" s="12">
        <v>5</v>
      </c>
      <c r="L20" s="12">
        <v>1</v>
      </c>
      <c r="M20" s="12">
        <v>8</v>
      </c>
      <c r="N20" s="12">
        <v>1</v>
      </c>
      <c r="O20" s="12">
        <v>3</v>
      </c>
      <c r="P20" s="12">
        <v>6</v>
      </c>
      <c r="Q20" s="12">
        <v>1</v>
      </c>
      <c r="R20" s="12">
        <v>1</v>
      </c>
      <c r="S20" s="12">
        <v>1</v>
      </c>
      <c r="T20" s="12">
        <v>2</v>
      </c>
      <c r="U20" s="12">
        <v>0</v>
      </c>
      <c r="V20" s="12">
        <v>1</v>
      </c>
      <c r="W20" s="12">
        <v>1</v>
      </c>
      <c r="X20" s="12">
        <v>4</v>
      </c>
      <c r="Y20" s="12">
        <v>5</v>
      </c>
      <c r="Z20" s="12">
        <v>1</v>
      </c>
      <c r="AA20" s="12">
        <v>6</v>
      </c>
      <c r="AB20" s="12">
        <v>4</v>
      </c>
      <c r="AC20" s="12">
        <v>1</v>
      </c>
      <c r="AD20" s="12">
        <v>0</v>
      </c>
      <c r="AE20" s="12">
        <v>7</v>
      </c>
      <c r="AF20" s="12">
        <v>2</v>
      </c>
    </row>
    <row r="21" spans="1:32" x14ac:dyDescent="0.35">
      <c r="A21" s="31"/>
      <c r="B21" s="13" t="s">
        <v>1201</v>
      </c>
      <c r="C21" s="15" t="s">
        <v>333</v>
      </c>
      <c r="D21" s="15" t="s">
        <v>333</v>
      </c>
      <c r="E21" s="15" t="s">
        <v>333</v>
      </c>
      <c r="F21" s="15" t="s">
        <v>333</v>
      </c>
      <c r="G21" s="15" t="s">
        <v>333</v>
      </c>
      <c r="H21" s="15" t="s">
        <v>333</v>
      </c>
      <c r="I21" s="15" t="s">
        <v>333</v>
      </c>
      <c r="J21" s="15" t="s">
        <v>333</v>
      </c>
      <c r="K21" s="14">
        <v>0.01</v>
      </c>
      <c r="L21" s="15" t="s">
        <v>333</v>
      </c>
      <c r="M21" s="14">
        <v>0.01</v>
      </c>
      <c r="N21" s="15" t="s">
        <v>333</v>
      </c>
      <c r="O21" s="15" t="s">
        <v>333</v>
      </c>
      <c r="P21" s="14">
        <v>0.01</v>
      </c>
      <c r="Q21" s="15" t="s">
        <v>333</v>
      </c>
      <c r="R21" s="15" t="s">
        <v>333</v>
      </c>
      <c r="S21" s="15" t="s">
        <v>333</v>
      </c>
      <c r="T21" s="15" t="s">
        <v>333</v>
      </c>
      <c r="U21" s="15" t="s">
        <v>333</v>
      </c>
      <c r="V21" s="15" t="s">
        <v>333</v>
      </c>
      <c r="W21" s="15" t="s">
        <v>333</v>
      </c>
      <c r="X21" s="15" t="s">
        <v>333</v>
      </c>
      <c r="Y21" s="14">
        <v>0.01</v>
      </c>
      <c r="Z21" s="15" t="s">
        <v>333</v>
      </c>
      <c r="AA21" s="15" t="s">
        <v>333</v>
      </c>
      <c r="AB21" s="15" t="s">
        <v>333</v>
      </c>
      <c r="AC21" s="15" t="s">
        <v>333</v>
      </c>
      <c r="AD21" s="15" t="s">
        <v>333</v>
      </c>
      <c r="AE21" s="14">
        <v>0.01</v>
      </c>
      <c r="AF21" s="15" t="s">
        <v>333</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237</v>
      </c>
      <c r="C3" s="30"/>
      <c r="D3" s="30"/>
      <c r="E3" s="30"/>
      <c r="F3" s="30"/>
      <c r="H3" s="30" t="s">
        <v>238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1203</v>
      </c>
      <c r="C12" s="12">
        <v>8085</v>
      </c>
      <c r="D12" s="12">
        <v>331</v>
      </c>
      <c r="E12" s="12">
        <v>320</v>
      </c>
      <c r="F12" s="12">
        <v>419</v>
      </c>
      <c r="G12" s="12">
        <v>257</v>
      </c>
      <c r="H12" s="12">
        <v>343</v>
      </c>
      <c r="I12" s="12">
        <v>423</v>
      </c>
      <c r="J12" s="12">
        <v>80</v>
      </c>
      <c r="K12" s="12">
        <v>316</v>
      </c>
      <c r="L12" s="12">
        <v>359</v>
      </c>
      <c r="M12" s="12">
        <v>314</v>
      </c>
      <c r="N12" s="12">
        <v>389</v>
      </c>
      <c r="O12" s="12">
        <v>298</v>
      </c>
      <c r="P12" s="12">
        <v>473</v>
      </c>
      <c r="Q12" s="12">
        <v>118</v>
      </c>
      <c r="R12" s="12">
        <v>160</v>
      </c>
      <c r="S12" s="12">
        <v>235</v>
      </c>
      <c r="T12" s="12">
        <v>301</v>
      </c>
      <c r="U12" s="12">
        <v>177</v>
      </c>
      <c r="V12" s="12">
        <v>302</v>
      </c>
      <c r="W12" s="12">
        <v>223</v>
      </c>
      <c r="X12" s="12">
        <v>331</v>
      </c>
      <c r="Y12" s="12">
        <v>405</v>
      </c>
      <c r="Z12" s="12">
        <v>407</v>
      </c>
      <c r="AA12" s="12">
        <v>419</v>
      </c>
      <c r="AB12" s="12">
        <v>465</v>
      </c>
      <c r="AC12" s="12">
        <v>595</v>
      </c>
      <c r="AD12" s="12">
        <v>508</v>
      </c>
      <c r="AE12" s="12">
        <v>341</v>
      </c>
      <c r="AF12" s="12">
        <v>173</v>
      </c>
    </row>
    <row r="13" spans="1:32" x14ac:dyDescent="0.35">
      <c r="A13" s="31"/>
      <c r="B13" s="13" t="s">
        <v>1204</v>
      </c>
      <c r="C13" s="14">
        <v>0.31</v>
      </c>
      <c r="D13" s="14">
        <v>0.32</v>
      </c>
      <c r="E13" s="14">
        <v>0.31</v>
      </c>
      <c r="F13" s="14">
        <v>0.41</v>
      </c>
      <c r="G13" s="14">
        <v>0.25</v>
      </c>
      <c r="H13" s="14">
        <v>0.28000000000000003</v>
      </c>
      <c r="I13" s="14">
        <v>0.27</v>
      </c>
      <c r="J13" s="14">
        <v>0.27</v>
      </c>
      <c r="K13" s="14">
        <v>0.31</v>
      </c>
      <c r="L13" s="14">
        <v>0.36</v>
      </c>
      <c r="M13" s="14">
        <v>0.31</v>
      </c>
      <c r="N13" s="14">
        <v>0.39</v>
      </c>
      <c r="O13" s="14">
        <v>0.3</v>
      </c>
      <c r="P13" s="14">
        <v>0.47</v>
      </c>
      <c r="Q13" s="14">
        <v>0.12</v>
      </c>
      <c r="R13" s="14">
        <v>0.32</v>
      </c>
      <c r="S13" s="14">
        <v>0.23</v>
      </c>
      <c r="T13" s="14">
        <v>0.3</v>
      </c>
      <c r="U13" s="14">
        <v>0.35</v>
      </c>
      <c r="V13" s="14">
        <v>0.3</v>
      </c>
      <c r="W13" s="14">
        <v>0.45</v>
      </c>
      <c r="X13" s="14">
        <v>0.33</v>
      </c>
      <c r="Y13" s="14">
        <v>0.4</v>
      </c>
      <c r="Z13" s="14">
        <v>0.4</v>
      </c>
      <c r="AA13" s="14">
        <v>0.41</v>
      </c>
      <c r="AB13" s="14">
        <v>0.44</v>
      </c>
      <c r="AC13" s="14">
        <v>0.59</v>
      </c>
      <c r="AD13" s="14">
        <v>0.51</v>
      </c>
      <c r="AE13" s="14">
        <v>0.34</v>
      </c>
      <c r="AF13" s="14">
        <v>0.17</v>
      </c>
    </row>
    <row r="14" spans="1:32" ht="21.5" x14ac:dyDescent="0.35">
      <c r="A14" s="31"/>
      <c r="B14" s="11" t="s">
        <v>1205</v>
      </c>
      <c r="C14" s="12">
        <v>11357</v>
      </c>
      <c r="D14" s="12">
        <v>342</v>
      </c>
      <c r="E14" s="12">
        <v>254</v>
      </c>
      <c r="F14" s="12">
        <v>349</v>
      </c>
      <c r="G14" s="12">
        <v>455</v>
      </c>
      <c r="H14" s="12">
        <v>567</v>
      </c>
      <c r="I14" s="12">
        <v>684</v>
      </c>
      <c r="J14" s="12">
        <v>117</v>
      </c>
      <c r="K14" s="12">
        <v>285</v>
      </c>
      <c r="L14" s="12">
        <v>185</v>
      </c>
      <c r="M14" s="12">
        <v>218</v>
      </c>
      <c r="N14" s="12">
        <v>384</v>
      </c>
      <c r="O14" s="12">
        <v>523</v>
      </c>
      <c r="P14" s="12">
        <v>252</v>
      </c>
      <c r="Q14" s="12">
        <v>698</v>
      </c>
      <c r="R14" s="12">
        <v>209</v>
      </c>
      <c r="S14" s="12">
        <v>447</v>
      </c>
      <c r="T14" s="12">
        <v>351</v>
      </c>
      <c r="U14" s="12">
        <v>241</v>
      </c>
      <c r="V14" s="12">
        <v>344</v>
      </c>
      <c r="W14" s="12">
        <v>117</v>
      </c>
      <c r="X14" s="12">
        <v>436</v>
      </c>
      <c r="Y14" s="12">
        <v>199</v>
      </c>
      <c r="Z14" s="12">
        <v>333</v>
      </c>
      <c r="AA14" s="12">
        <v>303</v>
      </c>
      <c r="AB14" s="12">
        <v>256</v>
      </c>
      <c r="AC14" s="12">
        <v>230</v>
      </c>
      <c r="AD14" s="12">
        <v>315</v>
      </c>
      <c r="AE14" s="12">
        <v>384</v>
      </c>
      <c r="AF14" s="12">
        <v>515</v>
      </c>
    </row>
    <row r="15" spans="1:32" x14ac:dyDescent="0.35">
      <c r="A15" s="31"/>
      <c r="B15" s="13" t="s">
        <v>1206</v>
      </c>
      <c r="C15" s="14">
        <v>0.43</v>
      </c>
      <c r="D15" s="14">
        <v>0.34</v>
      </c>
      <c r="E15" s="14">
        <v>0.24</v>
      </c>
      <c r="F15" s="14">
        <v>0.34</v>
      </c>
      <c r="G15" s="14">
        <v>0.45</v>
      </c>
      <c r="H15" s="14">
        <v>0.46</v>
      </c>
      <c r="I15" s="14">
        <v>0.45</v>
      </c>
      <c r="J15" s="14">
        <v>0.39</v>
      </c>
      <c r="K15" s="14">
        <v>0.28000000000000003</v>
      </c>
      <c r="L15" s="14">
        <v>0.18</v>
      </c>
      <c r="M15" s="14">
        <v>0.22</v>
      </c>
      <c r="N15" s="14">
        <v>0.38</v>
      </c>
      <c r="O15" s="14">
        <v>0.52</v>
      </c>
      <c r="P15" s="14">
        <v>0.25</v>
      </c>
      <c r="Q15" s="14">
        <v>0.67</v>
      </c>
      <c r="R15" s="14">
        <v>0.42</v>
      </c>
      <c r="S15" s="14">
        <v>0.44</v>
      </c>
      <c r="T15" s="14">
        <v>0.34</v>
      </c>
      <c r="U15" s="14">
        <v>0.47</v>
      </c>
      <c r="V15" s="14">
        <v>0.34</v>
      </c>
      <c r="W15" s="14">
        <v>0.23</v>
      </c>
      <c r="X15" s="14">
        <v>0.43</v>
      </c>
      <c r="Y15" s="14">
        <v>0.2</v>
      </c>
      <c r="Z15" s="14">
        <v>0.33</v>
      </c>
      <c r="AA15" s="14">
        <v>0.28999999999999998</v>
      </c>
      <c r="AB15" s="14">
        <v>0.24</v>
      </c>
      <c r="AC15" s="14">
        <v>0.23</v>
      </c>
      <c r="AD15" s="14">
        <v>0.31</v>
      </c>
      <c r="AE15" s="14">
        <v>0.38</v>
      </c>
      <c r="AF15" s="14">
        <v>0.5</v>
      </c>
    </row>
    <row r="16" spans="1:32" x14ac:dyDescent="0.35">
      <c r="A16" s="31"/>
      <c r="B16" s="11" t="s">
        <v>1207</v>
      </c>
      <c r="C16" s="12">
        <v>6963</v>
      </c>
      <c r="D16" s="12">
        <v>352</v>
      </c>
      <c r="E16" s="12">
        <v>466</v>
      </c>
      <c r="F16" s="12">
        <v>250</v>
      </c>
      <c r="G16" s="12">
        <v>304</v>
      </c>
      <c r="H16" s="12">
        <v>322</v>
      </c>
      <c r="I16" s="12">
        <v>423</v>
      </c>
      <c r="J16" s="12">
        <v>101</v>
      </c>
      <c r="K16" s="12">
        <v>407</v>
      </c>
      <c r="L16" s="12">
        <v>459</v>
      </c>
      <c r="M16" s="12">
        <v>472</v>
      </c>
      <c r="N16" s="12">
        <v>227</v>
      </c>
      <c r="O16" s="12">
        <v>179</v>
      </c>
      <c r="P16" s="12">
        <v>279</v>
      </c>
      <c r="Q16" s="12">
        <v>218</v>
      </c>
      <c r="R16" s="12">
        <v>131</v>
      </c>
      <c r="S16" s="12">
        <v>339</v>
      </c>
      <c r="T16" s="12">
        <v>365</v>
      </c>
      <c r="U16" s="12">
        <v>91</v>
      </c>
      <c r="V16" s="12">
        <v>368</v>
      </c>
      <c r="W16" s="12">
        <v>160</v>
      </c>
      <c r="X16" s="12">
        <v>244</v>
      </c>
      <c r="Y16" s="12">
        <v>400</v>
      </c>
      <c r="Z16" s="12">
        <v>279</v>
      </c>
      <c r="AA16" s="12">
        <v>308</v>
      </c>
      <c r="AB16" s="12">
        <v>335</v>
      </c>
      <c r="AC16" s="12">
        <v>188</v>
      </c>
      <c r="AD16" s="12">
        <v>181</v>
      </c>
      <c r="AE16" s="12">
        <v>281</v>
      </c>
      <c r="AF16" s="12">
        <v>332</v>
      </c>
    </row>
    <row r="17" spans="1:32" x14ac:dyDescent="0.35">
      <c r="A17" s="31"/>
      <c r="B17" s="13" t="s">
        <v>1208</v>
      </c>
      <c r="C17" s="14">
        <v>0.26</v>
      </c>
      <c r="D17" s="14">
        <v>0.34</v>
      </c>
      <c r="E17" s="14">
        <v>0.45</v>
      </c>
      <c r="F17" s="14">
        <v>0.25</v>
      </c>
      <c r="G17" s="14">
        <v>0.3</v>
      </c>
      <c r="H17" s="14">
        <v>0.26</v>
      </c>
      <c r="I17" s="14">
        <v>0.28000000000000003</v>
      </c>
      <c r="J17" s="14">
        <v>0.34</v>
      </c>
      <c r="K17" s="14">
        <v>0.41</v>
      </c>
      <c r="L17" s="14">
        <v>0.46</v>
      </c>
      <c r="M17" s="14">
        <v>0.47</v>
      </c>
      <c r="N17" s="14">
        <v>0.23</v>
      </c>
      <c r="O17" s="14">
        <v>0.18</v>
      </c>
      <c r="P17" s="14">
        <v>0.28000000000000003</v>
      </c>
      <c r="Q17" s="14">
        <v>0.21</v>
      </c>
      <c r="R17" s="14">
        <v>0.26</v>
      </c>
      <c r="S17" s="14">
        <v>0.33</v>
      </c>
      <c r="T17" s="14">
        <v>0.36</v>
      </c>
      <c r="U17" s="14">
        <v>0.18</v>
      </c>
      <c r="V17" s="14">
        <v>0.36</v>
      </c>
      <c r="W17" s="14">
        <v>0.32</v>
      </c>
      <c r="X17" s="14">
        <v>0.24</v>
      </c>
      <c r="Y17" s="14">
        <v>0.4</v>
      </c>
      <c r="Z17" s="14">
        <v>0.27</v>
      </c>
      <c r="AA17" s="14">
        <v>0.3</v>
      </c>
      <c r="AB17" s="14">
        <v>0.32</v>
      </c>
      <c r="AC17" s="14">
        <v>0.18</v>
      </c>
      <c r="AD17" s="14">
        <v>0.18</v>
      </c>
      <c r="AE17" s="14">
        <v>0.28000000000000003</v>
      </c>
      <c r="AF17" s="14">
        <v>0.33</v>
      </c>
    </row>
    <row r="18" spans="1:32" x14ac:dyDescent="0.35">
      <c r="A18" s="31"/>
      <c r="B18" s="11" t="s">
        <v>344</v>
      </c>
      <c r="C18" s="12">
        <v>5</v>
      </c>
      <c r="D18" s="12">
        <v>0</v>
      </c>
      <c r="E18" s="12">
        <v>0</v>
      </c>
      <c r="F18" s="12">
        <v>0</v>
      </c>
      <c r="G18" s="12">
        <v>0</v>
      </c>
      <c r="H18" s="12">
        <v>0</v>
      </c>
      <c r="I18" s="12">
        <v>0</v>
      </c>
      <c r="J18" s="12">
        <v>0</v>
      </c>
      <c r="K18" s="12">
        <v>1</v>
      </c>
      <c r="L18" s="12">
        <v>0</v>
      </c>
      <c r="M18" s="12">
        <v>0</v>
      </c>
      <c r="N18" s="12">
        <v>0</v>
      </c>
      <c r="O18" s="12">
        <v>0</v>
      </c>
      <c r="P18" s="12">
        <v>0</v>
      </c>
      <c r="Q18" s="12">
        <v>1</v>
      </c>
      <c r="R18" s="12">
        <v>0</v>
      </c>
      <c r="S18" s="12">
        <v>0</v>
      </c>
      <c r="T18" s="12">
        <v>0</v>
      </c>
      <c r="U18" s="12">
        <v>0</v>
      </c>
      <c r="V18" s="12">
        <v>0</v>
      </c>
      <c r="W18" s="12">
        <v>0</v>
      </c>
      <c r="X18" s="12">
        <v>0</v>
      </c>
      <c r="Y18" s="12">
        <v>0</v>
      </c>
      <c r="Z18" s="12">
        <v>0</v>
      </c>
      <c r="AA18" s="12">
        <v>0</v>
      </c>
      <c r="AB18" s="12">
        <v>0</v>
      </c>
      <c r="AC18" s="12">
        <v>0</v>
      </c>
      <c r="AD18" s="12">
        <v>0</v>
      </c>
      <c r="AE18" s="12">
        <v>1</v>
      </c>
      <c r="AF18" s="12">
        <v>0</v>
      </c>
    </row>
    <row r="19" spans="1:32" x14ac:dyDescent="0.35">
      <c r="A19" s="31"/>
      <c r="B19" s="13" t="s">
        <v>357</v>
      </c>
      <c r="C19" s="15" t="s">
        <v>333</v>
      </c>
      <c r="D19" s="15" t="s">
        <v>333</v>
      </c>
      <c r="E19" s="15" t="s">
        <v>333</v>
      </c>
      <c r="F19" s="15" t="s">
        <v>333</v>
      </c>
      <c r="G19" s="15" t="s">
        <v>333</v>
      </c>
      <c r="H19" s="15" t="s">
        <v>333</v>
      </c>
      <c r="I19" s="15" t="s">
        <v>333</v>
      </c>
      <c r="J19" s="15" t="s">
        <v>333</v>
      </c>
      <c r="K19" s="15" t="s">
        <v>333</v>
      </c>
      <c r="L19" s="15" t="s">
        <v>333</v>
      </c>
      <c r="M19" s="15" t="s">
        <v>333</v>
      </c>
      <c r="N19" s="15" t="s">
        <v>333</v>
      </c>
      <c r="O19" s="15" t="s">
        <v>333</v>
      </c>
      <c r="P19" s="15" t="s">
        <v>333</v>
      </c>
      <c r="Q19" s="15" t="s">
        <v>333</v>
      </c>
      <c r="R19" s="15" t="s">
        <v>333</v>
      </c>
      <c r="S19" s="15" t="s">
        <v>333</v>
      </c>
      <c r="T19" s="15" t="s">
        <v>333</v>
      </c>
      <c r="U19" s="15" t="s">
        <v>333</v>
      </c>
      <c r="V19" s="15" t="s">
        <v>333</v>
      </c>
      <c r="W19" s="15" t="s">
        <v>333</v>
      </c>
      <c r="X19" s="15" t="s">
        <v>333</v>
      </c>
      <c r="Y19" s="15" t="s">
        <v>333</v>
      </c>
      <c r="Z19" s="15" t="s">
        <v>333</v>
      </c>
      <c r="AA19" s="15" t="s">
        <v>333</v>
      </c>
      <c r="AB19" s="15" t="s">
        <v>333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239</v>
      </c>
      <c r="C3" s="30"/>
      <c r="D3" s="30"/>
      <c r="E3" s="30"/>
      <c r="F3" s="30"/>
      <c r="H3" s="30" t="s">
        <v>240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1209</v>
      </c>
      <c r="C12" s="12">
        <v>2002</v>
      </c>
      <c r="D12" s="12">
        <v>103</v>
      </c>
      <c r="E12" s="12">
        <v>178</v>
      </c>
      <c r="F12" s="12">
        <v>57</v>
      </c>
      <c r="G12" s="12">
        <v>11</v>
      </c>
      <c r="H12" s="12">
        <v>83</v>
      </c>
      <c r="I12" s="12">
        <v>103</v>
      </c>
      <c r="J12" s="12">
        <v>21</v>
      </c>
      <c r="K12" s="12">
        <v>99</v>
      </c>
      <c r="L12" s="12">
        <v>76</v>
      </c>
      <c r="M12" s="12">
        <v>233</v>
      </c>
      <c r="N12" s="12">
        <v>104</v>
      </c>
      <c r="O12" s="12">
        <v>98</v>
      </c>
      <c r="P12" s="12">
        <v>110</v>
      </c>
      <c r="Q12" s="12">
        <v>61</v>
      </c>
      <c r="R12" s="12">
        <v>109</v>
      </c>
      <c r="S12" s="12">
        <v>79</v>
      </c>
      <c r="T12" s="12">
        <v>42</v>
      </c>
      <c r="U12" s="12">
        <v>15</v>
      </c>
      <c r="V12" s="12">
        <v>34</v>
      </c>
      <c r="W12" s="12">
        <v>13</v>
      </c>
      <c r="X12" s="12">
        <v>61</v>
      </c>
      <c r="Y12" s="12">
        <v>65</v>
      </c>
      <c r="Z12" s="12">
        <v>13</v>
      </c>
      <c r="AA12" s="12">
        <v>97</v>
      </c>
      <c r="AB12" s="12">
        <v>120</v>
      </c>
      <c r="AC12" s="12">
        <v>38</v>
      </c>
      <c r="AD12" s="12">
        <v>38</v>
      </c>
      <c r="AE12" s="12">
        <v>54</v>
      </c>
      <c r="AF12" s="12">
        <v>14</v>
      </c>
    </row>
    <row r="13" spans="1:32" x14ac:dyDescent="0.35">
      <c r="A13" s="31"/>
      <c r="B13" s="13" t="s">
        <v>1210</v>
      </c>
      <c r="C13" s="14">
        <v>7.0000000000000007E-2</v>
      </c>
      <c r="D13" s="14">
        <v>0.1</v>
      </c>
      <c r="E13" s="14">
        <v>0.17</v>
      </c>
      <c r="F13" s="14">
        <v>0.06</v>
      </c>
      <c r="G13" s="14">
        <v>0.01</v>
      </c>
      <c r="H13" s="14">
        <v>7.0000000000000007E-2</v>
      </c>
      <c r="I13" s="14">
        <v>7.0000000000000007E-2</v>
      </c>
      <c r="J13" s="14">
        <v>7.0000000000000007E-2</v>
      </c>
      <c r="K13" s="14">
        <v>0.1</v>
      </c>
      <c r="L13" s="14">
        <v>0.08</v>
      </c>
      <c r="M13" s="14">
        <v>0.23</v>
      </c>
      <c r="N13" s="14">
        <v>0.1</v>
      </c>
      <c r="O13" s="14">
        <v>0.1</v>
      </c>
      <c r="P13" s="14">
        <v>0.11</v>
      </c>
      <c r="Q13" s="14">
        <v>0.06</v>
      </c>
      <c r="R13" s="14">
        <v>0.22</v>
      </c>
      <c r="S13" s="14">
        <v>0.08</v>
      </c>
      <c r="T13" s="14">
        <v>0.04</v>
      </c>
      <c r="U13" s="14">
        <v>0.03</v>
      </c>
      <c r="V13" s="14">
        <v>0.04</v>
      </c>
      <c r="W13" s="14">
        <v>0.03</v>
      </c>
      <c r="X13" s="14">
        <v>0.06</v>
      </c>
      <c r="Y13" s="14">
        <v>7.0000000000000007E-2</v>
      </c>
      <c r="Z13" s="14">
        <v>0.01</v>
      </c>
      <c r="AA13" s="14">
        <v>0.09</v>
      </c>
      <c r="AB13" s="14">
        <v>0.11</v>
      </c>
      <c r="AC13" s="14">
        <v>0.04</v>
      </c>
      <c r="AD13" s="14">
        <v>0.04</v>
      </c>
      <c r="AE13" s="14">
        <v>0.05</v>
      </c>
      <c r="AF13" s="14">
        <v>0.02</v>
      </c>
    </row>
    <row r="14" spans="1:32" x14ac:dyDescent="0.35">
      <c r="A14" s="31"/>
      <c r="B14" s="11" t="s">
        <v>1211</v>
      </c>
      <c r="C14" s="12">
        <v>7069</v>
      </c>
      <c r="D14" s="12">
        <v>276</v>
      </c>
      <c r="E14" s="12">
        <v>443</v>
      </c>
      <c r="F14" s="12">
        <v>267</v>
      </c>
      <c r="G14" s="12">
        <v>101</v>
      </c>
      <c r="H14" s="12">
        <v>245</v>
      </c>
      <c r="I14" s="12">
        <v>309</v>
      </c>
      <c r="J14" s="12">
        <v>64</v>
      </c>
      <c r="K14" s="12">
        <v>234</v>
      </c>
      <c r="L14" s="12">
        <v>377</v>
      </c>
      <c r="M14" s="12">
        <v>568</v>
      </c>
      <c r="N14" s="12">
        <v>167</v>
      </c>
      <c r="O14" s="12">
        <v>251</v>
      </c>
      <c r="P14" s="12">
        <v>380</v>
      </c>
      <c r="Q14" s="12">
        <v>457</v>
      </c>
      <c r="R14" s="12">
        <v>152</v>
      </c>
      <c r="S14" s="12">
        <v>218</v>
      </c>
      <c r="T14" s="12">
        <v>212</v>
      </c>
      <c r="U14" s="12">
        <v>82</v>
      </c>
      <c r="V14" s="12">
        <v>145</v>
      </c>
      <c r="W14" s="12">
        <v>56</v>
      </c>
      <c r="X14" s="12">
        <v>207</v>
      </c>
      <c r="Y14" s="12">
        <v>255</v>
      </c>
      <c r="Z14" s="12">
        <v>175</v>
      </c>
      <c r="AA14" s="12">
        <v>417</v>
      </c>
      <c r="AB14" s="12">
        <v>567</v>
      </c>
      <c r="AC14" s="12">
        <v>164</v>
      </c>
      <c r="AD14" s="12">
        <v>207</v>
      </c>
      <c r="AE14" s="12">
        <v>184</v>
      </c>
      <c r="AF14" s="12">
        <v>54</v>
      </c>
    </row>
    <row r="15" spans="1:32" x14ac:dyDescent="0.35">
      <c r="A15" s="31"/>
      <c r="B15" s="13" t="s">
        <v>1212</v>
      </c>
      <c r="C15" s="14">
        <v>0.27</v>
      </c>
      <c r="D15" s="14">
        <v>0.27</v>
      </c>
      <c r="E15" s="14">
        <v>0.43</v>
      </c>
      <c r="F15" s="14">
        <v>0.26</v>
      </c>
      <c r="G15" s="14">
        <v>0.1</v>
      </c>
      <c r="H15" s="14">
        <v>0.2</v>
      </c>
      <c r="I15" s="14">
        <v>0.2</v>
      </c>
      <c r="J15" s="14">
        <v>0.22</v>
      </c>
      <c r="K15" s="14">
        <v>0.23</v>
      </c>
      <c r="L15" s="14">
        <v>0.38</v>
      </c>
      <c r="M15" s="14">
        <v>0.57000000000000006</v>
      </c>
      <c r="N15" s="14">
        <v>0.17</v>
      </c>
      <c r="O15" s="14">
        <v>0.25</v>
      </c>
      <c r="P15" s="14">
        <v>0.38</v>
      </c>
      <c r="Q15" s="14">
        <v>0.44</v>
      </c>
      <c r="R15" s="14">
        <v>0.3</v>
      </c>
      <c r="S15" s="14">
        <v>0.21</v>
      </c>
      <c r="T15" s="14">
        <v>0.21</v>
      </c>
      <c r="U15" s="14">
        <v>0.16</v>
      </c>
      <c r="V15" s="14">
        <v>0.14000000000000001</v>
      </c>
      <c r="W15" s="14">
        <v>0.11</v>
      </c>
      <c r="X15" s="14">
        <v>0.2</v>
      </c>
      <c r="Y15" s="14">
        <v>0.25</v>
      </c>
      <c r="Z15" s="14">
        <v>0.17</v>
      </c>
      <c r="AA15" s="14">
        <v>0.41</v>
      </c>
      <c r="AB15" s="14">
        <v>0.54</v>
      </c>
      <c r="AC15" s="14">
        <v>0.16</v>
      </c>
      <c r="AD15" s="14">
        <v>0.2</v>
      </c>
      <c r="AE15" s="14">
        <v>0.18</v>
      </c>
      <c r="AF15" s="14">
        <v>0.05</v>
      </c>
    </row>
    <row r="16" spans="1:32" x14ac:dyDescent="0.35">
      <c r="A16" s="31"/>
      <c r="B16" s="11" t="s">
        <v>1213</v>
      </c>
      <c r="C16" s="12">
        <v>17176</v>
      </c>
      <c r="D16" s="12">
        <v>644</v>
      </c>
      <c r="E16" s="12">
        <v>400</v>
      </c>
      <c r="F16" s="12">
        <v>688</v>
      </c>
      <c r="G16" s="12">
        <v>901</v>
      </c>
      <c r="H16" s="12">
        <v>899</v>
      </c>
      <c r="I16" s="12">
        <v>1109</v>
      </c>
      <c r="J16" s="12">
        <v>209</v>
      </c>
      <c r="K16" s="12">
        <v>660</v>
      </c>
      <c r="L16" s="12">
        <v>547</v>
      </c>
      <c r="M16" s="12">
        <v>202</v>
      </c>
      <c r="N16" s="12">
        <v>724</v>
      </c>
      <c r="O16" s="12">
        <v>639</v>
      </c>
      <c r="P16" s="12">
        <v>511</v>
      </c>
      <c r="Q16" s="12">
        <v>513</v>
      </c>
      <c r="R16" s="12">
        <v>238</v>
      </c>
      <c r="S16" s="12">
        <v>722</v>
      </c>
      <c r="T16" s="12">
        <v>760</v>
      </c>
      <c r="U16" s="12">
        <v>412</v>
      </c>
      <c r="V16" s="12">
        <v>834</v>
      </c>
      <c r="W16" s="12">
        <v>430</v>
      </c>
      <c r="X16" s="12">
        <v>742</v>
      </c>
      <c r="Y16" s="12">
        <v>642</v>
      </c>
      <c r="Z16" s="12">
        <v>831</v>
      </c>
      <c r="AA16" s="12">
        <v>511</v>
      </c>
      <c r="AB16" s="12">
        <v>367</v>
      </c>
      <c r="AC16" s="12">
        <v>810</v>
      </c>
      <c r="AD16" s="12">
        <v>740</v>
      </c>
      <c r="AE16" s="12">
        <v>750</v>
      </c>
      <c r="AF16" s="12">
        <v>948</v>
      </c>
    </row>
    <row r="17" spans="1:32" x14ac:dyDescent="0.35">
      <c r="A17" s="31"/>
      <c r="B17" s="13" t="s">
        <v>1214</v>
      </c>
      <c r="C17" s="14">
        <v>0.65</v>
      </c>
      <c r="D17" s="14">
        <v>0.63</v>
      </c>
      <c r="E17" s="14">
        <v>0.38</v>
      </c>
      <c r="F17" s="14">
        <v>0.67</v>
      </c>
      <c r="G17" s="14">
        <v>0.89</v>
      </c>
      <c r="H17" s="14">
        <v>0.73</v>
      </c>
      <c r="I17" s="14">
        <v>0.72</v>
      </c>
      <c r="J17" s="14">
        <v>0.70000000000000007</v>
      </c>
      <c r="K17" s="14">
        <v>0.65</v>
      </c>
      <c r="L17" s="14">
        <v>0.54</v>
      </c>
      <c r="M17" s="14">
        <v>0.2</v>
      </c>
      <c r="N17" s="14">
        <v>0.72</v>
      </c>
      <c r="O17" s="14">
        <v>0.64</v>
      </c>
      <c r="P17" s="14">
        <v>0.51</v>
      </c>
      <c r="Q17" s="14">
        <v>0.5</v>
      </c>
      <c r="R17" s="14">
        <v>0.48</v>
      </c>
      <c r="S17" s="14">
        <v>0.71</v>
      </c>
      <c r="T17" s="14">
        <v>0.75</v>
      </c>
      <c r="U17" s="14">
        <v>0.81</v>
      </c>
      <c r="V17" s="14">
        <v>0.82000000000000006</v>
      </c>
      <c r="W17" s="14">
        <v>0.86</v>
      </c>
      <c r="X17" s="14">
        <v>0.74</v>
      </c>
      <c r="Y17" s="14">
        <v>0.64</v>
      </c>
      <c r="Z17" s="14">
        <v>0.82000000000000006</v>
      </c>
      <c r="AA17" s="14">
        <v>0.5</v>
      </c>
      <c r="AB17" s="14">
        <v>0.35</v>
      </c>
      <c r="AC17" s="14">
        <v>0.8</v>
      </c>
      <c r="AD17" s="14">
        <v>0.74</v>
      </c>
      <c r="AE17" s="14">
        <v>0.75</v>
      </c>
      <c r="AF17" s="14">
        <v>0.93</v>
      </c>
    </row>
    <row r="18" spans="1:32" x14ac:dyDescent="0.35">
      <c r="A18" s="31"/>
      <c r="B18" s="11" t="s">
        <v>1110</v>
      </c>
      <c r="C18" s="12">
        <v>163</v>
      </c>
      <c r="D18" s="12">
        <v>2</v>
      </c>
      <c r="E18" s="12">
        <v>18</v>
      </c>
      <c r="F18" s="12">
        <v>6</v>
      </c>
      <c r="G18" s="12">
        <v>4</v>
      </c>
      <c r="H18" s="12">
        <v>6</v>
      </c>
      <c r="I18" s="12">
        <v>9</v>
      </c>
      <c r="J18" s="12">
        <v>3</v>
      </c>
      <c r="K18" s="12">
        <v>17</v>
      </c>
      <c r="L18" s="12">
        <v>4</v>
      </c>
      <c r="M18" s="12">
        <v>1</v>
      </c>
      <c r="N18" s="12">
        <v>5</v>
      </c>
      <c r="O18" s="12">
        <v>12</v>
      </c>
      <c r="P18" s="12">
        <v>3</v>
      </c>
      <c r="Q18" s="12">
        <v>4</v>
      </c>
      <c r="R18" s="12">
        <v>2</v>
      </c>
      <c r="S18" s="12">
        <v>2</v>
      </c>
      <c r="T18" s="12">
        <v>3</v>
      </c>
      <c r="U18" s="12">
        <v>0</v>
      </c>
      <c r="V18" s="12">
        <v>2</v>
      </c>
      <c r="W18" s="12">
        <v>2</v>
      </c>
      <c r="X18" s="12">
        <v>0</v>
      </c>
      <c r="Y18" s="12">
        <v>41</v>
      </c>
      <c r="Z18" s="12">
        <v>0</v>
      </c>
      <c r="AA18" s="12">
        <v>4</v>
      </c>
      <c r="AB18" s="12">
        <v>2</v>
      </c>
      <c r="AC18" s="12">
        <v>0</v>
      </c>
      <c r="AD18" s="12">
        <v>20</v>
      </c>
      <c r="AE18" s="12">
        <v>18</v>
      </c>
      <c r="AF18" s="12">
        <v>3</v>
      </c>
    </row>
    <row r="19" spans="1:32" x14ac:dyDescent="0.35">
      <c r="A19" s="31"/>
      <c r="B19" s="13" t="s">
        <v>1111</v>
      </c>
      <c r="C19" s="14">
        <v>0.01</v>
      </c>
      <c r="D19" s="15" t="s">
        <v>333</v>
      </c>
      <c r="E19" s="14">
        <v>0.02</v>
      </c>
      <c r="F19" s="14">
        <v>0.01</v>
      </c>
      <c r="G19" s="15" t="s">
        <v>333</v>
      </c>
      <c r="H19" s="15" t="s">
        <v>333</v>
      </c>
      <c r="I19" s="14">
        <v>0.01</v>
      </c>
      <c r="J19" s="14">
        <v>0.01</v>
      </c>
      <c r="K19" s="14">
        <v>0.02</v>
      </c>
      <c r="L19" s="15" t="s">
        <v>333</v>
      </c>
      <c r="M19" s="15" t="s">
        <v>333</v>
      </c>
      <c r="N19" s="14">
        <v>0.01</v>
      </c>
      <c r="O19" s="14">
        <v>0.01</v>
      </c>
      <c r="P19" s="15" t="s">
        <v>333</v>
      </c>
      <c r="Q19" s="15" t="s">
        <v>333</v>
      </c>
      <c r="R19" s="15" t="s">
        <v>333</v>
      </c>
      <c r="S19" s="15" t="s">
        <v>333</v>
      </c>
      <c r="T19" s="15" t="s">
        <v>333</v>
      </c>
      <c r="U19" s="15" t="s">
        <v>333</v>
      </c>
      <c r="V19" s="15" t="s">
        <v>333</v>
      </c>
      <c r="W19" s="15" t="s">
        <v>333</v>
      </c>
      <c r="X19" s="15" t="s">
        <v>333</v>
      </c>
      <c r="Y19" s="14">
        <v>0.04</v>
      </c>
      <c r="Z19" s="15" t="s">
        <v>333</v>
      </c>
      <c r="AA19" s="15" t="s">
        <v>333</v>
      </c>
      <c r="AB19" s="15" t="s">
        <v>333</v>
      </c>
      <c r="AC19" s="15" t="s">
        <v>333</v>
      </c>
      <c r="AD19" s="14">
        <v>0.02</v>
      </c>
      <c r="AE19" s="14">
        <v>0.02</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241</v>
      </c>
      <c r="C3" s="30"/>
      <c r="D3" s="30"/>
      <c r="E3" s="30"/>
      <c r="F3" s="30"/>
      <c r="H3" s="30" t="s">
        <v>242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1016</v>
      </c>
      <c r="C12" s="12">
        <v>5404</v>
      </c>
      <c r="D12" s="12">
        <v>235</v>
      </c>
      <c r="E12" s="12">
        <v>98</v>
      </c>
      <c r="F12" s="12">
        <v>188</v>
      </c>
      <c r="G12" s="12">
        <v>683</v>
      </c>
      <c r="H12" s="12">
        <v>295</v>
      </c>
      <c r="I12" s="12">
        <v>349</v>
      </c>
      <c r="J12" s="12">
        <v>54</v>
      </c>
      <c r="K12" s="12">
        <v>100</v>
      </c>
      <c r="L12" s="12">
        <v>402</v>
      </c>
      <c r="M12" s="12">
        <v>88</v>
      </c>
      <c r="N12" s="12">
        <v>251</v>
      </c>
      <c r="O12" s="12">
        <v>165</v>
      </c>
      <c r="P12" s="12">
        <v>175</v>
      </c>
      <c r="Q12" s="12">
        <v>115</v>
      </c>
      <c r="R12" s="12">
        <v>110</v>
      </c>
      <c r="S12" s="12">
        <v>171</v>
      </c>
      <c r="T12" s="12">
        <v>210</v>
      </c>
      <c r="U12" s="12">
        <v>212</v>
      </c>
      <c r="V12" s="12">
        <v>74</v>
      </c>
      <c r="W12" s="12">
        <v>195</v>
      </c>
      <c r="X12" s="12">
        <v>448</v>
      </c>
      <c r="Y12" s="12">
        <v>333</v>
      </c>
      <c r="Z12" s="12">
        <v>143</v>
      </c>
      <c r="AA12" s="12">
        <v>126</v>
      </c>
      <c r="AB12" s="12">
        <v>75</v>
      </c>
      <c r="AC12" s="12">
        <v>369</v>
      </c>
      <c r="AD12" s="12">
        <v>233</v>
      </c>
      <c r="AE12" s="12">
        <v>346</v>
      </c>
      <c r="AF12" s="12">
        <v>467</v>
      </c>
    </row>
    <row r="13" spans="1:32" x14ac:dyDescent="0.35">
      <c r="A13" s="31"/>
      <c r="B13" s="13" t="s">
        <v>1017</v>
      </c>
      <c r="C13" s="14">
        <v>0.21</v>
      </c>
      <c r="D13" s="14">
        <v>0.23</v>
      </c>
      <c r="E13" s="14">
        <v>0.09</v>
      </c>
      <c r="F13" s="14">
        <v>0.18</v>
      </c>
      <c r="G13" s="14">
        <v>0.67</v>
      </c>
      <c r="H13" s="14">
        <v>0.24</v>
      </c>
      <c r="I13" s="14">
        <v>0.23</v>
      </c>
      <c r="J13" s="14">
        <v>0.18</v>
      </c>
      <c r="K13" s="14">
        <v>0.1</v>
      </c>
      <c r="L13" s="14">
        <v>0.4</v>
      </c>
      <c r="M13" s="14">
        <v>0.09</v>
      </c>
      <c r="N13" s="14">
        <v>0.25</v>
      </c>
      <c r="O13" s="14">
        <v>0.17</v>
      </c>
      <c r="P13" s="14">
        <v>0.17</v>
      </c>
      <c r="Q13" s="14">
        <v>0.11</v>
      </c>
      <c r="R13" s="14">
        <v>0.22</v>
      </c>
      <c r="S13" s="14">
        <v>0.17</v>
      </c>
      <c r="T13" s="14">
        <v>0.21</v>
      </c>
      <c r="U13" s="14">
        <v>0.42</v>
      </c>
      <c r="V13" s="14">
        <v>7.0000000000000007E-2</v>
      </c>
      <c r="W13" s="14">
        <v>0.39</v>
      </c>
      <c r="X13" s="14">
        <v>0.44</v>
      </c>
      <c r="Y13" s="14">
        <v>0.33</v>
      </c>
      <c r="Z13" s="14">
        <v>0.14000000000000001</v>
      </c>
      <c r="AA13" s="14">
        <v>0.12</v>
      </c>
      <c r="AB13" s="14">
        <v>7.0000000000000007E-2</v>
      </c>
      <c r="AC13" s="14">
        <v>0.36</v>
      </c>
      <c r="AD13" s="14">
        <v>0.23</v>
      </c>
      <c r="AE13" s="14">
        <v>0.34</v>
      </c>
      <c r="AF13" s="14">
        <v>0.46</v>
      </c>
    </row>
    <row r="14" spans="1:32" x14ac:dyDescent="0.35">
      <c r="A14" s="31"/>
      <c r="B14" s="11" t="s">
        <v>1018</v>
      </c>
      <c r="C14" s="12">
        <v>16805</v>
      </c>
      <c r="D14" s="12">
        <v>645</v>
      </c>
      <c r="E14" s="12">
        <v>603</v>
      </c>
      <c r="F14" s="12">
        <v>714</v>
      </c>
      <c r="G14" s="12">
        <v>306</v>
      </c>
      <c r="H14" s="12">
        <v>799</v>
      </c>
      <c r="I14" s="12">
        <v>983</v>
      </c>
      <c r="J14" s="12">
        <v>184</v>
      </c>
      <c r="K14" s="12">
        <v>678</v>
      </c>
      <c r="L14" s="12">
        <v>552</v>
      </c>
      <c r="M14" s="12">
        <v>589</v>
      </c>
      <c r="N14" s="12">
        <v>606</v>
      </c>
      <c r="O14" s="12">
        <v>668</v>
      </c>
      <c r="P14" s="12">
        <v>602</v>
      </c>
      <c r="Q14" s="12">
        <v>698</v>
      </c>
      <c r="R14" s="12">
        <v>289</v>
      </c>
      <c r="S14" s="12">
        <v>671</v>
      </c>
      <c r="T14" s="12">
        <v>641</v>
      </c>
      <c r="U14" s="12">
        <v>273</v>
      </c>
      <c r="V14" s="12">
        <v>735</v>
      </c>
      <c r="W14" s="12">
        <v>273</v>
      </c>
      <c r="X14" s="12">
        <v>505</v>
      </c>
      <c r="Y14" s="12">
        <v>534</v>
      </c>
      <c r="Z14" s="12">
        <v>789</v>
      </c>
      <c r="AA14" s="12">
        <v>776</v>
      </c>
      <c r="AB14" s="12">
        <v>541</v>
      </c>
      <c r="AC14" s="12">
        <v>578</v>
      </c>
      <c r="AD14" s="12">
        <v>641</v>
      </c>
      <c r="AE14" s="12">
        <v>573</v>
      </c>
      <c r="AF14" s="12">
        <v>506</v>
      </c>
    </row>
    <row r="15" spans="1:32" x14ac:dyDescent="0.35">
      <c r="A15" s="31"/>
      <c r="B15" s="13" t="s">
        <v>1019</v>
      </c>
      <c r="C15" s="14">
        <v>0.64</v>
      </c>
      <c r="D15" s="14">
        <v>0.63</v>
      </c>
      <c r="E15" s="14">
        <v>0.57999999999999996</v>
      </c>
      <c r="F15" s="14">
        <v>0.70000000000000007</v>
      </c>
      <c r="G15" s="14">
        <v>0.3</v>
      </c>
      <c r="H15" s="14">
        <v>0.65</v>
      </c>
      <c r="I15" s="14">
        <v>0.64</v>
      </c>
      <c r="J15" s="14">
        <v>0.62</v>
      </c>
      <c r="K15" s="14">
        <v>0.67</v>
      </c>
      <c r="L15" s="14">
        <v>0.55000000000000004</v>
      </c>
      <c r="M15" s="14">
        <v>0.57999999999999996</v>
      </c>
      <c r="N15" s="14">
        <v>0.61</v>
      </c>
      <c r="O15" s="14">
        <v>0.67</v>
      </c>
      <c r="P15" s="14">
        <v>0.6</v>
      </c>
      <c r="Q15" s="14">
        <v>0.67</v>
      </c>
      <c r="R15" s="14">
        <v>0.57999999999999996</v>
      </c>
      <c r="S15" s="14">
        <v>0.66</v>
      </c>
      <c r="T15" s="14">
        <v>0.63</v>
      </c>
      <c r="U15" s="14">
        <v>0.53</v>
      </c>
      <c r="V15" s="14">
        <v>0.72</v>
      </c>
      <c r="W15" s="14">
        <v>0.54</v>
      </c>
      <c r="X15" s="14">
        <v>0.5</v>
      </c>
      <c r="Y15" s="14">
        <v>0.53</v>
      </c>
      <c r="Z15" s="14">
        <v>0.77</v>
      </c>
      <c r="AA15" s="14">
        <v>0.75</v>
      </c>
      <c r="AB15" s="14">
        <v>0.51</v>
      </c>
      <c r="AC15" s="14">
        <v>0.57000000000000006</v>
      </c>
      <c r="AD15" s="14">
        <v>0.64</v>
      </c>
      <c r="AE15" s="14">
        <v>0.57000000000000006</v>
      </c>
      <c r="AF15" s="14">
        <v>0.49</v>
      </c>
    </row>
    <row r="16" spans="1:32" x14ac:dyDescent="0.35">
      <c r="A16" s="31"/>
      <c r="B16" s="11" t="s">
        <v>1020</v>
      </c>
      <c r="C16" s="12">
        <v>3531</v>
      </c>
      <c r="D16" s="12">
        <v>128</v>
      </c>
      <c r="E16" s="12">
        <v>267</v>
      </c>
      <c r="F16" s="12">
        <v>103</v>
      </c>
      <c r="G16" s="12">
        <v>19</v>
      </c>
      <c r="H16" s="12">
        <v>108</v>
      </c>
      <c r="I16" s="12">
        <v>158</v>
      </c>
      <c r="J16" s="12">
        <v>51</v>
      </c>
      <c r="K16" s="12">
        <v>187</v>
      </c>
      <c r="L16" s="12">
        <v>36</v>
      </c>
      <c r="M16" s="12">
        <v>268</v>
      </c>
      <c r="N16" s="12">
        <v>130</v>
      </c>
      <c r="O16" s="12">
        <v>132</v>
      </c>
      <c r="P16" s="12">
        <v>207</v>
      </c>
      <c r="Q16" s="12">
        <v>201</v>
      </c>
      <c r="R16" s="12">
        <v>84</v>
      </c>
      <c r="S16" s="12">
        <v>153</v>
      </c>
      <c r="T16" s="12">
        <v>150</v>
      </c>
      <c r="U16" s="12">
        <v>20</v>
      </c>
      <c r="V16" s="12">
        <v>168</v>
      </c>
      <c r="W16" s="12">
        <v>28</v>
      </c>
      <c r="X16" s="12">
        <v>51</v>
      </c>
      <c r="Y16" s="12">
        <v>119</v>
      </c>
      <c r="Z16" s="12">
        <v>72</v>
      </c>
      <c r="AA16" s="12">
        <v>120</v>
      </c>
      <c r="AB16" s="12">
        <v>342</v>
      </c>
      <c r="AC16" s="12">
        <v>59</v>
      </c>
      <c r="AD16" s="12">
        <v>121</v>
      </c>
      <c r="AE16" s="12">
        <v>76</v>
      </c>
      <c r="AF16" s="12">
        <v>39</v>
      </c>
    </row>
    <row r="17" spans="1:32" x14ac:dyDescent="0.35">
      <c r="A17" s="31"/>
      <c r="B17" s="13" t="s">
        <v>1021</v>
      </c>
      <c r="C17" s="14">
        <v>0.13</v>
      </c>
      <c r="D17" s="14">
        <v>0.12</v>
      </c>
      <c r="E17" s="14">
        <v>0.26</v>
      </c>
      <c r="F17" s="14">
        <v>0.1</v>
      </c>
      <c r="G17" s="14">
        <v>0.02</v>
      </c>
      <c r="H17" s="14">
        <v>0.09</v>
      </c>
      <c r="I17" s="14">
        <v>0.11</v>
      </c>
      <c r="J17" s="14">
        <v>0.17</v>
      </c>
      <c r="K17" s="14">
        <v>0.19</v>
      </c>
      <c r="L17" s="14">
        <v>0.04</v>
      </c>
      <c r="M17" s="14">
        <v>0.27</v>
      </c>
      <c r="N17" s="14">
        <v>0.13</v>
      </c>
      <c r="O17" s="14">
        <v>0.13</v>
      </c>
      <c r="P17" s="14">
        <v>0.21</v>
      </c>
      <c r="Q17" s="14">
        <v>0.2</v>
      </c>
      <c r="R17" s="14">
        <v>0.17</v>
      </c>
      <c r="S17" s="14">
        <v>0.15</v>
      </c>
      <c r="T17" s="14">
        <v>0.15</v>
      </c>
      <c r="U17" s="14">
        <v>0.04</v>
      </c>
      <c r="V17" s="14">
        <v>0.17</v>
      </c>
      <c r="W17" s="14">
        <v>0.06</v>
      </c>
      <c r="X17" s="14">
        <v>0.05</v>
      </c>
      <c r="Y17" s="14">
        <v>0.12</v>
      </c>
      <c r="Z17" s="14">
        <v>7.0000000000000007E-2</v>
      </c>
      <c r="AA17" s="14">
        <v>0.12</v>
      </c>
      <c r="AB17" s="14">
        <v>0.33</v>
      </c>
      <c r="AC17" s="14">
        <v>0.06</v>
      </c>
      <c r="AD17" s="14">
        <v>0.12</v>
      </c>
      <c r="AE17" s="14">
        <v>0.08</v>
      </c>
      <c r="AF17" s="14">
        <v>0.04</v>
      </c>
    </row>
    <row r="18" spans="1:32" x14ac:dyDescent="0.35">
      <c r="A18" s="31"/>
      <c r="B18" s="11" t="s">
        <v>1022</v>
      </c>
      <c r="C18" s="12">
        <v>608</v>
      </c>
      <c r="D18" s="12">
        <v>16</v>
      </c>
      <c r="E18" s="12">
        <v>65</v>
      </c>
      <c r="F18" s="12">
        <v>7</v>
      </c>
      <c r="G18" s="12">
        <v>3</v>
      </c>
      <c r="H18" s="12">
        <v>28</v>
      </c>
      <c r="I18" s="12">
        <v>35</v>
      </c>
      <c r="J18" s="12">
        <v>7</v>
      </c>
      <c r="K18" s="12">
        <v>29</v>
      </c>
      <c r="L18" s="12">
        <v>9</v>
      </c>
      <c r="M18" s="12">
        <v>58</v>
      </c>
      <c r="N18" s="12">
        <v>13</v>
      </c>
      <c r="O18" s="12">
        <v>32</v>
      </c>
      <c r="P18" s="12">
        <v>19</v>
      </c>
      <c r="Q18" s="12">
        <v>20</v>
      </c>
      <c r="R18" s="12">
        <v>18</v>
      </c>
      <c r="S18" s="12">
        <v>25</v>
      </c>
      <c r="T18" s="12">
        <v>12</v>
      </c>
      <c r="U18" s="12">
        <v>4</v>
      </c>
      <c r="V18" s="12">
        <v>37</v>
      </c>
      <c r="W18" s="12">
        <v>3</v>
      </c>
      <c r="X18" s="12">
        <v>5</v>
      </c>
      <c r="Y18" s="12">
        <v>17</v>
      </c>
      <c r="Z18" s="12">
        <v>9</v>
      </c>
      <c r="AA18" s="12">
        <v>6</v>
      </c>
      <c r="AB18" s="12">
        <v>98</v>
      </c>
      <c r="AC18" s="12">
        <v>7</v>
      </c>
      <c r="AD18" s="12">
        <v>9</v>
      </c>
      <c r="AE18" s="12">
        <v>7</v>
      </c>
      <c r="AF18" s="12">
        <v>7</v>
      </c>
    </row>
    <row r="19" spans="1:32" x14ac:dyDescent="0.35">
      <c r="A19" s="31"/>
      <c r="B19" s="13" t="s">
        <v>1023</v>
      </c>
      <c r="C19" s="14">
        <v>0.02</v>
      </c>
      <c r="D19" s="14">
        <v>0.02</v>
      </c>
      <c r="E19" s="14">
        <v>0.06</v>
      </c>
      <c r="F19" s="14">
        <v>0.01</v>
      </c>
      <c r="G19" s="15" t="s">
        <v>333</v>
      </c>
      <c r="H19" s="14">
        <v>0.02</v>
      </c>
      <c r="I19" s="14">
        <v>0.02</v>
      </c>
      <c r="J19" s="14">
        <v>0.02</v>
      </c>
      <c r="K19" s="14">
        <v>0.03</v>
      </c>
      <c r="L19" s="14">
        <v>0.01</v>
      </c>
      <c r="M19" s="14">
        <v>0.06</v>
      </c>
      <c r="N19" s="14">
        <v>0.01</v>
      </c>
      <c r="O19" s="14">
        <v>0.03</v>
      </c>
      <c r="P19" s="14">
        <v>0.02</v>
      </c>
      <c r="Q19" s="14">
        <v>0.02</v>
      </c>
      <c r="R19" s="14">
        <v>0.03</v>
      </c>
      <c r="S19" s="14">
        <v>0.02</v>
      </c>
      <c r="T19" s="14">
        <v>0.01</v>
      </c>
      <c r="U19" s="14">
        <v>0.01</v>
      </c>
      <c r="V19" s="14">
        <v>0.04</v>
      </c>
      <c r="W19" s="14">
        <v>0.01</v>
      </c>
      <c r="X19" s="14">
        <v>0.01</v>
      </c>
      <c r="Y19" s="14">
        <v>0.02</v>
      </c>
      <c r="Z19" s="14">
        <v>0.01</v>
      </c>
      <c r="AA19" s="14">
        <v>0.01</v>
      </c>
      <c r="AB19" s="14">
        <v>0.09</v>
      </c>
      <c r="AC19" s="14">
        <v>0.01</v>
      </c>
      <c r="AD19" s="14">
        <v>0.01</v>
      </c>
      <c r="AE19" s="14">
        <v>0.01</v>
      </c>
      <c r="AF19" s="14">
        <v>0.01</v>
      </c>
    </row>
    <row r="20" spans="1:32" x14ac:dyDescent="0.35">
      <c r="A20" s="31"/>
      <c r="B20" s="11" t="s">
        <v>344</v>
      </c>
      <c r="C20" s="12">
        <v>62</v>
      </c>
      <c r="D20" s="12">
        <v>1</v>
      </c>
      <c r="E20" s="12">
        <v>6</v>
      </c>
      <c r="F20" s="12">
        <v>6</v>
      </c>
      <c r="G20" s="12">
        <v>6</v>
      </c>
      <c r="H20" s="12">
        <v>3</v>
      </c>
      <c r="I20" s="12">
        <v>4</v>
      </c>
      <c r="J20" s="12">
        <v>2</v>
      </c>
      <c r="K20" s="12">
        <v>14</v>
      </c>
      <c r="L20" s="12">
        <v>5</v>
      </c>
      <c r="M20" s="12">
        <v>0</v>
      </c>
      <c r="N20" s="12">
        <v>0</v>
      </c>
      <c r="O20" s="12">
        <v>4</v>
      </c>
      <c r="P20" s="12">
        <v>1</v>
      </c>
      <c r="Q20" s="12">
        <v>1</v>
      </c>
      <c r="R20" s="12">
        <v>0</v>
      </c>
      <c r="S20" s="12">
        <v>1</v>
      </c>
      <c r="T20" s="12">
        <v>4</v>
      </c>
      <c r="U20" s="12">
        <v>0</v>
      </c>
      <c r="V20" s="12">
        <v>1</v>
      </c>
      <c r="W20" s="12">
        <v>3</v>
      </c>
      <c r="X20" s="12">
        <v>0</v>
      </c>
      <c r="Y20" s="12">
        <v>0</v>
      </c>
      <c r="Z20" s="12">
        <v>7</v>
      </c>
      <c r="AA20" s="12">
        <v>2</v>
      </c>
      <c r="AB20" s="12">
        <v>0</v>
      </c>
      <c r="AC20" s="12">
        <v>0</v>
      </c>
      <c r="AD20" s="12">
        <v>0</v>
      </c>
      <c r="AE20" s="12">
        <v>5</v>
      </c>
      <c r="AF20" s="12">
        <v>1</v>
      </c>
    </row>
    <row r="21" spans="1:32" x14ac:dyDescent="0.35">
      <c r="A21" s="31"/>
      <c r="B21" s="13" t="s">
        <v>357</v>
      </c>
      <c r="C21" s="15" t="s">
        <v>333</v>
      </c>
      <c r="D21" s="15" t="s">
        <v>333</v>
      </c>
      <c r="E21" s="14">
        <v>0.01</v>
      </c>
      <c r="F21" s="14">
        <v>0.01</v>
      </c>
      <c r="G21" s="14">
        <v>0.01</v>
      </c>
      <c r="H21" s="15" t="s">
        <v>333</v>
      </c>
      <c r="I21" s="15" t="s">
        <v>333</v>
      </c>
      <c r="J21" s="14">
        <v>0.01</v>
      </c>
      <c r="K21" s="14">
        <v>0.01</v>
      </c>
      <c r="L21" s="15" t="s">
        <v>333</v>
      </c>
      <c r="M21" s="15" t="s">
        <v>333</v>
      </c>
      <c r="N21" s="15" t="s">
        <v>333</v>
      </c>
      <c r="O21" s="15" t="s">
        <v>333</v>
      </c>
      <c r="P21" s="15" t="s">
        <v>333</v>
      </c>
      <c r="Q21" s="15" t="s">
        <v>333</v>
      </c>
      <c r="R21" s="15" t="s">
        <v>333</v>
      </c>
      <c r="S21" s="15" t="s">
        <v>333</v>
      </c>
      <c r="T21" s="15" t="s">
        <v>333</v>
      </c>
      <c r="U21" s="15" t="s">
        <v>333</v>
      </c>
      <c r="V21" s="15" t="s">
        <v>333</v>
      </c>
      <c r="W21" s="15" t="s">
        <v>333</v>
      </c>
      <c r="X21" s="15" t="s">
        <v>333</v>
      </c>
      <c r="Y21" s="15" t="s">
        <v>333</v>
      </c>
      <c r="Z21" s="14">
        <v>0.01</v>
      </c>
      <c r="AA21" s="15" t="s">
        <v>333</v>
      </c>
      <c r="AB21" s="15" t="s">
        <v>333</v>
      </c>
      <c r="AC21" s="15" t="s">
        <v>333</v>
      </c>
      <c r="AD21" s="15" t="s">
        <v>333</v>
      </c>
      <c r="AE21" s="15" t="s">
        <v>333</v>
      </c>
      <c r="AF21" s="15" t="s">
        <v>333</v>
      </c>
    </row>
    <row r="22" spans="1:32" x14ac:dyDescent="0.35">
      <c r="A22" s="31"/>
      <c r="B22" s="11" t="s">
        <v>1024</v>
      </c>
      <c r="C22" s="12">
        <v>22209</v>
      </c>
      <c r="D22" s="12">
        <v>880</v>
      </c>
      <c r="E22" s="12">
        <v>701</v>
      </c>
      <c r="F22" s="12">
        <v>902</v>
      </c>
      <c r="G22" s="12">
        <v>989</v>
      </c>
      <c r="H22" s="12">
        <v>1094</v>
      </c>
      <c r="I22" s="12">
        <v>1332</v>
      </c>
      <c r="J22" s="12">
        <v>238</v>
      </c>
      <c r="K22" s="12">
        <v>778</v>
      </c>
      <c r="L22" s="12">
        <v>954</v>
      </c>
      <c r="M22" s="12">
        <v>677</v>
      </c>
      <c r="N22" s="12">
        <v>857</v>
      </c>
      <c r="O22" s="12">
        <v>833</v>
      </c>
      <c r="P22" s="12">
        <v>777</v>
      </c>
      <c r="Q22" s="12">
        <v>813</v>
      </c>
      <c r="R22" s="12">
        <v>399</v>
      </c>
      <c r="S22" s="12">
        <v>842</v>
      </c>
      <c r="T22" s="12">
        <v>851</v>
      </c>
      <c r="U22" s="12">
        <v>485</v>
      </c>
      <c r="V22" s="12">
        <v>809</v>
      </c>
      <c r="W22" s="12">
        <v>468</v>
      </c>
      <c r="X22" s="12">
        <v>953</v>
      </c>
      <c r="Y22" s="12">
        <v>867</v>
      </c>
      <c r="Z22" s="12">
        <v>932</v>
      </c>
      <c r="AA22" s="12">
        <v>902</v>
      </c>
      <c r="AB22" s="12">
        <v>616</v>
      </c>
      <c r="AC22" s="12">
        <v>947</v>
      </c>
      <c r="AD22" s="12">
        <v>874</v>
      </c>
      <c r="AE22" s="12">
        <v>919</v>
      </c>
      <c r="AF22" s="12">
        <v>973</v>
      </c>
    </row>
    <row r="23" spans="1:32" x14ac:dyDescent="0.35">
      <c r="A23" s="31"/>
      <c r="B23" s="13" t="s">
        <v>1025</v>
      </c>
      <c r="C23" s="14">
        <v>0.85</v>
      </c>
      <c r="D23" s="14">
        <v>0.86</v>
      </c>
      <c r="E23" s="14">
        <v>0.67</v>
      </c>
      <c r="F23" s="14">
        <v>0.88</v>
      </c>
      <c r="G23" s="14">
        <v>0.97</v>
      </c>
      <c r="H23" s="14">
        <v>0.89</v>
      </c>
      <c r="I23" s="14">
        <v>0.87</v>
      </c>
      <c r="J23" s="14">
        <v>0.8</v>
      </c>
      <c r="K23" s="14">
        <v>0.77</v>
      </c>
      <c r="L23" s="14">
        <v>0.95000000000000007</v>
      </c>
      <c r="M23" s="14">
        <v>0.67</v>
      </c>
      <c r="N23" s="14">
        <v>0.86</v>
      </c>
      <c r="O23" s="14">
        <v>0.84</v>
      </c>
      <c r="P23" s="14">
        <v>0.77</v>
      </c>
      <c r="Q23" s="14">
        <v>0.78</v>
      </c>
      <c r="R23" s="14">
        <v>0.8</v>
      </c>
      <c r="S23" s="14">
        <v>0.83000000000000007</v>
      </c>
      <c r="T23" s="14">
        <v>0.84</v>
      </c>
      <c r="U23" s="14">
        <v>0.95000000000000007</v>
      </c>
      <c r="V23" s="14">
        <v>0.79</v>
      </c>
      <c r="W23" s="14">
        <v>0.93</v>
      </c>
      <c r="X23" s="14">
        <v>0.94000000000000006</v>
      </c>
      <c r="Y23" s="14">
        <v>0.86</v>
      </c>
      <c r="Z23" s="14">
        <v>0.91</v>
      </c>
      <c r="AA23" s="14">
        <v>0.87</v>
      </c>
      <c r="AB23" s="14">
        <v>0.57999999999999996</v>
      </c>
      <c r="AC23" s="14">
        <v>0.93</v>
      </c>
      <c r="AD23" s="14">
        <v>0.87</v>
      </c>
      <c r="AE23" s="14">
        <v>0.91</v>
      </c>
      <c r="AF23" s="14">
        <v>0.95000000000000007</v>
      </c>
    </row>
    <row r="24" spans="1:32" x14ac:dyDescent="0.35">
      <c r="A24" s="31"/>
      <c r="B24" s="11" t="s">
        <v>1215</v>
      </c>
      <c r="C24" s="12">
        <v>4139</v>
      </c>
      <c r="D24" s="12">
        <v>144</v>
      </c>
      <c r="E24" s="12">
        <v>332</v>
      </c>
      <c r="F24" s="12">
        <v>110</v>
      </c>
      <c r="G24" s="12">
        <v>22</v>
      </c>
      <c r="H24" s="12">
        <v>136</v>
      </c>
      <c r="I24" s="12">
        <v>193</v>
      </c>
      <c r="J24" s="12">
        <v>58</v>
      </c>
      <c r="K24" s="12">
        <v>216</v>
      </c>
      <c r="L24" s="12">
        <v>45</v>
      </c>
      <c r="M24" s="12">
        <v>326</v>
      </c>
      <c r="N24" s="12">
        <v>143</v>
      </c>
      <c r="O24" s="12">
        <v>164</v>
      </c>
      <c r="P24" s="12">
        <v>226</v>
      </c>
      <c r="Q24" s="12">
        <v>221</v>
      </c>
      <c r="R24" s="12">
        <v>102</v>
      </c>
      <c r="S24" s="12">
        <v>178</v>
      </c>
      <c r="T24" s="12">
        <v>162</v>
      </c>
      <c r="U24" s="12">
        <v>24</v>
      </c>
      <c r="V24" s="12">
        <v>205</v>
      </c>
      <c r="W24" s="12">
        <v>31</v>
      </c>
      <c r="X24" s="12">
        <v>56</v>
      </c>
      <c r="Y24" s="12">
        <v>136</v>
      </c>
      <c r="Z24" s="12">
        <v>81</v>
      </c>
      <c r="AA24" s="12">
        <v>126</v>
      </c>
      <c r="AB24" s="12">
        <v>440</v>
      </c>
      <c r="AC24" s="12">
        <v>66</v>
      </c>
      <c r="AD24" s="12">
        <v>130</v>
      </c>
      <c r="AE24" s="12">
        <v>83</v>
      </c>
      <c r="AF24" s="12">
        <v>46</v>
      </c>
    </row>
    <row r="25" spans="1:32" x14ac:dyDescent="0.35">
      <c r="A25" s="31"/>
      <c r="B25" s="13" t="s">
        <v>1216</v>
      </c>
      <c r="C25" s="14">
        <v>0.15</v>
      </c>
      <c r="D25" s="14">
        <v>0.14000000000000001</v>
      </c>
      <c r="E25" s="14">
        <v>0.32</v>
      </c>
      <c r="F25" s="14">
        <v>0.11</v>
      </c>
      <c r="G25" s="14">
        <v>0.02</v>
      </c>
      <c r="H25" s="14">
        <v>0.11</v>
      </c>
      <c r="I25" s="14">
        <v>0.13</v>
      </c>
      <c r="J25" s="14">
        <v>0.19</v>
      </c>
      <c r="K25" s="14">
        <v>0.22</v>
      </c>
      <c r="L25" s="14">
        <v>0.05</v>
      </c>
      <c r="M25" s="14">
        <v>0.33</v>
      </c>
      <c r="N25" s="14">
        <v>0.14000000000000001</v>
      </c>
      <c r="O25" s="14">
        <v>0.16</v>
      </c>
      <c r="P25" s="14">
        <v>0.23</v>
      </c>
      <c r="Q25" s="14">
        <v>0.22</v>
      </c>
      <c r="R25" s="14">
        <v>0.2</v>
      </c>
      <c r="S25" s="14">
        <v>0.17</v>
      </c>
      <c r="T25" s="14">
        <v>0.16</v>
      </c>
      <c r="U25" s="14">
        <v>0.05</v>
      </c>
      <c r="V25" s="14">
        <v>0.21</v>
      </c>
      <c r="W25" s="14">
        <v>7.0000000000000007E-2</v>
      </c>
      <c r="X25" s="14">
        <v>0.06</v>
      </c>
      <c r="Y25" s="14">
        <v>0.14000000000000001</v>
      </c>
      <c r="Z25" s="14">
        <v>0.08</v>
      </c>
      <c r="AA25" s="14">
        <v>0.13</v>
      </c>
      <c r="AB25" s="14">
        <v>0.42</v>
      </c>
      <c r="AC25" s="14">
        <v>7.0000000000000007E-2</v>
      </c>
      <c r="AD25" s="14">
        <v>0.13</v>
      </c>
      <c r="AE25" s="14">
        <v>0.09</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243</v>
      </c>
      <c r="C3" s="30"/>
      <c r="D3" s="30"/>
      <c r="E3" s="30"/>
      <c r="F3" s="30"/>
      <c r="H3" s="30" t="s">
        <v>244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1016</v>
      </c>
      <c r="C12" s="12">
        <v>5448</v>
      </c>
      <c r="D12" s="12">
        <v>241</v>
      </c>
      <c r="E12" s="12">
        <v>104</v>
      </c>
      <c r="F12" s="12">
        <v>202</v>
      </c>
      <c r="G12" s="12">
        <v>649</v>
      </c>
      <c r="H12" s="12">
        <v>287</v>
      </c>
      <c r="I12" s="12">
        <v>333</v>
      </c>
      <c r="J12" s="12">
        <v>47</v>
      </c>
      <c r="K12" s="12">
        <v>106</v>
      </c>
      <c r="L12" s="12">
        <v>386</v>
      </c>
      <c r="M12" s="12">
        <v>89</v>
      </c>
      <c r="N12" s="12">
        <v>253</v>
      </c>
      <c r="O12" s="12">
        <v>179</v>
      </c>
      <c r="P12" s="12">
        <v>191</v>
      </c>
      <c r="Q12" s="12">
        <v>118</v>
      </c>
      <c r="R12" s="12">
        <v>94</v>
      </c>
      <c r="S12" s="12">
        <v>156</v>
      </c>
      <c r="T12" s="12">
        <v>209</v>
      </c>
      <c r="U12" s="12">
        <v>205</v>
      </c>
      <c r="V12" s="12">
        <v>76</v>
      </c>
      <c r="W12" s="12">
        <v>146</v>
      </c>
      <c r="X12" s="12">
        <v>419</v>
      </c>
      <c r="Y12" s="12">
        <v>339</v>
      </c>
      <c r="Z12" s="12">
        <v>180</v>
      </c>
      <c r="AA12" s="12">
        <v>140</v>
      </c>
      <c r="AB12" s="12">
        <v>72</v>
      </c>
      <c r="AC12" s="12">
        <v>352</v>
      </c>
      <c r="AD12" s="12">
        <v>212</v>
      </c>
      <c r="AE12" s="12">
        <v>323</v>
      </c>
      <c r="AF12" s="12">
        <v>438</v>
      </c>
    </row>
    <row r="13" spans="1:32" x14ac:dyDescent="0.35">
      <c r="A13" s="31"/>
      <c r="B13" s="13" t="s">
        <v>1017</v>
      </c>
      <c r="C13" s="14">
        <v>0.21</v>
      </c>
      <c r="D13" s="14">
        <v>0.23</v>
      </c>
      <c r="E13" s="14">
        <v>0.1</v>
      </c>
      <c r="F13" s="14">
        <v>0.2</v>
      </c>
      <c r="G13" s="14">
        <v>0.64</v>
      </c>
      <c r="H13" s="14">
        <v>0.23</v>
      </c>
      <c r="I13" s="14">
        <v>0.22</v>
      </c>
      <c r="J13" s="14">
        <v>0.16</v>
      </c>
      <c r="K13" s="14">
        <v>0.11</v>
      </c>
      <c r="L13" s="14">
        <v>0.38</v>
      </c>
      <c r="M13" s="14">
        <v>0.09</v>
      </c>
      <c r="N13" s="14">
        <v>0.25</v>
      </c>
      <c r="O13" s="14">
        <v>0.18</v>
      </c>
      <c r="P13" s="14">
        <v>0.19</v>
      </c>
      <c r="Q13" s="14">
        <v>0.11</v>
      </c>
      <c r="R13" s="14">
        <v>0.19</v>
      </c>
      <c r="S13" s="14">
        <v>0.15</v>
      </c>
      <c r="T13" s="14">
        <v>0.21</v>
      </c>
      <c r="U13" s="14">
        <v>0.4</v>
      </c>
      <c r="V13" s="14">
        <v>0.08</v>
      </c>
      <c r="W13" s="14">
        <v>0.28999999999999998</v>
      </c>
      <c r="X13" s="14">
        <v>0.41</v>
      </c>
      <c r="Y13" s="14">
        <v>0.34</v>
      </c>
      <c r="Z13" s="14">
        <v>0.18</v>
      </c>
      <c r="AA13" s="14">
        <v>0.14000000000000001</v>
      </c>
      <c r="AB13" s="14">
        <v>7.0000000000000007E-2</v>
      </c>
      <c r="AC13" s="14">
        <v>0.35</v>
      </c>
      <c r="AD13" s="14">
        <v>0.21</v>
      </c>
      <c r="AE13" s="14">
        <v>0.32</v>
      </c>
      <c r="AF13" s="14">
        <v>0.43</v>
      </c>
    </row>
    <row r="14" spans="1:32" x14ac:dyDescent="0.35">
      <c r="A14" s="31"/>
      <c r="B14" s="11" t="s">
        <v>1018</v>
      </c>
      <c r="C14" s="12">
        <v>16738</v>
      </c>
      <c r="D14" s="12">
        <v>634</v>
      </c>
      <c r="E14" s="12">
        <v>586</v>
      </c>
      <c r="F14" s="12">
        <v>701</v>
      </c>
      <c r="G14" s="12">
        <v>332</v>
      </c>
      <c r="H14" s="12">
        <v>799</v>
      </c>
      <c r="I14" s="12">
        <v>986</v>
      </c>
      <c r="J14" s="12">
        <v>187</v>
      </c>
      <c r="K14" s="12">
        <v>670</v>
      </c>
      <c r="L14" s="12">
        <v>572</v>
      </c>
      <c r="M14" s="12">
        <v>571</v>
      </c>
      <c r="N14" s="12">
        <v>623</v>
      </c>
      <c r="O14" s="12">
        <v>669</v>
      </c>
      <c r="P14" s="12">
        <v>574</v>
      </c>
      <c r="Q14" s="12">
        <v>699</v>
      </c>
      <c r="R14" s="12">
        <v>275</v>
      </c>
      <c r="S14" s="12">
        <v>681</v>
      </c>
      <c r="T14" s="12">
        <v>645</v>
      </c>
      <c r="U14" s="12">
        <v>282</v>
      </c>
      <c r="V14" s="12">
        <v>701</v>
      </c>
      <c r="W14" s="12">
        <v>309</v>
      </c>
      <c r="X14" s="12">
        <v>531</v>
      </c>
      <c r="Y14" s="12">
        <v>523</v>
      </c>
      <c r="Z14" s="12">
        <v>741</v>
      </c>
      <c r="AA14" s="12">
        <v>755</v>
      </c>
      <c r="AB14" s="12">
        <v>509</v>
      </c>
      <c r="AC14" s="12">
        <v>599</v>
      </c>
      <c r="AD14" s="12">
        <v>651</v>
      </c>
      <c r="AE14" s="12">
        <v>606</v>
      </c>
      <c r="AF14" s="12">
        <v>533</v>
      </c>
    </row>
    <row r="15" spans="1:32" x14ac:dyDescent="0.35">
      <c r="A15" s="31"/>
      <c r="B15" s="13" t="s">
        <v>1019</v>
      </c>
      <c r="C15" s="14">
        <v>0.63</v>
      </c>
      <c r="D15" s="14">
        <v>0.62</v>
      </c>
      <c r="E15" s="14">
        <v>0.56000000000000005</v>
      </c>
      <c r="F15" s="14">
        <v>0.69000000000000006</v>
      </c>
      <c r="G15" s="14">
        <v>0.33</v>
      </c>
      <c r="H15" s="14">
        <v>0.65</v>
      </c>
      <c r="I15" s="14">
        <v>0.64</v>
      </c>
      <c r="J15" s="14">
        <v>0.63</v>
      </c>
      <c r="K15" s="14">
        <v>0.66</v>
      </c>
      <c r="L15" s="14">
        <v>0.57000000000000006</v>
      </c>
      <c r="M15" s="14">
        <v>0.57000000000000006</v>
      </c>
      <c r="N15" s="14">
        <v>0.62</v>
      </c>
      <c r="O15" s="14">
        <v>0.67</v>
      </c>
      <c r="P15" s="14">
        <v>0.57000000000000006</v>
      </c>
      <c r="Q15" s="14">
        <v>0.68</v>
      </c>
      <c r="R15" s="14">
        <v>0.55000000000000004</v>
      </c>
      <c r="S15" s="14">
        <v>0.67</v>
      </c>
      <c r="T15" s="14">
        <v>0.63</v>
      </c>
      <c r="U15" s="14">
        <v>0.55000000000000004</v>
      </c>
      <c r="V15" s="14">
        <v>0.69000000000000006</v>
      </c>
      <c r="W15" s="14">
        <v>0.62</v>
      </c>
      <c r="X15" s="14">
        <v>0.53</v>
      </c>
      <c r="Y15" s="14">
        <v>0.52</v>
      </c>
      <c r="Z15" s="14">
        <v>0.73</v>
      </c>
      <c r="AA15" s="14">
        <v>0.73</v>
      </c>
      <c r="AB15" s="14">
        <v>0.48</v>
      </c>
      <c r="AC15" s="14">
        <v>0.59</v>
      </c>
      <c r="AD15" s="14">
        <v>0.65</v>
      </c>
      <c r="AE15" s="14">
        <v>0.6</v>
      </c>
      <c r="AF15" s="14">
        <v>0.52</v>
      </c>
    </row>
    <row r="16" spans="1:32" x14ac:dyDescent="0.35">
      <c r="A16" s="31"/>
      <c r="B16" s="11" t="s">
        <v>1217</v>
      </c>
      <c r="C16" s="12">
        <v>3627</v>
      </c>
      <c r="D16" s="12">
        <v>131</v>
      </c>
      <c r="E16" s="12">
        <v>274</v>
      </c>
      <c r="F16" s="12">
        <v>105</v>
      </c>
      <c r="G16" s="12">
        <v>28</v>
      </c>
      <c r="H16" s="12">
        <v>123</v>
      </c>
      <c r="I16" s="12">
        <v>176</v>
      </c>
      <c r="J16" s="12">
        <v>53</v>
      </c>
      <c r="K16" s="12">
        <v>176</v>
      </c>
      <c r="L16" s="12">
        <v>36</v>
      </c>
      <c r="M16" s="12">
        <v>299</v>
      </c>
      <c r="N16" s="12">
        <v>116</v>
      </c>
      <c r="O16" s="12">
        <v>124</v>
      </c>
      <c r="P16" s="12">
        <v>215</v>
      </c>
      <c r="Q16" s="12">
        <v>196</v>
      </c>
      <c r="R16" s="12">
        <v>99</v>
      </c>
      <c r="S16" s="12">
        <v>156</v>
      </c>
      <c r="T16" s="12">
        <v>145</v>
      </c>
      <c r="U16" s="12">
        <v>18</v>
      </c>
      <c r="V16" s="12">
        <v>207</v>
      </c>
      <c r="W16" s="12">
        <v>41</v>
      </c>
      <c r="X16" s="12">
        <v>56</v>
      </c>
      <c r="Y16" s="12">
        <v>118</v>
      </c>
      <c r="Z16" s="12">
        <v>88</v>
      </c>
      <c r="AA16" s="12">
        <v>122</v>
      </c>
      <c r="AB16" s="12">
        <v>378</v>
      </c>
      <c r="AC16" s="12">
        <v>57</v>
      </c>
      <c r="AD16" s="12">
        <v>122</v>
      </c>
      <c r="AE16" s="12">
        <v>63</v>
      </c>
      <c r="AF16" s="12">
        <v>40</v>
      </c>
    </row>
    <row r="17" spans="1:32" x14ac:dyDescent="0.35">
      <c r="A17" s="31"/>
      <c r="B17" s="13" t="s">
        <v>1021</v>
      </c>
      <c r="C17" s="14">
        <v>0.14000000000000001</v>
      </c>
      <c r="D17" s="14">
        <v>0.13</v>
      </c>
      <c r="E17" s="14">
        <v>0.26</v>
      </c>
      <c r="F17" s="14">
        <v>0.1</v>
      </c>
      <c r="G17" s="14">
        <v>0.03</v>
      </c>
      <c r="H17" s="14">
        <v>0.1</v>
      </c>
      <c r="I17" s="14">
        <v>0.12</v>
      </c>
      <c r="J17" s="14">
        <v>0.18</v>
      </c>
      <c r="K17" s="14">
        <v>0.17</v>
      </c>
      <c r="L17" s="14">
        <v>0.04</v>
      </c>
      <c r="M17" s="14">
        <v>0.3</v>
      </c>
      <c r="N17" s="14">
        <v>0.12</v>
      </c>
      <c r="O17" s="14">
        <v>0.12</v>
      </c>
      <c r="P17" s="14">
        <v>0.22</v>
      </c>
      <c r="Q17" s="14">
        <v>0.19</v>
      </c>
      <c r="R17" s="14">
        <v>0.2</v>
      </c>
      <c r="S17" s="14">
        <v>0.15</v>
      </c>
      <c r="T17" s="14">
        <v>0.14000000000000001</v>
      </c>
      <c r="U17" s="14">
        <v>0.04</v>
      </c>
      <c r="V17" s="14">
        <v>0.2</v>
      </c>
      <c r="W17" s="14">
        <v>0.08</v>
      </c>
      <c r="X17" s="14">
        <v>0.06</v>
      </c>
      <c r="Y17" s="14">
        <v>0.12</v>
      </c>
      <c r="Z17" s="14">
        <v>0.08</v>
      </c>
      <c r="AA17" s="14">
        <v>0.12</v>
      </c>
      <c r="AB17" s="14">
        <v>0.36</v>
      </c>
      <c r="AC17" s="14">
        <v>0.06</v>
      </c>
      <c r="AD17" s="14">
        <v>0.12</v>
      </c>
      <c r="AE17" s="14">
        <v>0.06</v>
      </c>
      <c r="AF17" s="14">
        <v>0.04</v>
      </c>
    </row>
    <row r="18" spans="1:32" x14ac:dyDescent="0.35">
      <c r="A18" s="31"/>
      <c r="B18" s="11" t="s">
        <v>1022</v>
      </c>
      <c r="C18" s="12">
        <v>540</v>
      </c>
      <c r="D18" s="12">
        <v>18</v>
      </c>
      <c r="E18" s="12">
        <v>68</v>
      </c>
      <c r="F18" s="12">
        <v>5</v>
      </c>
      <c r="G18" s="12">
        <v>0</v>
      </c>
      <c r="H18" s="12">
        <v>23</v>
      </c>
      <c r="I18" s="12">
        <v>31</v>
      </c>
      <c r="J18" s="12">
        <v>8</v>
      </c>
      <c r="K18" s="12">
        <v>35</v>
      </c>
      <c r="L18" s="12">
        <v>5</v>
      </c>
      <c r="M18" s="12">
        <v>45</v>
      </c>
      <c r="N18" s="12">
        <v>7</v>
      </c>
      <c r="O18" s="12">
        <v>27</v>
      </c>
      <c r="P18" s="12">
        <v>22</v>
      </c>
      <c r="Q18" s="12">
        <v>19</v>
      </c>
      <c r="R18" s="12">
        <v>33</v>
      </c>
      <c r="S18" s="12">
        <v>23</v>
      </c>
      <c r="T18" s="12">
        <v>13</v>
      </c>
      <c r="U18" s="12">
        <v>4</v>
      </c>
      <c r="V18" s="12">
        <v>28</v>
      </c>
      <c r="W18" s="12">
        <v>5</v>
      </c>
      <c r="X18" s="12">
        <v>4</v>
      </c>
      <c r="Y18" s="12">
        <v>21</v>
      </c>
      <c r="Z18" s="12">
        <v>3</v>
      </c>
      <c r="AA18" s="12">
        <v>10</v>
      </c>
      <c r="AB18" s="12">
        <v>98</v>
      </c>
      <c r="AC18" s="12">
        <v>4</v>
      </c>
      <c r="AD18" s="12">
        <v>19</v>
      </c>
      <c r="AE18" s="12">
        <v>11</v>
      </c>
      <c r="AF18" s="12">
        <v>7</v>
      </c>
    </row>
    <row r="19" spans="1:32" x14ac:dyDescent="0.35">
      <c r="A19" s="31"/>
      <c r="B19" s="13" t="s">
        <v>1023</v>
      </c>
      <c r="C19" s="14">
        <v>0.02</v>
      </c>
      <c r="D19" s="14">
        <v>0.02</v>
      </c>
      <c r="E19" s="14">
        <v>7.0000000000000007E-2</v>
      </c>
      <c r="F19" s="15" t="s">
        <v>333</v>
      </c>
      <c r="G19" s="15" t="s">
        <v>333</v>
      </c>
      <c r="H19" s="14">
        <v>0.02</v>
      </c>
      <c r="I19" s="14">
        <v>0.02</v>
      </c>
      <c r="J19" s="14">
        <v>0.03</v>
      </c>
      <c r="K19" s="14">
        <v>0.04</v>
      </c>
      <c r="L19" s="14">
        <v>0.01</v>
      </c>
      <c r="M19" s="14">
        <v>0.04</v>
      </c>
      <c r="N19" s="14">
        <v>0.01</v>
      </c>
      <c r="O19" s="14">
        <v>0.03</v>
      </c>
      <c r="P19" s="14">
        <v>0.02</v>
      </c>
      <c r="Q19" s="14">
        <v>0.02</v>
      </c>
      <c r="R19" s="14">
        <v>0.06</v>
      </c>
      <c r="S19" s="14">
        <v>0.02</v>
      </c>
      <c r="T19" s="14">
        <v>0.01</v>
      </c>
      <c r="U19" s="14">
        <v>0.01</v>
      </c>
      <c r="V19" s="14">
        <v>0.03</v>
      </c>
      <c r="W19" s="14">
        <v>0.01</v>
      </c>
      <c r="X19" s="15" t="s">
        <v>333</v>
      </c>
      <c r="Y19" s="14">
        <v>0.02</v>
      </c>
      <c r="Z19" s="15" t="s">
        <v>333</v>
      </c>
      <c r="AA19" s="14">
        <v>0.01</v>
      </c>
      <c r="AB19" s="14">
        <v>0.09</v>
      </c>
      <c r="AC19" s="15" t="s">
        <v>333</v>
      </c>
      <c r="AD19" s="14">
        <v>0.02</v>
      </c>
      <c r="AE19" s="14">
        <v>0.01</v>
      </c>
      <c r="AF19" s="14">
        <v>0.01</v>
      </c>
    </row>
    <row r="20" spans="1:32" x14ac:dyDescent="0.35">
      <c r="A20" s="31"/>
      <c r="B20" s="11" t="s">
        <v>344</v>
      </c>
      <c r="C20" s="12">
        <v>57</v>
      </c>
      <c r="D20" s="12">
        <v>1</v>
      </c>
      <c r="E20" s="12">
        <v>6</v>
      </c>
      <c r="F20" s="12">
        <v>5</v>
      </c>
      <c r="G20" s="12">
        <v>7</v>
      </c>
      <c r="H20" s="12">
        <v>1</v>
      </c>
      <c r="I20" s="12">
        <v>3</v>
      </c>
      <c r="J20" s="12">
        <v>2</v>
      </c>
      <c r="K20" s="12">
        <v>22</v>
      </c>
      <c r="L20" s="12">
        <v>5</v>
      </c>
      <c r="M20" s="12">
        <v>0</v>
      </c>
      <c r="N20" s="12">
        <v>0</v>
      </c>
      <c r="O20" s="12">
        <v>2</v>
      </c>
      <c r="P20" s="12">
        <v>2</v>
      </c>
      <c r="Q20" s="12">
        <v>2</v>
      </c>
      <c r="R20" s="12">
        <v>0</v>
      </c>
      <c r="S20" s="12">
        <v>5</v>
      </c>
      <c r="T20" s="12">
        <v>6</v>
      </c>
      <c r="U20" s="12">
        <v>0</v>
      </c>
      <c r="V20" s="12">
        <v>2</v>
      </c>
      <c r="W20" s="12">
        <v>0</v>
      </c>
      <c r="X20" s="12">
        <v>0</v>
      </c>
      <c r="Y20" s="12">
        <v>2</v>
      </c>
      <c r="Z20" s="12">
        <v>7</v>
      </c>
      <c r="AA20" s="12">
        <v>2</v>
      </c>
      <c r="AB20" s="12">
        <v>0</v>
      </c>
      <c r="AC20" s="12">
        <v>1</v>
      </c>
      <c r="AD20" s="12">
        <v>0</v>
      </c>
      <c r="AE20" s="12">
        <v>4</v>
      </c>
      <c r="AF20" s="12">
        <v>2</v>
      </c>
    </row>
    <row r="21" spans="1:32" x14ac:dyDescent="0.35">
      <c r="A21" s="31"/>
      <c r="B21" s="13" t="s">
        <v>357</v>
      </c>
      <c r="C21" s="15" t="s">
        <v>333</v>
      </c>
      <c r="D21" s="15" t="s">
        <v>333</v>
      </c>
      <c r="E21" s="14">
        <v>0.01</v>
      </c>
      <c r="F21" s="14">
        <v>0.01</v>
      </c>
      <c r="G21" s="15" t="s">
        <v>333</v>
      </c>
      <c r="H21" s="15" t="s">
        <v>333</v>
      </c>
      <c r="I21" s="15" t="s">
        <v>333</v>
      </c>
      <c r="J21" s="15" t="s">
        <v>333</v>
      </c>
      <c r="K21" s="14">
        <v>0.02</v>
      </c>
      <c r="L21" s="15" t="s">
        <v>333</v>
      </c>
      <c r="M21" s="15" t="s">
        <v>333</v>
      </c>
      <c r="N21" s="15" t="s">
        <v>333</v>
      </c>
      <c r="O21" s="15" t="s">
        <v>333</v>
      </c>
      <c r="P21" s="15" t="s">
        <v>333</v>
      </c>
      <c r="Q21" s="15" t="s">
        <v>333</v>
      </c>
      <c r="R21" s="15" t="s">
        <v>333</v>
      </c>
      <c r="S21" s="14">
        <v>0.01</v>
      </c>
      <c r="T21" s="14">
        <v>0.01</v>
      </c>
      <c r="U21" s="15" t="s">
        <v>333</v>
      </c>
      <c r="V21" s="15" t="s">
        <v>333</v>
      </c>
      <c r="W21" s="15" t="s">
        <v>333</v>
      </c>
      <c r="X21" s="15" t="s">
        <v>333</v>
      </c>
      <c r="Y21" s="15" t="s">
        <v>333</v>
      </c>
      <c r="Z21" s="14">
        <v>0.01</v>
      </c>
      <c r="AA21" s="15" t="s">
        <v>333</v>
      </c>
      <c r="AB21" s="15" t="s">
        <v>333</v>
      </c>
      <c r="AC21" s="15" t="s">
        <v>333</v>
      </c>
      <c r="AD21" s="15" t="s">
        <v>333</v>
      </c>
      <c r="AE21" s="14">
        <v>0.01</v>
      </c>
      <c r="AF21" s="15" t="s">
        <v>333</v>
      </c>
    </row>
    <row r="22" spans="1:32" x14ac:dyDescent="0.35">
      <c r="A22" s="31"/>
      <c r="B22" s="11" t="s">
        <v>1024</v>
      </c>
      <c r="C22" s="12">
        <v>22186</v>
      </c>
      <c r="D22" s="12">
        <v>875</v>
      </c>
      <c r="E22" s="12">
        <v>690</v>
      </c>
      <c r="F22" s="12">
        <v>903</v>
      </c>
      <c r="G22" s="12">
        <v>981</v>
      </c>
      <c r="H22" s="12">
        <v>1086</v>
      </c>
      <c r="I22" s="12">
        <v>1319</v>
      </c>
      <c r="J22" s="12">
        <v>234</v>
      </c>
      <c r="K22" s="12">
        <v>776</v>
      </c>
      <c r="L22" s="12">
        <v>958</v>
      </c>
      <c r="M22" s="12">
        <v>660</v>
      </c>
      <c r="N22" s="12">
        <v>876</v>
      </c>
      <c r="O22" s="12">
        <v>848</v>
      </c>
      <c r="P22" s="12">
        <v>765</v>
      </c>
      <c r="Q22" s="12">
        <v>817</v>
      </c>
      <c r="R22" s="12">
        <v>369</v>
      </c>
      <c r="S22" s="12">
        <v>837</v>
      </c>
      <c r="T22" s="12">
        <v>854</v>
      </c>
      <c r="U22" s="12">
        <v>487</v>
      </c>
      <c r="V22" s="12">
        <v>777</v>
      </c>
      <c r="W22" s="12">
        <v>455</v>
      </c>
      <c r="X22" s="12">
        <v>950</v>
      </c>
      <c r="Y22" s="12">
        <v>862</v>
      </c>
      <c r="Z22" s="12">
        <v>921</v>
      </c>
      <c r="AA22" s="12">
        <v>895</v>
      </c>
      <c r="AB22" s="12">
        <v>581</v>
      </c>
      <c r="AC22" s="12">
        <v>951</v>
      </c>
      <c r="AD22" s="12">
        <v>863</v>
      </c>
      <c r="AE22" s="12">
        <v>929</v>
      </c>
      <c r="AF22" s="12">
        <v>971</v>
      </c>
    </row>
    <row r="23" spans="1:32" x14ac:dyDescent="0.35">
      <c r="A23" s="31"/>
      <c r="B23" s="13" t="s">
        <v>1025</v>
      </c>
      <c r="C23" s="14">
        <v>0.84</v>
      </c>
      <c r="D23" s="14">
        <v>0.85</v>
      </c>
      <c r="E23" s="14">
        <v>0.66</v>
      </c>
      <c r="F23" s="14">
        <v>0.89</v>
      </c>
      <c r="G23" s="14">
        <v>0.97</v>
      </c>
      <c r="H23" s="14">
        <v>0.88</v>
      </c>
      <c r="I23" s="14">
        <v>0.86</v>
      </c>
      <c r="J23" s="14">
        <v>0.79</v>
      </c>
      <c r="K23" s="14">
        <v>0.77</v>
      </c>
      <c r="L23" s="14">
        <v>0.95000000000000007</v>
      </c>
      <c r="M23" s="14">
        <v>0.66</v>
      </c>
      <c r="N23" s="14">
        <v>0.87</v>
      </c>
      <c r="O23" s="14">
        <v>0.85</v>
      </c>
      <c r="P23" s="14">
        <v>0.76</v>
      </c>
      <c r="Q23" s="14">
        <v>0.79</v>
      </c>
      <c r="R23" s="14">
        <v>0.74</v>
      </c>
      <c r="S23" s="14">
        <v>0.82000000000000006</v>
      </c>
      <c r="T23" s="14">
        <v>0.84</v>
      </c>
      <c r="U23" s="14">
        <v>0.95000000000000007</v>
      </c>
      <c r="V23" s="14">
        <v>0.77</v>
      </c>
      <c r="W23" s="14">
        <v>0.91</v>
      </c>
      <c r="X23" s="14">
        <v>0.94000000000000006</v>
      </c>
      <c r="Y23" s="14">
        <v>0.86</v>
      </c>
      <c r="Z23" s="14">
        <v>0.91</v>
      </c>
      <c r="AA23" s="14">
        <v>0.87</v>
      </c>
      <c r="AB23" s="14">
        <v>0.55000000000000004</v>
      </c>
      <c r="AC23" s="14">
        <v>0.94000000000000006</v>
      </c>
      <c r="AD23" s="14">
        <v>0.86</v>
      </c>
      <c r="AE23" s="14">
        <v>0.92</v>
      </c>
      <c r="AF23" s="14">
        <v>0.95000000000000007</v>
      </c>
    </row>
    <row r="24" spans="1:32" x14ac:dyDescent="0.35">
      <c r="A24" s="31"/>
      <c r="B24" s="11" t="s">
        <v>1215</v>
      </c>
      <c r="C24" s="12">
        <v>4167</v>
      </c>
      <c r="D24" s="12">
        <v>149</v>
      </c>
      <c r="E24" s="12">
        <v>342</v>
      </c>
      <c r="F24" s="12">
        <v>110</v>
      </c>
      <c r="G24" s="12">
        <v>28</v>
      </c>
      <c r="H24" s="12">
        <v>146</v>
      </c>
      <c r="I24" s="12">
        <v>207</v>
      </c>
      <c r="J24" s="12">
        <v>61</v>
      </c>
      <c r="K24" s="12">
        <v>211</v>
      </c>
      <c r="L24" s="12">
        <v>41</v>
      </c>
      <c r="M24" s="12">
        <v>344</v>
      </c>
      <c r="N24" s="12">
        <v>123</v>
      </c>
      <c r="O24" s="12">
        <v>151</v>
      </c>
      <c r="P24" s="12">
        <v>237</v>
      </c>
      <c r="Q24" s="12">
        <v>215</v>
      </c>
      <c r="R24" s="12">
        <v>132</v>
      </c>
      <c r="S24" s="12">
        <v>179</v>
      </c>
      <c r="T24" s="12">
        <v>158</v>
      </c>
      <c r="U24" s="12">
        <v>22</v>
      </c>
      <c r="V24" s="12">
        <v>235</v>
      </c>
      <c r="W24" s="12">
        <v>46</v>
      </c>
      <c r="X24" s="12">
        <v>60</v>
      </c>
      <c r="Y24" s="12">
        <v>139</v>
      </c>
      <c r="Z24" s="12">
        <v>91</v>
      </c>
      <c r="AA24" s="12">
        <v>132</v>
      </c>
      <c r="AB24" s="12">
        <v>476</v>
      </c>
      <c r="AC24" s="12">
        <v>61</v>
      </c>
      <c r="AD24" s="12">
        <v>141</v>
      </c>
      <c r="AE24" s="12">
        <v>74</v>
      </c>
      <c r="AF24" s="12">
        <v>47</v>
      </c>
    </row>
    <row r="25" spans="1:32" x14ac:dyDescent="0.35">
      <c r="A25" s="31"/>
      <c r="B25" s="13" t="s">
        <v>1216</v>
      </c>
      <c r="C25" s="14">
        <v>0.16</v>
      </c>
      <c r="D25" s="14">
        <v>0.15</v>
      </c>
      <c r="E25" s="14">
        <v>0.33</v>
      </c>
      <c r="F25" s="14">
        <v>0.1</v>
      </c>
      <c r="G25" s="14">
        <v>0.03</v>
      </c>
      <c r="H25" s="14">
        <v>0.12</v>
      </c>
      <c r="I25" s="14">
        <v>0.14000000000000001</v>
      </c>
      <c r="J25" s="14">
        <v>0.21</v>
      </c>
      <c r="K25" s="14">
        <v>0.21</v>
      </c>
      <c r="L25" s="14">
        <v>0.05</v>
      </c>
      <c r="M25" s="14">
        <v>0.34</v>
      </c>
      <c r="N25" s="14">
        <v>0.13</v>
      </c>
      <c r="O25" s="14">
        <v>0.15</v>
      </c>
      <c r="P25" s="14">
        <v>0.24</v>
      </c>
      <c r="Q25" s="14">
        <v>0.21</v>
      </c>
      <c r="R25" s="14">
        <v>0.26</v>
      </c>
      <c r="S25" s="14">
        <v>0.17</v>
      </c>
      <c r="T25" s="14">
        <v>0.15</v>
      </c>
      <c r="U25" s="14">
        <v>0.05</v>
      </c>
      <c r="V25" s="14">
        <v>0.23</v>
      </c>
      <c r="W25" s="14">
        <v>0.09</v>
      </c>
      <c r="X25" s="14">
        <v>0.06</v>
      </c>
      <c r="Y25" s="14">
        <v>0.14000000000000001</v>
      </c>
      <c r="Z25" s="14">
        <v>0.08</v>
      </c>
      <c r="AA25" s="14">
        <v>0.13</v>
      </c>
      <c r="AB25" s="14">
        <v>0.45</v>
      </c>
      <c r="AC25" s="14">
        <v>0.06</v>
      </c>
      <c r="AD25" s="14">
        <v>0.14000000000000001</v>
      </c>
      <c r="AE25" s="14">
        <v>7.0000000000000007E-2</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1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245</v>
      </c>
      <c r="C3" s="30"/>
      <c r="D3" s="30"/>
      <c r="E3" s="30"/>
      <c r="F3" s="30"/>
      <c r="H3" s="30" t="s">
        <v>246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1218</v>
      </c>
      <c r="C12" s="12">
        <v>9624</v>
      </c>
      <c r="D12" s="12">
        <v>284</v>
      </c>
      <c r="E12" s="12">
        <v>72</v>
      </c>
      <c r="F12" s="12">
        <v>37</v>
      </c>
      <c r="G12" s="12">
        <v>62</v>
      </c>
      <c r="H12" s="12">
        <v>702</v>
      </c>
      <c r="I12" s="12">
        <v>885</v>
      </c>
      <c r="J12" s="12">
        <v>183</v>
      </c>
      <c r="K12" s="12">
        <v>133</v>
      </c>
      <c r="L12" s="12">
        <v>179</v>
      </c>
      <c r="M12" s="12">
        <v>877</v>
      </c>
      <c r="N12" s="12">
        <v>378</v>
      </c>
      <c r="O12" s="12">
        <v>474</v>
      </c>
      <c r="P12" s="12">
        <v>485</v>
      </c>
      <c r="Q12" s="12">
        <v>437</v>
      </c>
      <c r="R12" s="12">
        <v>184</v>
      </c>
      <c r="S12" s="12">
        <v>24</v>
      </c>
      <c r="T12" s="12">
        <v>49</v>
      </c>
      <c r="U12" s="12">
        <v>208</v>
      </c>
      <c r="V12" s="12">
        <v>250</v>
      </c>
      <c r="W12" s="12">
        <v>384</v>
      </c>
      <c r="X12" s="12">
        <v>328</v>
      </c>
      <c r="Y12" s="12">
        <v>201</v>
      </c>
      <c r="Z12" s="12">
        <v>53</v>
      </c>
      <c r="AA12" s="12">
        <v>560</v>
      </c>
      <c r="AB12" s="12">
        <v>67</v>
      </c>
      <c r="AC12" s="12">
        <v>266</v>
      </c>
      <c r="AD12" s="12">
        <v>111</v>
      </c>
      <c r="AE12" s="12">
        <v>52</v>
      </c>
      <c r="AF12" s="12">
        <v>87</v>
      </c>
    </row>
    <row r="13" spans="1:32" x14ac:dyDescent="0.35">
      <c r="A13" s="31"/>
      <c r="B13" s="13" t="s">
        <v>1219</v>
      </c>
      <c r="C13" s="14">
        <v>0.36</v>
      </c>
      <c r="D13" s="14">
        <v>0.28000000000000003</v>
      </c>
      <c r="E13" s="14">
        <v>7.0000000000000007E-2</v>
      </c>
      <c r="F13" s="14">
        <v>0.04</v>
      </c>
      <c r="G13" s="14">
        <v>0.06</v>
      </c>
      <c r="H13" s="14">
        <v>0.57000000000000006</v>
      </c>
      <c r="I13" s="14">
        <v>0.57999999999999996</v>
      </c>
      <c r="J13" s="14">
        <v>0.62</v>
      </c>
      <c r="K13" s="14">
        <v>0.13</v>
      </c>
      <c r="L13" s="14">
        <v>0.18</v>
      </c>
      <c r="M13" s="14">
        <v>0.87</v>
      </c>
      <c r="N13" s="14">
        <v>0.38</v>
      </c>
      <c r="O13" s="14">
        <v>0.47</v>
      </c>
      <c r="P13" s="14">
        <v>0.48</v>
      </c>
      <c r="Q13" s="14">
        <v>0.42</v>
      </c>
      <c r="R13" s="14">
        <v>0.37</v>
      </c>
      <c r="S13" s="14">
        <v>0.02</v>
      </c>
      <c r="T13" s="14">
        <v>0.05</v>
      </c>
      <c r="U13" s="14">
        <v>0.41</v>
      </c>
      <c r="V13" s="14">
        <v>0.25</v>
      </c>
      <c r="W13" s="14">
        <v>0.77</v>
      </c>
      <c r="X13" s="14">
        <v>0.32</v>
      </c>
      <c r="Y13" s="14">
        <v>0.2</v>
      </c>
      <c r="Z13" s="14">
        <v>0.05</v>
      </c>
      <c r="AA13" s="14">
        <v>0.54</v>
      </c>
      <c r="AB13" s="14">
        <v>0.06</v>
      </c>
      <c r="AC13" s="14">
        <v>0.26</v>
      </c>
      <c r="AD13" s="14">
        <v>0.11</v>
      </c>
      <c r="AE13" s="14">
        <v>0.05</v>
      </c>
      <c r="AF13" s="14">
        <v>0.09</v>
      </c>
    </row>
    <row r="14" spans="1:32" x14ac:dyDescent="0.35">
      <c r="A14" s="31"/>
      <c r="B14" s="11" t="s">
        <v>562</v>
      </c>
      <c r="C14" s="12">
        <v>16786</v>
      </c>
      <c r="D14" s="12">
        <v>741</v>
      </c>
      <c r="E14" s="12">
        <v>967</v>
      </c>
      <c r="F14" s="12">
        <v>981</v>
      </c>
      <c r="G14" s="12">
        <v>955</v>
      </c>
      <c r="H14" s="12">
        <v>530</v>
      </c>
      <c r="I14" s="12">
        <v>645</v>
      </c>
      <c r="J14" s="12">
        <v>114</v>
      </c>
      <c r="K14" s="12">
        <v>876</v>
      </c>
      <c r="L14" s="12">
        <v>825</v>
      </c>
      <c r="M14" s="12">
        <v>127</v>
      </c>
      <c r="N14" s="12">
        <v>622</v>
      </c>
      <c r="O14" s="12">
        <v>526</v>
      </c>
      <c r="P14" s="12">
        <v>519</v>
      </c>
      <c r="Q14" s="12">
        <v>598</v>
      </c>
      <c r="R14" s="12">
        <v>317</v>
      </c>
      <c r="S14" s="12">
        <v>997</v>
      </c>
      <c r="T14" s="12">
        <v>968</v>
      </c>
      <c r="U14" s="12">
        <v>301</v>
      </c>
      <c r="V14" s="12">
        <v>764</v>
      </c>
      <c r="W14" s="12">
        <v>117</v>
      </c>
      <c r="X14" s="12">
        <v>682</v>
      </c>
      <c r="Y14" s="12">
        <v>802</v>
      </c>
      <c r="Z14" s="12">
        <v>966</v>
      </c>
      <c r="AA14" s="12">
        <v>470</v>
      </c>
      <c r="AB14" s="12">
        <v>989</v>
      </c>
      <c r="AC14" s="12">
        <v>747</v>
      </c>
      <c r="AD14" s="12">
        <v>893</v>
      </c>
      <c r="AE14" s="12">
        <v>955</v>
      </c>
      <c r="AF14" s="12">
        <v>933</v>
      </c>
    </row>
    <row r="15" spans="1:32" x14ac:dyDescent="0.35">
      <c r="A15" s="31"/>
      <c r="B15" s="13" t="s">
        <v>563</v>
      </c>
      <c r="C15" s="14">
        <v>0.64</v>
      </c>
      <c r="D15" s="14">
        <v>0.72</v>
      </c>
      <c r="E15" s="14">
        <v>0.93</v>
      </c>
      <c r="F15" s="14">
        <v>0.96</v>
      </c>
      <c r="G15" s="14">
        <v>0.94000000000000006</v>
      </c>
      <c r="H15" s="14">
        <v>0.43</v>
      </c>
      <c r="I15" s="14">
        <v>0.42</v>
      </c>
      <c r="J15" s="14">
        <v>0.38</v>
      </c>
      <c r="K15" s="14">
        <v>0.87</v>
      </c>
      <c r="L15" s="14">
        <v>0.82000000000000006</v>
      </c>
      <c r="M15" s="14">
        <v>0.13</v>
      </c>
      <c r="N15" s="14">
        <v>0.62</v>
      </c>
      <c r="O15" s="14">
        <v>0.53</v>
      </c>
      <c r="P15" s="14">
        <v>0.52</v>
      </c>
      <c r="Q15" s="14">
        <v>0.57999999999999996</v>
      </c>
      <c r="R15" s="14">
        <v>0.63</v>
      </c>
      <c r="S15" s="14">
        <v>0.98</v>
      </c>
      <c r="T15" s="14">
        <v>0.95000000000000007</v>
      </c>
      <c r="U15" s="14">
        <v>0.59</v>
      </c>
      <c r="V15" s="14">
        <v>0.75</v>
      </c>
      <c r="W15" s="14">
        <v>0.23</v>
      </c>
      <c r="X15" s="14">
        <v>0.68</v>
      </c>
      <c r="Y15" s="14">
        <v>0.8</v>
      </c>
      <c r="Z15" s="14">
        <v>0.95000000000000007</v>
      </c>
      <c r="AA15" s="14">
        <v>0.46</v>
      </c>
      <c r="AB15" s="14">
        <v>0.94000000000000006</v>
      </c>
      <c r="AC15" s="14">
        <v>0.74</v>
      </c>
      <c r="AD15" s="14">
        <v>0.89</v>
      </c>
      <c r="AE15" s="14">
        <v>0.95000000000000007</v>
      </c>
      <c r="AF15" s="14">
        <v>0.91</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1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247</v>
      </c>
      <c r="C3" s="30"/>
      <c r="D3" s="30"/>
      <c r="E3" s="30"/>
      <c r="F3" s="30"/>
      <c r="H3" s="30" t="s">
        <v>248</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1218</v>
      </c>
      <c r="C12" s="12">
        <v>25647</v>
      </c>
      <c r="D12" s="12">
        <v>984</v>
      </c>
      <c r="E12" s="12">
        <v>991</v>
      </c>
      <c r="F12" s="12">
        <v>993</v>
      </c>
      <c r="G12" s="12">
        <v>1012</v>
      </c>
      <c r="H12" s="12">
        <v>1189</v>
      </c>
      <c r="I12" s="12">
        <v>1473</v>
      </c>
      <c r="J12" s="12">
        <v>283</v>
      </c>
      <c r="K12" s="12">
        <v>998</v>
      </c>
      <c r="L12" s="12">
        <v>983</v>
      </c>
      <c r="M12" s="12">
        <v>972</v>
      </c>
      <c r="N12" s="12">
        <v>983</v>
      </c>
      <c r="O12" s="12">
        <v>973</v>
      </c>
      <c r="P12" s="12">
        <v>967</v>
      </c>
      <c r="Q12" s="12">
        <v>998</v>
      </c>
      <c r="R12" s="12">
        <v>493</v>
      </c>
      <c r="S12" s="12">
        <v>1012</v>
      </c>
      <c r="T12" s="12">
        <v>996</v>
      </c>
      <c r="U12" s="12">
        <v>507</v>
      </c>
      <c r="V12" s="12">
        <v>965</v>
      </c>
      <c r="W12" s="12">
        <v>493</v>
      </c>
      <c r="X12" s="12">
        <v>1001</v>
      </c>
      <c r="Y12" s="12">
        <v>968</v>
      </c>
      <c r="Z12" s="12">
        <v>990</v>
      </c>
      <c r="AA12" s="12">
        <v>996</v>
      </c>
      <c r="AB12" s="12">
        <v>1018</v>
      </c>
      <c r="AC12" s="12">
        <v>999</v>
      </c>
      <c r="AD12" s="12">
        <v>977</v>
      </c>
      <c r="AE12" s="12">
        <v>1002</v>
      </c>
      <c r="AF12" s="12">
        <v>1013</v>
      </c>
    </row>
    <row r="13" spans="1:32" x14ac:dyDescent="0.35">
      <c r="A13" s="31"/>
      <c r="B13" s="13" t="s">
        <v>1219</v>
      </c>
      <c r="C13" s="14">
        <v>0.97</v>
      </c>
      <c r="D13" s="14">
        <v>0.96</v>
      </c>
      <c r="E13" s="14">
        <v>0.95000000000000007</v>
      </c>
      <c r="F13" s="14">
        <v>0.98</v>
      </c>
      <c r="G13" s="14">
        <v>1</v>
      </c>
      <c r="H13" s="14">
        <v>0.97</v>
      </c>
      <c r="I13" s="14">
        <v>0.96</v>
      </c>
      <c r="J13" s="14">
        <v>0.95000000000000007</v>
      </c>
      <c r="K13" s="14">
        <v>0.99</v>
      </c>
      <c r="L13" s="14">
        <v>0.98</v>
      </c>
      <c r="M13" s="14">
        <v>0.97</v>
      </c>
      <c r="N13" s="14">
        <v>0.98</v>
      </c>
      <c r="O13" s="14">
        <v>0.97</v>
      </c>
      <c r="P13" s="14">
        <v>0.96</v>
      </c>
      <c r="Q13" s="14">
        <v>0.96</v>
      </c>
      <c r="R13" s="14">
        <v>0.98</v>
      </c>
      <c r="S13" s="14">
        <v>0.99</v>
      </c>
      <c r="T13" s="14">
        <v>0.98</v>
      </c>
      <c r="U13" s="14">
        <v>1</v>
      </c>
      <c r="V13" s="14">
        <v>0.95000000000000007</v>
      </c>
      <c r="W13" s="14">
        <v>0.98</v>
      </c>
      <c r="X13" s="14">
        <v>0.99</v>
      </c>
      <c r="Y13" s="14">
        <v>0.97</v>
      </c>
      <c r="Z13" s="14">
        <v>0.97</v>
      </c>
      <c r="AA13" s="14">
        <v>0.97</v>
      </c>
      <c r="AB13" s="14">
        <v>0.96</v>
      </c>
      <c r="AC13" s="14">
        <v>0.99</v>
      </c>
      <c r="AD13" s="14">
        <v>0.97</v>
      </c>
      <c r="AE13" s="14">
        <v>0.99</v>
      </c>
      <c r="AF13" s="14">
        <v>0.99</v>
      </c>
    </row>
    <row r="14" spans="1:32" x14ac:dyDescent="0.35">
      <c r="A14" s="31"/>
      <c r="B14" s="11" t="s">
        <v>562</v>
      </c>
      <c r="C14" s="12">
        <v>763</v>
      </c>
      <c r="D14" s="12">
        <v>41</v>
      </c>
      <c r="E14" s="12">
        <v>48</v>
      </c>
      <c r="F14" s="12">
        <v>25</v>
      </c>
      <c r="G14" s="12">
        <v>5</v>
      </c>
      <c r="H14" s="12">
        <v>43</v>
      </c>
      <c r="I14" s="12">
        <v>57</v>
      </c>
      <c r="J14" s="12">
        <v>14</v>
      </c>
      <c r="K14" s="12">
        <v>11</v>
      </c>
      <c r="L14" s="12">
        <v>21</v>
      </c>
      <c r="M14" s="12">
        <v>32</v>
      </c>
      <c r="N14" s="12">
        <v>17</v>
      </c>
      <c r="O14" s="12">
        <v>27</v>
      </c>
      <c r="P14" s="12">
        <v>37</v>
      </c>
      <c r="Q14" s="12">
        <v>37</v>
      </c>
      <c r="R14" s="12">
        <v>8</v>
      </c>
      <c r="S14" s="12">
        <v>9</v>
      </c>
      <c r="T14" s="12">
        <v>21</v>
      </c>
      <c r="U14" s="12">
        <v>2</v>
      </c>
      <c r="V14" s="12">
        <v>49</v>
      </c>
      <c r="W14" s="12">
        <v>8</v>
      </c>
      <c r="X14" s="12">
        <v>9</v>
      </c>
      <c r="Y14" s="12">
        <v>35</v>
      </c>
      <c r="Z14" s="12">
        <v>29</v>
      </c>
      <c r="AA14" s="12">
        <v>34</v>
      </c>
      <c r="AB14" s="12">
        <v>38</v>
      </c>
      <c r="AC14" s="12">
        <v>14</v>
      </c>
      <c r="AD14" s="12">
        <v>27</v>
      </c>
      <c r="AE14" s="12">
        <v>5</v>
      </c>
      <c r="AF14" s="12">
        <v>7</v>
      </c>
    </row>
    <row r="15" spans="1:32" x14ac:dyDescent="0.35">
      <c r="A15" s="31"/>
      <c r="B15" s="13" t="s">
        <v>563</v>
      </c>
      <c r="C15" s="14">
        <v>0.03</v>
      </c>
      <c r="D15" s="14">
        <v>0.04</v>
      </c>
      <c r="E15" s="14">
        <v>0.05</v>
      </c>
      <c r="F15" s="14">
        <v>0.02</v>
      </c>
      <c r="G15" s="15" t="s">
        <v>333</v>
      </c>
      <c r="H15" s="14">
        <v>0.03</v>
      </c>
      <c r="I15" s="14">
        <v>0.04</v>
      </c>
      <c r="J15" s="14">
        <v>0.05</v>
      </c>
      <c r="K15" s="14">
        <v>0.01</v>
      </c>
      <c r="L15" s="14">
        <v>0.02</v>
      </c>
      <c r="M15" s="14">
        <v>0.03</v>
      </c>
      <c r="N15" s="14">
        <v>0.02</v>
      </c>
      <c r="O15" s="14">
        <v>0.03</v>
      </c>
      <c r="P15" s="14">
        <v>0.04</v>
      </c>
      <c r="Q15" s="14">
        <v>0.04</v>
      </c>
      <c r="R15" s="14">
        <v>0.02</v>
      </c>
      <c r="S15" s="14">
        <v>0.01</v>
      </c>
      <c r="T15" s="14">
        <v>0.02</v>
      </c>
      <c r="U15" s="15" t="s">
        <v>333</v>
      </c>
      <c r="V15" s="14">
        <v>0.05</v>
      </c>
      <c r="W15" s="14">
        <v>0.02</v>
      </c>
      <c r="X15" s="14">
        <v>0.01</v>
      </c>
      <c r="Y15" s="14">
        <v>0.03</v>
      </c>
      <c r="Z15" s="14">
        <v>0.03</v>
      </c>
      <c r="AA15" s="14">
        <v>0.03</v>
      </c>
      <c r="AB15" s="14">
        <v>0.04</v>
      </c>
      <c r="AC15" s="14">
        <v>0.01</v>
      </c>
      <c r="AD15" s="14">
        <v>0.03</v>
      </c>
      <c r="AE15" s="14">
        <v>0.01</v>
      </c>
      <c r="AF15" s="14">
        <v>0.01</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1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249</v>
      </c>
      <c r="C3" s="30"/>
      <c r="D3" s="30"/>
      <c r="E3" s="30"/>
      <c r="F3" s="30"/>
      <c r="H3" s="30" t="s">
        <v>250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1218</v>
      </c>
      <c r="C12" s="12">
        <v>23038</v>
      </c>
      <c r="D12" s="12">
        <v>963</v>
      </c>
      <c r="E12" s="12">
        <v>838</v>
      </c>
      <c r="F12" s="12">
        <v>888</v>
      </c>
      <c r="G12" s="12">
        <v>1005</v>
      </c>
      <c r="H12" s="12">
        <v>1101</v>
      </c>
      <c r="I12" s="12">
        <v>1366</v>
      </c>
      <c r="J12" s="12">
        <v>265</v>
      </c>
      <c r="K12" s="12">
        <v>891</v>
      </c>
      <c r="L12" s="12">
        <v>936</v>
      </c>
      <c r="M12" s="12">
        <v>883</v>
      </c>
      <c r="N12" s="12">
        <v>899</v>
      </c>
      <c r="O12" s="12">
        <v>915</v>
      </c>
      <c r="P12" s="12">
        <v>833</v>
      </c>
      <c r="Q12" s="12">
        <v>757</v>
      </c>
      <c r="R12" s="12">
        <v>445</v>
      </c>
      <c r="S12" s="12">
        <v>890</v>
      </c>
      <c r="T12" s="12">
        <v>869</v>
      </c>
      <c r="U12" s="12">
        <v>492</v>
      </c>
      <c r="V12" s="12">
        <v>874</v>
      </c>
      <c r="W12" s="12">
        <v>469</v>
      </c>
      <c r="X12" s="12">
        <v>1002</v>
      </c>
      <c r="Y12" s="12">
        <v>858</v>
      </c>
      <c r="Z12" s="12">
        <v>851</v>
      </c>
      <c r="AA12" s="12">
        <v>899</v>
      </c>
      <c r="AB12" s="12">
        <v>867</v>
      </c>
      <c r="AC12" s="12">
        <v>952</v>
      </c>
      <c r="AD12" s="12">
        <v>903</v>
      </c>
      <c r="AE12" s="12">
        <v>948</v>
      </c>
      <c r="AF12" s="12">
        <v>1001</v>
      </c>
    </row>
    <row r="13" spans="1:32" x14ac:dyDescent="0.35">
      <c r="A13" s="31"/>
      <c r="B13" s="13" t="s">
        <v>1219</v>
      </c>
      <c r="C13" s="14">
        <v>0.87</v>
      </c>
      <c r="D13" s="14">
        <v>0.94000000000000006</v>
      </c>
      <c r="E13" s="14">
        <v>0.81</v>
      </c>
      <c r="F13" s="14">
        <v>0.87</v>
      </c>
      <c r="G13" s="14">
        <v>0.99</v>
      </c>
      <c r="H13" s="14">
        <v>0.89</v>
      </c>
      <c r="I13" s="14">
        <v>0.89</v>
      </c>
      <c r="J13" s="14">
        <v>0.89</v>
      </c>
      <c r="K13" s="14">
        <v>0.88</v>
      </c>
      <c r="L13" s="14">
        <v>0.93</v>
      </c>
      <c r="M13" s="14">
        <v>0.88</v>
      </c>
      <c r="N13" s="14">
        <v>0.9</v>
      </c>
      <c r="O13" s="14">
        <v>0.91</v>
      </c>
      <c r="P13" s="14">
        <v>0.83000000000000007</v>
      </c>
      <c r="Q13" s="14">
        <v>0.73</v>
      </c>
      <c r="R13" s="14">
        <v>0.89</v>
      </c>
      <c r="S13" s="14">
        <v>0.87</v>
      </c>
      <c r="T13" s="14">
        <v>0.85</v>
      </c>
      <c r="U13" s="14">
        <v>0.97</v>
      </c>
      <c r="V13" s="14">
        <v>0.86</v>
      </c>
      <c r="W13" s="14">
        <v>0.94000000000000006</v>
      </c>
      <c r="X13" s="14">
        <v>0.99</v>
      </c>
      <c r="Y13" s="14">
        <v>0.86</v>
      </c>
      <c r="Z13" s="14">
        <v>0.83000000000000007</v>
      </c>
      <c r="AA13" s="14">
        <v>0.87</v>
      </c>
      <c r="AB13" s="14">
        <v>0.82000000000000006</v>
      </c>
      <c r="AC13" s="14">
        <v>0.94000000000000006</v>
      </c>
      <c r="AD13" s="14">
        <v>0.9</v>
      </c>
      <c r="AE13" s="14">
        <v>0.94000000000000006</v>
      </c>
      <c r="AF13" s="14">
        <v>0.98</v>
      </c>
    </row>
    <row r="14" spans="1:32" x14ac:dyDescent="0.35">
      <c r="A14" s="31"/>
      <c r="B14" s="11" t="s">
        <v>562</v>
      </c>
      <c r="C14" s="12">
        <v>3372</v>
      </c>
      <c r="D14" s="12">
        <v>62</v>
      </c>
      <c r="E14" s="12">
        <v>201</v>
      </c>
      <c r="F14" s="12">
        <v>130</v>
      </c>
      <c r="G14" s="12">
        <v>12</v>
      </c>
      <c r="H14" s="12">
        <v>131</v>
      </c>
      <c r="I14" s="12">
        <v>164</v>
      </c>
      <c r="J14" s="12">
        <v>33</v>
      </c>
      <c r="K14" s="12">
        <v>118</v>
      </c>
      <c r="L14" s="12">
        <v>68</v>
      </c>
      <c r="M14" s="12">
        <v>121</v>
      </c>
      <c r="N14" s="12">
        <v>101</v>
      </c>
      <c r="O14" s="12">
        <v>85</v>
      </c>
      <c r="P14" s="12">
        <v>171</v>
      </c>
      <c r="Q14" s="12">
        <v>278</v>
      </c>
      <c r="R14" s="12">
        <v>56</v>
      </c>
      <c r="S14" s="12">
        <v>131</v>
      </c>
      <c r="T14" s="12">
        <v>148</v>
      </c>
      <c r="U14" s="12">
        <v>17</v>
      </c>
      <c r="V14" s="12">
        <v>140</v>
      </c>
      <c r="W14" s="12">
        <v>32</v>
      </c>
      <c r="X14" s="12">
        <v>8</v>
      </c>
      <c r="Y14" s="12">
        <v>145</v>
      </c>
      <c r="Z14" s="12">
        <v>168</v>
      </c>
      <c r="AA14" s="12">
        <v>131</v>
      </c>
      <c r="AB14" s="12">
        <v>189</v>
      </c>
      <c r="AC14" s="12">
        <v>61</v>
      </c>
      <c r="AD14" s="12">
        <v>101</v>
      </c>
      <c r="AE14" s="12">
        <v>59</v>
      </c>
      <c r="AF14" s="12">
        <v>19</v>
      </c>
    </row>
    <row r="15" spans="1:32" x14ac:dyDescent="0.35">
      <c r="A15" s="31"/>
      <c r="B15" s="13" t="s">
        <v>563</v>
      </c>
      <c r="C15" s="14">
        <v>0.13</v>
      </c>
      <c r="D15" s="14">
        <v>0.06</v>
      </c>
      <c r="E15" s="14">
        <v>0.19</v>
      </c>
      <c r="F15" s="14">
        <v>0.13</v>
      </c>
      <c r="G15" s="14">
        <v>0.01</v>
      </c>
      <c r="H15" s="14">
        <v>0.11</v>
      </c>
      <c r="I15" s="14">
        <v>0.11</v>
      </c>
      <c r="J15" s="14">
        <v>0.11</v>
      </c>
      <c r="K15" s="14">
        <v>0.12</v>
      </c>
      <c r="L15" s="14">
        <v>7.0000000000000007E-2</v>
      </c>
      <c r="M15" s="14">
        <v>0.12</v>
      </c>
      <c r="N15" s="14">
        <v>0.1</v>
      </c>
      <c r="O15" s="14">
        <v>0.09</v>
      </c>
      <c r="P15" s="14">
        <v>0.17</v>
      </c>
      <c r="Q15" s="14">
        <v>0.27</v>
      </c>
      <c r="R15" s="14">
        <v>0.11</v>
      </c>
      <c r="S15" s="14">
        <v>0.13</v>
      </c>
      <c r="T15" s="14">
        <v>0.15</v>
      </c>
      <c r="U15" s="14">
        <v>0.03</v>
      </c>
      <c r="V15" s="14">
        <v>0.14000000000000001</v>
      </c>
      <c r="W15" s="14">
        <v>0.06</v>
      </c>
      <c r="X15" s="14">
        <v>0.01</v>
      </c>
      <c r="Y15" s="14">
        <v>0.14000000000000001</v>
      </c>
      <c r="Z15" s="14">
        <v>0.17</v>
      </c>
      <c r="AA15" s="14">
        <v>0.13</v>
      </c>
      <c r="AB15" s="14">
        <v>0.18</v>
      </c>
      <c r="AC15" s="14">
        <v>0.06</v>
      </c>
      <c r="AD15" s="14">
        <v>0.1</v>
      </c>
      <c r="AE15" s="14">
        <v>0.06</v>
      </c>
      <c r="AF15" s="14">
        <v>0.02</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251</v>
      </c>
      <c r="C3" s="30"/>
      <c r="D3" s="30"/>
      <c r="E3" s="30"/>
      <c r="F3" s="30"/>
      <c r="H3" s="30" t="s">
        <v>252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1220</v>
      </c>
      <c r="C12" s="12">
        <v>345</v>
      </c>
      <c r="D12" s="12">
        <v>6</v>
      </c>
      <c r="E12" s="12">
        <v>15</v>
      </c>
      <c r="F12" s="12">
        <v>2</v>
      </c>
      <c r="G12" s="12">
        <v>0</v>
      </c>
      <c r="H12" s="12">
        <v>32</v>
      </c>
      <c r="I12" s="12">
        <v>37</v>
      </c>
      <c r="J12" s="12">
        <v>5</v>
      </c>
      <c r="K12" s="12">
        <v>3</v>
      </c>
      <c r="L12" s="12">
        <v>5</v>
      </c>
      <c r="M12" s="12">
        <v>15</v>
      </c>
      <c r="N12" s="12">
        <v>13</v>
      </c>
      <c r="O12" s="12">
        <v>8</v>
      </c>
      <c r="P12" s="12">
        <v>31</v>
      </c>
      <c r="Q12" s="12">
        <v>16</v>
      </c>
      <c r="R12" s="12">
        <v>7</v>
      </c>
      <c r="S12" s="12">
        <v>1</v>
      </c>
      <c r="T12" s="12">
        <v>4</v>
      </c>
      <c r="U12" s="12">
        <v>0</v>
      </c>
      <c r="V12" s="12">
        <v>25</v>
      </c>
      <c r="W12" s="12">
        <v>7</v>
      </c>
      <c r="X12" s="12">
        <v>0</v>
      </c>
      <c r="Y12" s="12">
        <v>23</v>
      </c>
      <c r="Z12" s="12">
        <v>7</v>
      </c>
      <c r="AA12" s="12">
        <v>9</v>
      </c>
      <c r="AB12" s="12">
        <v>20</v>
      </c>
      <c r="AC12" s="12">
        <v>4</v>
      </c>
      <c r="AD12" s="12">
        <v>6</v>
      </c>
      <c r="AE12" s="12">
        <v>0</v>
      </c>
      <c r="AF12" s="12">
        <v>0</v>
      </c>
    </row>
    <row r="13" spans="1:32" x14ac:dyDescent="0.35">
      <c r="A13" s="31"/>
      <c r="B13" s="13" t="s">
        <v>1221</v>
      </c>
      <c r="C13" s="14">
        <v>0.01</v>
      </c>
      <c r="D13" s="14">
        <v>0.01</v>
      </c>
      <c r="E13" s="14">
        <v>0.02</v>
      </c>
      <c r="F13" s="15" t="s">
        <v>333</v>
      </c>
      <c r="G13" s="15" t="s">
        <v>333</v>
      </c>
      <c r="H13" s="14">
        <v>0.03</v>
      </c>
      <c r="I13" s="14">
        <v>0.02</v>
      </c>
      <c r="J13" s="14">
        <v>0.02</v>
      </c>
      <c r="K13" s="15" t="s">
        <v>333</v>
      </c>
      <c r="L13" s="14">
        <v>0.01</v>
      </c>
      <c r="M13" s="14">
        <v>0.01</v>
      </c>
      <c r="N13" s="14">
        <v>0.01</v>
      </c>
      <c r="O13" s="14">
        <v>0.01</v>
      </c>
      <c r="P13" s="14">
        <v>0.03</v>
      </c>
      <c r="Q13" s="14">
        <v>0.02</v>
      </c>
      <c r="R13" s="14">
        <v>0.01</v>
      </c>
      <c r="S13" s="15" t="s">
        <v>333</v>
      </c>
      <c r="T13" s="15" t="s">
        <v>333</v>
      </c>
      <c r="U13" s="15" t="s">
        <v>333</v>
      </c>
      <c r="V13" s="14">
        <v>0.03</v>
      </c>
      <c r="W13" s="14">
        <v>0.02</v>
      </c>
      <c r="X13" s="15" t="s">
        <v>333</v>
      </c>
      <c r="Y13" s="14">
        <v>0.02</v>
      </c>
      <c r="Z13" s="14">
        <v>0.01</v>
      </c>
      <c r="AA13" s="14">
        <v>0.01</v>
      </c>
      <c r="AB13" s="14">
        <v>0.02</v>
      </c>
      <c r="AC13" s="15" t="s">
        <v>333</v>
      </c>
      <c r="AD13" s="14">
        <v>0.01</v>
      </c>
      <c r="AE13" s="15" t="s">
        <v>333</v>
      </c>
      <c r="AF13" s="15" t="s">
        <v>333</v>
      </c>
    </row>
    <row r="14" spans="1:32" ht="21.5" x14ac:dyDescent="0.35">
      <c r="A14" s="31"/>
      <c r="B14" s="11" t="s">
        <v>1222</v>
      </c>
      <c r="C14" s="12">
        <v>2213</v>
      </c>
      <c r="D14" s="12">
        <v>29</v>
      </c>
      <c r="E14" s="12">
        <v>156</v>
      </c>
      <c r="F14" s="12">
        <v>104</v>
      </c>
      <c r="G14" s="12">
        <v>8</v>
      </c>
      <c r="H14" s="12">
        <v>71</v>
      </c>
      <c r="I14" s="12">
        <v>90</v>
      </c>
      <c r="J14" s="12">
        <v>18</v>
      </c>
      <c r="K14" s="12">
        <v>86</v>
      </c>
      <c r="L14" s="12">
        <v>45</v>
      </c>
      <c r="M14" s="12">
        <v>47</v>
      </c>
      <c r="N14" s="12">
        <v>49</v>
      </c>
      <c r="O14" s="12">
        <v>53</v>
      </c>
      <c r="P14" s="12">
        <v>106</v>
      </c>
      <c r="Q14" s="12">
        <v>202</v>
      </c>
      <c r="R14" s="12">
        <v>31</v>
      </c>
      <c r="S14" s="12">
        <v>124</v>
      </c>
      <c r="T14" s="12">
        <v>119</v>
      </c>
      <c r="U14" s="12">
        <v>9</v>
      </c>
      <c r="V14" s="12">
        <v>78</v>
      </c>
      <c r="W14" s="12">
        <v>2</v>
      </c>
      <c r="X14" s="12">
        <v>5</v>
      </c>
      <c r="Y14" s="12">
        <v>96</v>
      </c>
      <c r="Z14" s="12">
        <v>132</v>
      </c>
      <c r="AA14" s="12">
        <v>62</v>
      </c>
      <c r="AB14" s="12">
        <v>148</v>
      </c>
      <c r="AC14" s="12">
        <v>36</v>
      </c>
      <c r="AD14" s="12">
        <v>67</v>
      </c>
      <c r="AE14" s="12">
        <v>56</v>
      </c>
      <c r="AF14" s="12">
        <v>17</v>
      </c>
    </row>
    <row r="15" spans="1:32" x14ac:dyDescent="0.35">
      <c r="A15" s="31"/>
      <c r="B15" s="13" t="s">
        <v>1223</v>
      </c>
      <c r="C15" s="14">
        <v>0.09</v>
      </c>
      <c r="D15" s="14">
        <v>0.03</v>
      </c>
      <c r="E15" s="14">
        <v>0.15</v>
      </c>
      <c r="F15" s="14">
        <v>0.1</v>
      </c>
      <c r="G15" s="14">
        <v>0.01</v>
      </c>
      <c r="H15" s="14">
        <v>0.06</v>
      </c>
      <c r="I15" s="14">
        <v>0.06</v>
      </c>
      <c r="J15" s="14">
        <v>0.06</v>
      </c>
      <c r="K15" s="14">
        <v>0.08</v>
      </c>
      <c r="L15" s="14">
        <v>0.05</v>
      </c>
      <c r="M15" s="14">
        <v>0.05</v>
      </c>
      <c r="N15" s="14">
        <v>0.05</v>
      </c>
      <c r="O15" s="14">
        <v>0.05</v>
      </c>
      <c r="P15" s="14">
        <v>0.11</v>
      </c>
      <c r="Q15" s="14">
        <v>0.2</v>
      </c>
      <c r="R15" s="14">
        <v>0.06</v>
      </c>
      <c r="S15" s="14">
        <v>0.12</v>
      </c>
      <c r="T15" s="14">
        <v>0.12</v>
      </c>
      <c r="U15" s="14">
        <v>0.02</v>
      </c>
      <c r="V15" s="14">
        <v>0.08</v>
      </c>
      <c r="W15" s="15" t="s">
        <v>333</v>
      </c>
      <c r="X15" s="14">
        <v>0.01</v>
      </c>
      <c r="Y15" s="14">
        <v>0.1</v>
      </c>
      <c r="Z15" s="14">
        <v>0.13</v>
      </c>
      <c r="AA15" s="14">
        <v>0.06</v>
      </c>
      <c r="AB15" s="14">
        <v>0.14000000000000001</v>
      </c>
      <c r="AC15" s="14">
        <v>0.04</v>
      </c>
      <c r="AD15" s="14">
        <v>7.0000000000000007E-2</v>
      </c>
      <c r="AE15" s="14">
        <v>0.06</v>
      </c>
      <c r="AF15" s="14">
        <v>0.02</v>
      </c>
    </row>
    <row r="16" spans="1:32" x14ac:dyDescent="0.35">
      <c r="A16" s="31"/>
      <c r="B16" s="11" t="s">
        <v>1224</v>
      </c>
      <c r="C16" s="12">
        <v>92</v>
      </c>
      <c r="D16" s="12">
        <v>9</v>
      </c>
      <c r="E16" s="12">
        <v>9</v>
      </c>
      <c r="F16" s="12">
        <v>6</v>
      </c>
      <c r="G16" s="12">
        <v>2</v>
      </c>
      <c r="H16" s="12">
        <v>2</v>
      </c>
      <c r="I16" s="12">
        <v>4</v>
      </c>
      <c r="J16" s="12">
        <v>3</v>
      </c>
      <c r="K16" s="12">
        <v>2</v>
      </c>
      <c r="L16" s="12">
        <v>10</v>
      </c>
      <c r="M16" s="12">
        <v>0</v>
      </c>
      <c r="N16" s="12">
        <v>0</v>
      </c>
      <c r="O16" s="12">
        <v>6</v>
      </c>
      <c r="P16" s="12">
        <v>2</v>
      </c>
      <c r="Q16" s="12">
        <v>4</v>
      </c>
      <c r="R16" s="12">
        <v>0</v>
      </c>
      <c r="S16" s="12">
        <v>3</v>
      </c>
      <c r="T16" s="12">
        <v>2</v>
      </c>
      <c r="U16" s="12">
        <v>1</v>
      </c>
      <c r="V16" s="12">
        <v>4</v>
      </c>
      <c r="W16" s="12">
        <v>1</v>
      </c>
      <c r="X16" s="12">
        <v>2</v>
      </c>
      <c r="Y16" s="12">
        <v>9</v>
      </c>
      <c r="Z16" s="12">
        <v>1</v>
      </c>
      <c r="AA16" s="12">
        <v>3</v>
      </c>
      <c r="AB16" s="12">
        <v>4</v>
      </c>
      <c r="AC16" s="12">
        <v>2</v>
      </c>
      <c r="AD16" s="12">
        <v>3</v>
      </c>
      <c r="AE16" s="12">
        <v>5</v>
      </c>
      <c r="AF16" s="12">
        <v>3</v>
      </c>
    </row>
    <row r="17" spans="1:32" x14ac:dyDescent="0.35">
      <c r="A17" s="31"/>
      <c r="B17" s="13" t="s">
        <v>1225</v>
      </c>
      <c r="C17" s="15" t="s">
        <v>333</v>
      </c>
      <c r="D17" s="14">
        <v>0.01</v>
      </c>
      <c r="E17" s="14">
        <v>0.01</v>
      </c>
      <c r="F17" s="15" t="s">
        <v>333</v>
      </c>
      <c r="G17" s="15" t="s">
        <v>333</v>
      </c>
      <c r="H17" s="15" t="s">
        <v>333</v>
      </c>
      <c r="I17" s="15" t="s">
        <v>333</v>
      </c>
      <c r="J17" s="14">
        <v>0.01</v>
      </c>
      <c r="K17" s="15" t="s">
        <v>333</v>
      </c>
      <c r="L17" s="14">
        <v>0.01</v>
      </c>
      <c r="M17" s="15" t="s">
        <v>333</v>
      </c>
      <c r="N17" s="15" t="s">
        <v>333</v>
      </c>
      <c r="O17" s="14">
        <v>0.01</v>
      </c>
      <c r="P17" s="15" t="s">
        <v>333</v>
      </c>
      <c r="Q17" s="15" t="s">
        <v>333</v>
      </c>
      <c r="R17" s="15" t="s">
        <v>333</v>
      </c>
      <c r="S17" s="15" t="s">
        <v>333</v>
      </c>
      <c r="T17" s="15" t="s">
        <v>333</v>
      </c>
      <c r="U17" s="15" t="s">
        <v>333</v>
      </c>
      <c r="V17" s="15" t="s">
        <v>333</v>
      </c>
      <c r="W17" s="15" t="s">
        <v>333</v>
      </c>
      <c r="X17" s="15" t="s">
        <v>333</v>
      </c>
      <c r="Y17" s="14">
        <v>0.01</v>
      </c>
      <c r="Z17" s="15" t="s">
        <v>333</v>
      </c>
      <c r="AA17" s="15" t="s">
        <v>333</v>
      </c>
      <c r="AB17" s="15" t="s">
        <v>333</v>
      </c>
      <c r="AC17" s="15" t="s">
        <v>333</v>
      </c>
      <c r="AD17" s="15" t="s">
        <v>333</v>
      </c>
      <c r="AE17" s="15" t="s">
        <v>333</v>
      </c>
      <c r="AF17" s="15" t="s">
        <v>333</v>
      </c>
    </row>
    <row r="18" spans="1:32" ht="21.5" x14ac:dyDescent="0.35">
      <c r="A18" s="31"/>
      <c r="B18" s="11" t="s">
        <v>1226</v>
      </c>
      <c r="C18" s="12">
        <v>613</v>
      </c>
      <c r="D18" s="12">
        <v>13</v>
      </c>
      <c r="E18" s="12">
        <v>9</v>
      </c>
      <c r="F18" s="12">
        <v>6</v>
      </c>
      <c r="G18" s="12">
        <v>4</v>
      </c>
      <c r="H18" s="12">
        <v>27</v>
      </c>
      <c r="I18" s="12">
        <v>34</v>
      </c>
      <c r="J18" s="12">
        <v>7</v>
      </c>
      <c r="K18" s="12">
        <v>23</v>
      </c>
      <c r="L18" s="12">
        <v>13</v>
      </c>
      <c r="M18" s="12">
        <v>50</v>
      </c>
      <c r="N18" s="12">
        <v>38</v>
      </c>
      <c r="O18" s="12">
        <v>21</v>
      </c>
      <c r="P18" s="12">
        <v>32</v>
      </c>
      <c r="Q18" s="12">
        <v>46</v>
      </c>
      <c r="R18" s="12">
        <v>18</v>
      </c>
      <c r="S18" s="12">
        <v>2</v>
      </c>
      <c r="T18" s="12">
        <v>10</v>
      </c>
      <c r="U18" s="12">
        <v>8</v>
      </c>
      <c r="V18" s="12">
        <v>18</v>
      </c>
      <c r="W18" s="12">
        <v>24</v>
      </c>
      <c r="X18" s="12">
        <v>0</v>
      </c>
      <c r="Y18" s="12">
        <v>23</v>
      </c>
      <c r="Z18" s="12">
        <v>9</v>
      </c>
      <c r="AA18" s="12">
        <v>42</v>
      </c>
      <c r="AB18" s="12">
        <v>10</v>
      </c>
      <c r="AC18" s="12">
        <v>18</v>
      </c>
      <c r="AD18" s="12">
        <v>12</v>
      </c>
      <c r="AE18" s="12">
        <v>3</v>
      </c>
      <c r="AF18" s="12">
        <v>2</v>
      </c>
    </row>
    <row r="19" spans="1:32" ht="21.5" x14ac:dyDescent="0.35">
      <c r="A19" s="31"/>
      <c r="B19" s="13" t="s">
        <v>1227</v>
      </c>
      <c r="C19" s="14">
        <v>0.02</v>
      </c>
      <c r="D19" s="14">
        <v>0.01</v>
      </c>
      <c r="E19" s="14">
        <v>0.01</v>
      </c>
      <c r="F19" s="14">
        <v>0.01</v>
      </c>
      <c r="G19" s="15" t="s">
        <v>333</v>
      </c>
      <c r="H19" s="14">
        <v>0.02</v>
      </c>
      <c r="I19" s="14">
        <v>0.02</v>
      </c>
      <c r="J19" s="14">
        <v>0.02</v>
      </c>
      <c r="K19" s="14">
        <v>0.02</v>
      </c>
      <c r="L19" s="14">
        <v>0.01</v>
      </c>
      <c r="M19" s="14">
        <v>0.05</v>
      </c>
      <c r="N19" s="14">
        <v>0.04</v>
      </c>
      <c r="O19" s="14">
        <v>0.02</v>
      </c>
      <c r="P19" s="14">
        <v>0.03</v>
      </c>
      <c r="Q19" s="14">
        <v>0.04</v>
      </c>
      <c r="R19" s="14">
        <v>0.04</v>
      </c>
      <c r="S19" s="15" t="s">
        <v>333</v>
      </c>
      <c r="T19" s="14">
        <v>0.01</v>
      </c>
      <c r="U19" s="14">
        <v>0.02</v>
      </c>
      <c r="V19" s="14">
        <v>0.02</v>
      </c>
      <c r="W19" s="14">
        <v>0.05</v>
      </c>
      <c r="X19" s="15" t="s">
        <v>333</v>
      </c>
      <c r="Y19" s="14">
        <v>0.02</v>
      </c>
      <c r="Z19" s="14">
        <v>0.01</v>
      </c>
      <c r="AA19" s="14">
        <v>0.04</v>
      </c>
      <c r="AB19" s="14">
        <v>0.01</v>
      </c>
      <c r="AC19" s="14">
        <v>0.02</v>
      </c>
      <c r="AD19" s="14">
        <v>0.01</v>
      </c>
      <c r="AE19" s="15" t="s">
        <v>333</v>
      </c>
      <c r="AF19" s="15" t="s">
        <v>333</v>
      </c>
    </row>
    <row r="20" spans="1:32" x14ac:dyDescent="0.35">
      <c r="A20" s="31"/>
      <c r="B20" s="11" t="s">
        <v>1228</v>
      </c>
      <c r="C20" s="12">
        <v>125</v>
      </c>
      <c r="D20" s="12">
        <v>11</v>
      </c>
      <c r="E20" s="12">
        <v>3</v>
      </c>
      <c r="F20" s="12">
        <v>1</v>
      </c>
      <c r="G20" s="12">
        <v>3</v>
      </c>
      <c r="H20" s="12">
        <v>9</v>
      </c>
      <c r="I20" s="12">
        <v>12</v>
      </c>
      <c r="J20" s="12">
        <v>3</v>
      </c>
      <c r="K20" s="12">
        <v>0</v>
      </c>
      <c r="L20" s="12">
        <v>1</v>
      </c>
      <c r="M20" s="12">
        <v>8</v>
      </c>
      <c r="N20" s="12">
        <v>3</v>
      </c>
      <c r="O20" s="12">
        <v>9</v>
      </c>
      <c r="P20" s="12">
        <v>2</v>
      </c>
      <c r="Q20" s="12">
        <v>3</v>
      </c>
      <c r="R20" s="12">
        <v>1</v>
      </c>
      <c r="S20" s="12">
        <v>0</v>
      </c>
      <c r="T20" s="12">
        <v>0</v>
      </c>
      <c r="U20" s="12">
        <v>1</v>
      </c>
      <c r="V20" s="12">
        <v>1</v>
      </c>
      <c r="W20" s="12">
        <v>1</v>
      </c>
      <c r="X20" s="12">
        <v>5</v>
      </c>
      <c r="Y20" s="12">
        <v>0</v>
      </c>
      <c r="Z20" s="12">
        <v>1</v>
      </c>
      <c r="AA20" s="12">
        <v>3</v>
      </c>
      <c r="AB20" s="12">
        <v>4</v>
      </c>
      <c r="AC20" s="12">
        <v>5</v>
      </c>
      <c r="AD20" s="12">
        <v>1</v>
      </c>
      <c r="AE20" s="12">
        <v>0</v>
      </c>
      <c r="AF20" s="12">
        <v>3</v>
      </c>
    </row>
    <row r="21" spans="1:32" ht="21.5" x14ac:dyDescent="0.35">
      <c r="A21" s="31"/>
      <c r="B21" s="13" t="s">
        <v>1229</v>
      </c>
      <c r="C21" s="14">
        <v>0.01</v>
      </c>
      <c r="D21" s="14">
        <v>0.01</v>
      </c>
      <c r="E21" s="15" t="s">
        <v>333</v>
      </c>
      <c r="F21" s="15" t="s">
        <v>333</v>
      </c>
      <c r="G21" s="15" t="s">
        <v>333</v>
      </c>
      <c r="H21" s="14">
        <v>0.01</v>
      </c>
      <c r="I21" s="14">
        <v>0.01</v>
      </c>
      <c r="J21" s="14">
        <v>0.01</v>
      </c>
      <c r="K21" s="15" t="s">
        <v>333</v>
      </c>
      <c r="L21" s="15" t="s">
        <v>333</v>
      </c>
      <c r="M21" s="14">
        <v>0.01</v>
      </c>
      <c r="N21" s="15" t="s">
        <v>333</v>
      </c>
      <c r="O21" s="14">
        <v>0.01</v>
      </c>
      <c r="P21" s="15" t="s">
        <v>333</v>
      </c>
      <c r="Q21" s="15" t="s">
        <v>333</v>
      </c>
      <c r="R21" s="15" t="s">
        <v>333</v>
      </c>
      <c r="S21" s="15" t="s">
        <v>333</v>
      </c>
      <c r="T21" s="15" t="s">
        <v>333</v>
      </c>
      <c r="U21" s="15" t="s">
        <v>333</v>
      </c>
      <c r="V21" s="15" t="s">
        <v>333</v>
      </c>
      <c r="W21" s="15" t="s">
        <v>333</v>
      </c>
      <c r="X21" s="15" t="s">
        <v>333</v>
      </c>
      <c r="Y21" s="15" t="s">
        <v>333</v>
      </c>
      <c r="Z21" s="15" t="s">
        <v>333</v>
      </c>
      <c r="AA21" s="15" t="s">
        <v>333</v>
      </c>
      <c r="AB21" s="14">
        <v>0.01</v>
      </c>
      <c r="AC21" s="15" t="s">
        <v>333</v>
      </c>
      <c r="AD21" s="15" t="s">
        <v>333</v>
      </c>
      <c r="AE21" s="15" t="s">
        <v>333</v>
      </c>
      <c r="AF21" s="15" t="s">
        <v>333</v>
      </c>
    </row>
    <row r="22" spans="1:32" ht="21.5" x14ac:dyDescent="0.35">
      <c r="A22" s="31"/>
      <c r="B22" s="11" t="s">
        <v>1230</v>
      </c>
      <c r="C22" s="12">
        <v>14280</v>
      </c>
      <c r="D22" s="12">
        <v>689</v>
      </c>
      <c r="E22" s="12">
        <v>782</v>
      </c>
      <c r="F22" s="12">
        <v>854</v>
      </c>
      <c r="G22" s="12">
        <v>945</v>
      </c>
      <c r="H22" s="12">
        <v>456</v>
      </c>
      <c r="I22" s="12">
        <v>547</v>
      </c>
      <c r="J22" s="12">
        <v>91</v>
      </c>
      <c r="K22" s="12">
        <v>782</v>
      </c>
      <c r="L22" s="12">
        <v>765</v>
      </c>
      <c r="M22" s="12">
        <v>71</v>
      </c>
      <c r="N22" s="12">
        <v>572</v>
      </c>
      <c r="O22" s="12">
        <v>464</v>
      </c>
      <c r="P22" s="12">
        <v>410</v>
      </c>
      <c r="Q22" s="12">
        <v>377</v>
      </c>
      <c r="R22" s="12">
        <v>285</v>
      </c>
      <c r="S22" s="12">
        <v>866</v>
      </c>
      <c r="T22" s="12">
        <v>832</v>
      </c>
      <c r="U22" s="12">
        <v>291</v>
      </c>
      <c r="V22" s="12">
        <v>663</v>
      </c>
      <c r="W22" s="12">
        <v>115</v>
      </c>
      <c r="X22" s="12">
        <v>673</v>
      </c>
      <c r="Y22" s="12">
        <v>695</v>
      </c>
      <c r="Z22" s="12">
        <v>813</v>
      </c>
      <c r="AA22" s="12">
        <v>386</v>
      </c>
      <c r="AB22" s="12">
        <v>826</v>
      </c>
      <c r="AC22" s="12">
        <v>706</v>
      </c>
      <c r="AD22" s="12">
        <v>806</v>
      </c>
      <c r="AE22" s="12">
        <v>893</v>
      </c>
      <c r="AF22" s="12">
        <v>913</v>
      </c>
    </row>
    <row r="23" spans="1:32" ht="21.5" x14ac:dyDescent="0.35">
      <c r="A23" s="31"/>
      <c r="B23" s="13" t="s">
        <v>1231</v>
      </c>
      <c r="C23" s="14">
        <v>0.54</v>
      </c>
      <c r="D23" s="14">
        <v>0.67</v>
      </c>
      <c r="E23" s="14">
        <v>0.75</v>
      </c>
      <c r="F23" s="14">
        <v>0.84</v>
      </c>
      <c r="G23" s="14">
        <v>0.93</v>
      </c>
      <c r="H23" s="14">
        <v>0.37</v>
      </c>
      <c r="I23" s="14">
        <v>0.36</v>
      </c>
      <c r="J23" s="14">
        <v>0.31</v>
      </c>
      <c r="K23" s="14">
        <v>0.78</v>
      </c>
      <c r="L23" s="14">
        <v>0.76</v>
      </c>
      <c r="M23" s="14">
        <v>7.0000000000000007E-2</v>
      </c>
      <c r="N23" s="14">
        <v>0.57000000000000006</v>
      </c>
      <c r="O23" s="14">
        <v>0.46</v>
      </c>
      <c r="P23" s="14">
        <v>0.41</v>
      </c>
      <c r="Q23" s="14">
        <v>0.37</v>
      </c>
      <c r="R23" s="14">
        <v>0.57000000000000006</v>
      </c>
      <c r="S23" s="14">
        <v>0.85</v>
      </c>
      <c r="T23" s="14">
        <v>0.82000000000000006</v>
      </c>
      <c r="U23" s="14">
        <v>0.57000000000000006</v>
      </c>
      <c r="V23" s="14">
        <v>0.65</v>
      </c>
      <c r="W23" s="14">
        <v>0.23</v>
      </c>
      <c r="X23" s="14">
        <v>0.67</v>
      </c>
      <c r="Y23" s="14">
        <v>0.69000000000000006</v>
      </c>
      <c r="Z23" s="14">
        <v>0.8</v>
      </c>
      <c r="AA23" s="14">
        <v>0.38</v>
      </c>
      <c r="AB23" s="14">
        <v>0.78</v>
      </c>
      <c r="AC23" s="14">
        <v>0.70000000000000007</v>
      </c>
      <c r="AD23" s="14">
        <v>0.8</v>
      </c>
      <c r="AE23" s="14">
        <v>0.89</v>
      </c>
      <c r="AF23" s="14">
        <v>0.9</v>
      </c>
    </row>
    <row r="24" spans="1:32" ht="21.5" x14ac:dyDescent="0.35">
      <c r="A24" s="31"/>
      <c r="B24" s="11" t="s">
        <v>1232</v>
      </c>
      <c r="C24" s="12">
        <v>8541</v>
      </c>
      <c r="D24" s="12">
        <v>254</v>
      </c>
      <c r="E24" s="12">
        <v>45</v>
      </c>
      <c r="F24" s="12">
        <v>28</v>
      </c>
      <c r="G24" s="12">
        <v>56</v>
      </c>
      <c r="H24" s="12">
        <v>635</v>
      </c>
      <c r="I24" s="12">
        <v>803</v>
      </c>
      <c r="J24" s="12">
        <v>168</v>
      </c>
      <c r="K24" s="12">
        <v>107</v>
      </c>
      <c r="L24" s="12">
        <v>160</v>
      </c>
      <c r="M24" s="12">
        <v>805</v>
      </c>
      <c r="N24" s="12">
        <v>324</v>
      </c>
      <c r="O24" s="12">
        <v>436</v>
      </c>
      <c r="P24" s="12">
        <v>419</v>
      </c>
      <c r="Q24" s="12">
        <v>373</v>
      </c>
      <c r="R24" s="12">
        <v>158</v>
      </c>
      <c r="S24" s="12">
        <v>20</v>
      </c>
      <c r="T24" s="12">
        <v>35</v>
      </c>
      <c r="U24" s="12">
        <v>199</v>
      </c>
      <c r="V24" s="12">
        <v>206</v>
      </c>
      <c r="W24" s="12">
        <v>352</v>
      </c>
      <c r="X24" s="12">
        <v>323</v>
      </c>
      <c r="Y24" s="12">
        <v>155</v>
      </c>
      <c r="Z24" s="12">
        <v>36</v>
      </c>
      <c r="AA24" s="12">
        <v>506</v>
      </c>
      <c r="AB24" s="12">
        <v>33</v>
      </c>
      <c r="AC24" s="12">
        <v>240</v>
      </c>
      <c r="AD24" s="12">
        <v>92</v>
      </c>
      <c r="AE24" s="12">
        <v>49</v>
      </c>
      <c r="AF24" s="12">
        <v>81</v>
      </c>
    </row>
    <row r="25" spans="1:32" ht="21.5" x14ac:dyDescent="0.35">
      <c r="A25" s="31"/>
      <c r="B25" s="13" t="s">
        <v>1233</v>
      </c>
      <c r="C25" s="14">
        <v>0.32</v>
      </c>
      <c r="D25" s="14">
        <v>0.25</v>
      </c>
      <c r="E25" s="14">
        <v>0.04</v>
      </c>
      <c r="F25" s="14">
        <v>0.03</v>
      </c>
      <c r="G25" s="14">
        <v>0.06</v>
      </c>
      <c r="H25" s="14">
        <v>0.51</v>
      </c>
      <c r="I25" s="14">
        <v>0.53</v>
      </c>
      <c r="J25" s="14">
        <v>0.56000000000000005</v>
      </c>
      <c r="K25" s="14">
        <v>0.11</v>
      </c>
      <c r="L25" s="14">
        <v>0.16</v>
      </c>
      <c r="M25" s="14">
        <v>0.8</v>
      </c>
      <c r="N25" s="14">
        <v>0.33</v>
      </c>
      <c r="O25" s="14">
        <v>0.44</v>
      </c>
      <c r="P25" s="14">
        <v>0.42</v>
      </c>
      <c r="Q25" s="14">
        <v>0.36</v>
      </c>
      <c r="R25" s="14">
        <v>0.32</v>
      </c>
      <c r="S25" s="14">
        <v>0.02</v>
      </c>
      <c r="T25" s="14">
        <v>0.03</v>
      </c>
      <c r="U25" s="14">
        <v>0.39</v>
      </c>
      <c r="V25" s="14">
        <v>0.2</v>
      </c>
      <c r="W25" s="14">
        <v>0.70000000000000007</v>
      </c>
      <c r="X25" s="14">
        <v>0.32</v>
      </c>
      <c r="Y25" s="14">
        <v>0.16</v>
      </c>
      <c r="Z25" s="14">
        <v>0.03</v>
      </c>
      <c r="AA25" s="14">
        <v>0.49</v>
      </c>
      <c r="AB25" s="14">
        <v>0.03</v>
      </c>
      <c r="AC25" s="14">
        <v>0.24</v>
      </c>
      <c r="AD25" s="14">
        <v>0.09</v>
      </c>
      <c r="AE25" s="14">
        <v>0.05</v>
      </c>
      <c r="AF25" s="14">
        <v>0.08</v>
      </c>
    </row>
    <row r="26" spans="1:32" x14ac:dyDescent="0.35">
      <c r="A26" s="31"/>
      <c r="B26" s="11" t="s">
        <v>1234</v>
      </c>
      <c r="C26" s="12">
        <v>201</v>
      </c>
      <c r="D26" s="12">
        <v>15</v>
      </c>
      <c r="E26" s="12">
        <v>21</v>
      </c>
      <c r="F26" s="12">
        <v>17</v>
      </c>
      <c r="G26" s="12">
        <v>0</v>
      </c>
      <c r="H26" s="12">
        <v>1</v>
      </c>
      <c r="I26" s="12">
        <v>4</v>
      </c>
      <c r="J26" s="12">
        <v>3</v>
      </c>
      <c r="K26" s="12">
        <v>5</v>
      </c>
      <c r="L26" s="12">
        <v>5</v>
      </c>
      <c r="M26" s="12">
        <v>9</v>
      </c>
      <c r="N26" s="12">
        <v>1</v>
      </c>
      <c r="O26" s="12">
        <v>4</v>
      </c>
      <c r="P26" s="12">
        <v>2</v>
      </c>
      <c r="Q26" s="12">
        <v>14</v>
      </c>
      <c r="R26" s="12">
        <v>0</v>
      </c>
      <c r="S26" s="12">
        <v>4</v>
      </c>
      <c r="T26" s="12">
        <v>14</v>
      </c>
      <c r="U26" s="12">
        <v>0</v>
      </c>
      <c r="V26" s="12">
        <v>19</v>
      </c>
      <c r="W26" s="12">
        <v>0</v>
      </c>
      <c r="X26" s="12">
        <v>2</v>
      </c>
      <c r="Y26" s="12">
        <v>3</v>
      </c>
      <c r="Z26" s="12">
        <v>20</v>
      </c>
      <c r="AA26" s="12">
        <v>18</v>
      </c>
      <c r="AB26" s="12">
        <v>11</v>
      </c>
      <c r="AC26" s="12">
        <v>3</v>
      </c>
      <c r="AD26" s="12">
        <v>17</v>
      </c>
      <c r="AE26" s="12">
        <v>0</v>
      </c>
      <c r="AF26" s="12">
        <v>0</v>
      </c>
    </row>
    <row r="27" spans="1:32" x14ac:dyDescent="0.35">
      <c r="A27" s="31"/>
      <c r="B27" s="13" t="s">
        <v>1235</v>
      </c>
      <c r="C27" s="14">
        <v>0.01</v>
      </c>
      <c r="D27" s="14">
        <v>0.01</v>
      </c>
      <c r="E27" s="14">
        <v>0.02</v>
      </c>
      <c r="F27" s="14">
        <v>0.02</v>
      </c>
      <c r="G27" s="15" t="s">
        <v>333</v>
      </c>
      <c r="H27" s="15" t="s">
        <v>333</v>
      </c>
      <c r="I27" s="15" t="s">
        <v>333</v>
      </c>
      <c r="J27" s="14">
        <v>0.01</v>
      </c>
      <c r="K27" s="14">
        <v>0.01</v>
      </c>
      <c r="L27" s="15" t="s">
        <v>333</v>
      </c>
      <c r="M27" s="14">
        <v>0.01</v>
      </c>
      <c r="N27" s="15" t="s">
        <v>333</v>
      </c>
      <c r="O27" s="15" t="s">
        <v>333</v>
      </c>
      <c r="P27" s="15" t="s">
        <v>333</v>
      </c>
      <c r="Q27" s="14">
        <v>0.01</v>
      </c>
      <c r="R27" s="15" t="s">
        <v>333</v>
      </c>
      <c r="S27" s="14">
        <v>0.01</v>
      </c>
      <c r="T27" s="14">
        <v>0.02</v>
      </c>
      <c r="U27" s="15" t="s">
        <v>333</v>
      </c>
      <c r="V27" s="14">
        <v>0.02</v>
      </c>
      <c r="W27" s="15" t="s">
        <v>333</v>
      </c>
      <c r="X27" s="15" t="s">
        <v>333</v>
      </c>
      <c r="Y27" s="15" t="s">
        <v>333</v>
      </c>
      <c r="Z27" s="14">
        <v>0.02</v>
      </c>
      <c r="AA27" s="14">
        <v>0.02</v>
      </c>
      <c r="AB27" s="14">
        <v>0.01</v>
      </c>
      <c r="AC27" s="15" t="s">
        <v>333</v>
      </c>
      <c r="AD27" s="14">
        <v>0.02</v>
      </c>
      <c r="AE27" s="15" t="s">
        <v>333</v>
      </c>
      <c r="AF27" s="15" t="s">
        <v>333</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1236</v>
      </c>
      <c r="C3" s="30"/>
      <c r="D3" s="30"/>
      <c r="E3" s="30"/>
      <c r="F3" s="30"/>
      <c r="H3" s="30" t="s">
        <v>1237</v>
      </c>
      <c r="I3" s="30"/>
      <c r="J3" s="30"/>
      <c r="K3" s="30"/>
      <c r="L3" s="30"/>
    </row>
    <row r="4" spans="1:32" ht="27" customHeight="1" x14ac:dyDescent="0.35">
      <c r="B4" s="30" t="s">
        <v>1238</v>
      </c>
      <c r="C4" s="30"/>
      <c r="D4" s="30"/>
      <c r="E4" s="30"/>
      <c r="F4" s="30"/>
      <c r="H4" s="30" t="s">
        <v>1239</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675</v>
      </c>
      <c r="C12" s="12">
        <v>20553</v>
      </c>
      <c r="D12" s="12">
        <v>873</v>
      </c>
      <c r="E12" s="12">
        <v>734</v>
      </c>
      <c r="F12" s="12">
        <v>745</v>
      </c>
      <c r="G12" s="12">
        <v>961</v>
      </c>
      <c r="H12" s="12">
        <v>936</v>
      </c>
      <c r="I12" s="12">
        <v>1166</v>
      </c>
      <c r="J12" s="12">
        <v>230</v>
      </c>
      <c r="K12" s="12">
        <v>822</v>
      </c>
      <c r="L12" s="12">
        <v>861</v>
      </c>
      <c r="M12" s="12">
        <v>782</v>
      </c>
      <c r="N12" s="12">
        <v>828</v>
      </c>
      <c r="O12" s="12">
        <v>807</v>
      </c>
      <c r="P12" s="12">
        <v>748</v>
      </c>
      <c r="Q12" s="12">
        <v>668</v>
      </c>
      <c r="R12" s="12">
        <v>413</v>
      </c>
      <c r="S12" s="12">
        <v>862</v>
      </c>
      <c r="T12" s="12">
        <v>777</v>
      </c>
      <c r="U12" s="12">
        <v>466</v>
      </c>
      <c r="V12" s="12">
        <v>748</v>
      </c>
      <c r="W12" s="12">
        <v>429</v>
      </c>
      <c r="X12" s="12">
        <v>966</v>
      </c>
      <c r="Y12" s="12">
        <v>673</v>
      </c>
      <c r="Z12" s="12">
        <v>776</v>
      </c>
      <c r="AA12" s="12">
        <v>771</v>
      </c>
      <c r="AB12" s="12">
        <v>816</v>
      </c>
      <c r="AC12" s="12">
        <v>771</v>
      </c>
      <c r="AD12" s="12">
        <v>829</v>
      </c>
      <c r="AE12" s="12">
        <v>907</v>
      </c>
      <c r="AF12" s="12">
        <v>985</v>
      </c>
    </row>
    <row r="13" spans="1:32" ht="21.5" x14ac:dyDescent="0.35">
      <c r="A13" s="31"/>
      <c r="B13" s="13" t="s">
        <v>676</v>
      </c>
      <c r="C13" s="14">
        <v>0.78</v>
      </c>
      <c r="D13" s="14">
        <v>0.85</v>
      </c>
      <c r="E13" s="14">
        <v>0.71</v>
      </c>
      <c r="F13" s="14">
        <v>0.73</v>
      </c>
      <c r="G13" s="14">
        <v>0.95000000000000007</v>
      </c>
      <c r="H13" s="14">
        <v>0.76</v>
      </c>
      <c r="I13" s="14">
        <v>0.76</v>
      </c>
      <c r="J13" s="14">
        <v>0.77</v>
      </c>
      <c r="K13" s="14">
        <v>0.81</v>
      </c>
      <c r="L13" s="14">
        <v>0.86</v>
      </c>
      <c r="M13" s="14">
        <v>0.78</v>
      </c>
      <c r="N13" s="14">
        <v>0.83000000000000007</v>
      </c>
      <c r="O13" s="14">
        <v>0.81</v>
      </c>
      <c r="P13" s="14">
        <v>0.75</v>
      </c>
      <c r="Q13" s="14">
        <v>0.65</v>
      </c>
      <c r="R13" s="14">
        <v>0.83000000000000007</v>
      </c>
      <c r="S13" s="14">
        <v>0.84</v>
      </c>
      <c r="T13" s="14">
        <v>0.76</v>
      </c>
      <c r="U13" s="14">
        <v>0.91</v>
      </c>
      <c r="V13" s="14">
        <v>0.74</v>
      </c>
      <c r="W13" s="14">
        <v>0.86</v>
      </c>
      <c r="X13" s="14">
        <v>0.96</v>
      </c>
      <c r="Y13" s="14">
        <v>0.67</v>
      </c>
      <c r="Z13" s="14">
        <v>0.76</v>
      </c>
      <c r="AA13" s="14">
        <v>0.75</v>
      </c>
      <c r="AB13" s="14">
        <v>0.77</v>
      </c>
      <c r="AC13" s="14">
        <v>0.76</v>
      </c>
      <c r="AD13" s="14">
        <v>0.83000000000000007</v>
      </c>
      <c r="AE13" s="14">
        <v>0.9</v>
      </c>
      <c r="AF13" s="14">
        <v>0.97</v>
      </c>
    </row>
    <row r="14" spans="1:32" ht="21.5" x14ac:dyDescent="0.35">
      <c r="A14" s="31"/>
      <c r="B14" s="11" t="s">
        <v>677</v>
      </c>
      <c r="C14" s="12">
        <v>2050</v>
      </c>
      <c r="D14" s="12">
        <v>70</v>
      </c>
      <c r="E14" s="12">
        <v>90</v>
      </c>
      <c r="F14" s="12">
        <v>103</v>
      </c>
      <c r="G14" s="12">
        <v>28</v>
      </c>
      <c r="H14" s="12">
        <v>123</v>
      </c>
      <c r="I14" s="12">
        <v>146</v>
      </c>
      <c r="J14" s="12">
        <v>23</v>
      </c>
      <c r="K14" s="12">
        <v>46</v>
      </c>
      <c r="L14" s="12">
        <v>64</v>
      </c>
      <c r="M14" s="12">
        <v>68</v>
      </c>
      <c r="N14" s="12">
        <v>43</v>
      </c>
      <c r="O14" s="12">
        <v>87</v>
      </c>
      <c r="P14" s="12">
        <v>50</v>
      </c>
      <c r="Q14" s="12">
        <v>129</v>
      </c>
      <c r="R14" s="12">
        <v>16</v>
      </c>
      <c r="S14" s="12">
        <v>11</v>
      </c>
      <c r="T14" s="12">
        <v>45</v>
      </c>
      <c r="U14" s="12">
        <v>18</v>
      </c>
      <c r="V14" s="12">
        <v>94</v>
      </c>
      <c r="W14" s="12">
        <v>18</v>
      </c>
      <c r="X14" s="12">
        <v>33</v>
      </c>
      <c r="Y14" s="12">
        <v>164</v>
      </c>
      <c r="Z14" s="12">
        <v>56</v>
      </c>
      <c r="AA14" s="12">
        <v>45</v>
      </c>
      <c r="AB14" s="12">
        <v>64</v>
      </c>
      <c r="AC14" s="12">
        <v>64</v>
      </c>
      <c r="AD14" s="12">
        <v>53</v>
      </c>
      <c r="AE14" s="12">
        <v>30</v>
      </c>
      <c r="AF14" s="12">
        <v>11</v>
      </c>
    </row>
    <row r="15" spans="1:32" x14ac:dyDescent="0.35">
      <c r="A15" s="31"/>
      <c r="B15" s="13" t="s">
        <v>678</v>
      </c>
      <c r="C15" s="14">
        <v>0.08</v>
      </c>
      <c r="D15" s="14">
        <v>7.0000000000000007E-2</v>
      </c>
      <c r="E15" s="14">
        <v>0.09</v>
      </c>
      <c r="F15" s="14">
        <v>0.1</v>
      </c>
      <c r="G15" s="14">
        <v>0.03</v>
      </c>
      <c r="H15" s="14">
        <v>0.1</v>
      </c>
      <c r="I15" s="14">
        <v>0.1</v>
      </c>
      <c r="J15" s="14">
        <v>0.08</v>
      </c>
      <c r="K15" s="14">
        <v>0.05</v>
      </c>
      <c r="L15" s="14">
        <v>0.06</v>
      </c>
      <c r="M15" s="14">
        <v>7.0000000000000007E-2</v>
      </c>
      <c r="N15" s="14">
        <v>0.04</v>
      </c>
      <c r="O15" s="14">
        <v>0.09</v>
      </c>
      <c r="P15" s="14">
        <v>0.05</v>
      </c>
      <c r="Q15" s="14">
        <v>0.12</v>
      </c>
      <c r="R15" s="14">
        <v>0.03</v>
      </c>
      <c r="S15" s="14">
        <v>0.01</v>
      </c>
      <c r="T15" s="14">
        <v>0.04</v>
      </c>
      <c r="U15" s="14">
        <v>0.04</v>
      </c>
      <c r="V15" s="14">
        <v>0.09</v>
      </c>
      <c r="W15" s="14">
        <v>0.04</v>
      </c>
      <c r="X15" s="14">
        <v>0.03</v>
      </c>
      <c r="Y15" s="14">
        <v>0.16</v>
      </c>
      <c r="Z15" s="14">
        <v>0.06</v>
      </c>
      <c r="AA15" s="14">
        <v>0.04</v>
      </c>
      <c r="AB15" s="14">
        <v>0.06</v>
      </c>
      <c r="AC15" s="14">
        <v>0.06</v>
      </c>
      <c r="AD15" s="14">
        <v>0.05</v>
      </c>
      <c r="AE15" s="14">
        <v>0.03</v>
      </c>
      <c r="AF15" s="14">
        <v>0.01</v>
      </c>
    </row>
    <row r="16" spans="1:32" x14ac:dyDescent="0.35">
      <c r="A16" s="31"/>
      <c r="B16" s="11" t="s">
        <v>679</v>
      </c>
      <c r="C16" s="12">
        <v>524</v>
      </c>
      <c r="D16" s="12">
        <v>10</v>
      </c>
      <c r="E16" s="12">
        <v>20</v>
      </c>
      <c r="F16" s="12">
        <v>24</v>
      </c>
      <c r="G16" s="12">
        <v>6</v>
      </c>
      <c r="H16" s="12">
        <v>39</v>
      </c>
      <c r="I16" s="12">
        <v>45</v>
      </c>
      <c r="J16" s="12">
        <v>6</v>
      </c>
      <c r="K16" s="12">
        <v>22</v>
      </c>
      <c r="L16" s="12">
        <v>10</v>
      </c>
      <c r="M16" s="12">
        <v>13</v>
      </c>
      <c r="N16" s="12">
        <v>14</v>
      </c>
      <c r="O16" s="12">
        <v>19</v>
      </c>
      <c r="P16" s="12">
        <v>23</v>
      </c>
      <c r="Q16" s="12">
        <v>33</v>
      </c>
      <c r="R16" s="12">
        <v>5</v>
      </c>
      <c r="S16" s="12">
        <v>5</v>
      </c>
      <c r="T16" s="12">
        <v>7</v>
      </c>
      <c r="U16" s="12">
        <v>5</v>
      </c>
      <c r="V16" s="12">
        <v>19</v>
      </c>
      <c r="W16" s="12">
        <v>6</v>
      </c>
      <c r="X16" s="12">
        <v>4</v>
      </c>
      <c r="Y16" s="12">
        <v>35</v>
      </c>
      <c r="Z16" s="12">
        <v>13</v>
      </c>
      <c r="AA16" s="12">
        <v>20</v>
      </c>
      <c r="AB16" s="12">
        <v>11</v>
      </c>
      <c r="AC16" s="12">
        <v>18</v>
      </c>
      <c r="AD16" s="12">
        <v>17</v>
      </c>
      <c r="AE16" s="12">
        <v>14</v>
      </c>
      <c r="AF16" s="12">
        <v>2</v>
      </c>
    </row>
    <row r="17" spans="1:32" x14ac:dyDescent="0.35">
      <c r="A17" s="31"/>
      <c r="B17" s="13" t="s">
        <v>680</v>
      </c>
      <c r="C17" s="14">
        <v>0.02</v>
      </c>
      <c r="D17" s="14">
        <v>0.01</v>
      </c>
      <c r="E17" s="14">
        <v>0.02</v>
      </c>
      <c r="F17" s="14">
        <v>0.02</v>
      </c>
      <c r="G17" s="14">
        <v>0.01</v>
      </c>
      <c r="H17" s="14">
        <v>0.03</v>
      </c>
      <c r="I17" s="14">
        <v>0.03</v>
      </c>
      <c r="J17" s="14">
        <v>0.02</v>
      </c>
      <c r="K17" s="14">
        <v>0.02</v>
      </c>
      <c r="L17" s="14">
        <v>0.01</v>
      </c>
      <c r="M17" s="14">
        <v>0.01</v>
      </c>
      <c r="N17" s="14">
        <v>0.01</v>
      </c>
      <c r="O17" s="14">
        <v>0.02</v>
      </c>
      <c r="P17" s="14">
        <v>0.02</v>
      </c>
      <c r="Q17" s="14">
        <v>0.03</v>
      </c>
      <c r="R17" s="14">
        <v>0.01</v>
      </c>
      <c r="S17" s="14">
        <v>0.01</v>
      </c>
      <c r="T17" s="14">
        <v>0.01</v>
      </c>
      <c r="U17" s="14">
        <v>0.01</v>
      </c>
      <c r="V17" s="14">
        <v>0.02</v>
      </c>
      <c r="W17" s="14">
        <v>0.01</v>
      </c>
      <c r="X17" s="15" t="s">
        <v>333</v>
      </c>
      <c r="Y17" s="14">
        <v>0.03</v>
      </c>
      <c r="Z17" s="14">
        <v>0.01</v>
      </c>
      <c r="AA17" s="14">
        <v>0.02</v>
      </c>
      <c r="AB17" s="14">
        <v>0.01</v>
      </c>
      <c r="AC17" s="14">
        <v>0.02</v>
      </c>
      <c r="AD17" s="14">
        <v>0.02</v>
      </c>
      <c r="AE17" s="14">
        <v>0.01</v>
      </c>
      <c r="AF17" s="15" t="s">
        <v>333</v>
      </c>
    </row>
    <row r="18" spans="1:32" x14ac:dyDescent="0.35">
      <c r="A18" s="31"/>
      <c r="B18" s="11" t="s">
        <v>681</v>
      </c>
      <c r="C18" s="12">
        <v>123</v>
      </c>
      <c r="D18" s="12">
        <v>3</v>
      </c>
      <c r="E18" s="12">
        <v>3</v>
      </c>
      <c r="F18" s="12">
        <v>8</v>
      </c>
      <c r="G18" s="12">
        <v>2</v>
      </c>
      <c r="H18" s="12">
        <v>8</v>
      </c>
      <c r="I18" s="12">
        <v>12</v>
      </c>
      <c r="J18" s="12">
        <v>4</v>
      </c>
      <c r="K18" s="12">
        <v>6</v>
      </c>
      <c r="L18" s="12">
        <v>1</v>
      </c>
      <c r="M18" s="12">
        <v>1</v>
      </c>
      <c r="N18" s="12">
        <v>0</v>
      </c>
      <c r="O18" s="12">
        <v>5</v>
      </c>
      <c r="P18" s="12">
        <v>3</v>
      </c>
      <c r="Q18" s="12">
        <v>10</v>
      </c>
      <c r="R18" s="12">
        <v>2</v>
      </c>
      <c r="S18" s="12">
        <v>5</v>
      </c>
      <c r="T18" s="12">
        <v>5</v>
      </c>
      <c r="U18" s="12">
        <v>3</v>
      </c>
      <c r="V18" s="12">
        <v>8</v>
      </c>
      <c r="W18" s="12">
        <v>1</v>
      </c>
      <c r="X18" s="12">
        <v>1</v>
      </c>
      <c r="Y18" s="12">
        <v>0</v>
      </c>
      <c r="Z18" s="12">
        <v>1</v>
      </c>
      <c r="AA18" s="12">
        <v>6</v>
      </c>
      <c r="AB18" s="12">
        <v>4</v>
      </c>
      <c r="AC18" s="12">
        <v>9</v>
      </c>
      <c r="AD18" s="12">
        <v>0</v>
      </c>
      <c r="AE18" s="12">
        <v>5</v>
      </c>
      <c r="AF18" s="12">
        <v>2</v>
      </c>
    </row>
    <row r="19" spans="1:32" x14ac:dyDescent="0.35">
      <c r="A19" s="31"/>
      <c r="B19" s="13" t="s">
        <v>682</v>
      </c>
      <c r="C19" s="15" t="s">
        <v>333</v>
      </c>
      <c r="D19" s="15" t="s">
        <v>333</v>
      </c>
      <c r="E19" s="15" t="s">
        <v>333</v>
      </c>
      <c r="F19" s="14">
        <v>0.01</v>
      </c>
      <c r="G19" s="15" t="s">
        <v>333</v>
      </c>
      <c r="H19" s="14">
        <v>0.01</v>
      </c>
      <c r="I19" s="14">
        <v>0.01</v>
      </c>
      <c r="J19" s="14">
        <v>0.01</v>
      </c>
      <c r="K19" s="14">
        <v>0.01</v>
      </c>
      <c r="L19" s="15" t="s">
        <v>333</v>
      </c>
      <c r="M19" s="15" t="s">
        <v>333</v>
      </c>
      <c r="N19" s="15" t="s">
        <v>333</v>
      </c>
      <c r="O19" s="15" t="s">
        <v>333</v>
      </c>
      <c r="P19" s="15" t="s">
        <v>333</v>
      </c>
      <c r="Q19" s="14">
        <v>0.01</v>
      </c>
      <c r="R19" s="15" t="s">
        <v>333</v>
      </c>
      <c r="S19" s="15" t="s">
        <v>333</v>
      </c>
      <c r="T19" s="14">
        <v>0.01</v>
      </c>
      <c r="U19" s="14">
        <v>0.01</v>
      </c>
      <c r="V19" s="14">
        <v>0.01</v>
      </c>
      <c r="W19" s="15" t="s">
        <v>333</v>
      </c>
      <c r="X19" s="15" t="s">
        <v>333</v>
      </c>
      <c r="Y19" s="15" t="s">
        <v>333</v>
      </c>
      <c r="Z19" s="15" t="s">
        <v>333</v>
      </c>
      <c r="AA19" s="14">
        <v>0.01</v>
      </c>
      <c r="AB19" s="15" t="s">
        <v>333</v>
      </c>
      <c r="AC19" s="14">
        <v>0.01</v>
      </c>
      <c r="AD19" s="15" t="s">
        <v>333</v>
      </c>
      <c r="AE19" s="14">
        <v>0.01</v>
      </c>
      <c r="AF19" s="15" t="s">
        <v>333</v>
      </c>
    </row>
    <row r="20" spans="1:32" x14ac:dyDescent="0.35">
      <c r="A20" s="31"/>
      <c r="B20" s="11" t="s">
        <v>683</v>
      </c>
      <c r="C20" s="12">
        <v>313</v>
      </c>
      <c r="D20" s="12">
        <v>9</v>
      </c>
      <c r="E20" s="12">
        <v>16</v>
      </c>
      <c r="F20" s="12">
        <v>17</v>
      </c>
      <c r="G20" s="12">
        <v>4</v>
      </c>
      <c r="H20" s="12">
        <v>21</v>
      </c>
      <c r="I20" s="12">
        <v>29</v>
      </c>
      <c r="J20" s="12">
        <v>9</v>
      </c>
      <c r="K20" s="12">
        <v>21</v>
      </c>
      <c r="L20" s="12">
        <v>7</v>
      </c>
      <c r="M20" s="12">
        <v>6</v>
      </c>
      <c r="N20" s="12">
        <v>9</v>
      </c>
      <c r="O20" s="12">
        <v>16</v>
      </c>
      <c r="P20" s="12">
        <v>29</v>
      </c>
      <c r="Q20" s="12">
        <v>13</v>
      </c>
      <c r="R20" s="12">
        <v>5</v>
      </c>
      <c r="S20" s="12">
        <v>3</v>
      </c>
      <c r="T20" s="12">
        <v>14</v>
      </c>
      <c r="U20" s="12">
        <v>5</v>
      </c>
      <c r="V20" s="12">
        <v>5</v>
      </c>
      <c r="W20" s="12">
        <v>1</v>
      </c>
      <c r="X20" s="12">
        <v>1</v>
      </c>
      <c r="Y20" s="12">
        <v>10</v>
      </c>
      <c r="Z20" s="12">
        <v>5</v>
      </c>
      <c r="AA20" s="12">
        <v>12</v>
      </c>
      <c r="AB20" s="12">
        <v>8</v>
      </c>
      <c r="AC20" s="12">
        <v>29</v>
      </c>
      <c r="AD20" s="12">
        <v>8</v>
      </c>
      <c r="AE20" s="12">
        <v>2</v>
      </c>
      <c r="AF20" s="12">
        <v>4</v>
      </c>
    </row>
    <row r="21" spans="1:32" x14ac:dyDescent="0.35">
      <c r="A21" s="31"/>
      <c r="B21" s="13" t="s">
        <v>684</v>
      </c>
      <c r="C21" s="14">
        <v>0.01</v>
      </c>
      <c r="D21" s="14">
        <v>0.01</v>
      </c>
      <c r="E21" s="14">
        <v>0.01</v>
      </c>
      <c r="F21" s="14">
        <v>0.02</v>
      </c>
      <c r="G21" s="15" t="s">
        <v>333</v>
      </c>
      <c r="H21" s="14">
        <v>0.02</v>
      </c>
      <c r="I21" s="14">
        <v>0.02</v>
      </c>
      <c r="J21" s="14">
        <v>0.03</v>
      </c>
      <c r="K21" s="14">
        <v>0.02</v>
      </c>
      <c r="L21" s="14">
        <v>0.01</v>
      </c>
      <c r="M21" s="14">
        <v>0.01</v>
      </c>
      <c r="N21" s="14">
        <v>0.01</v>
      </c>
      <c r="O21" s="14">
        <v>0.02</v>
      </c>
      <c r="P21" s="14">
        <v>0.03</v>
      </c>
      <c r="Q21" s="14">
        <v>0.01</v>
      </c>
      <c r="R21" s="14">
        <v>0.01</v>
      </c>
      <c r="S21" s="15" t="s">
        <v>333</v>
      </c>
      <c r="T21" s="14">
        <v>0.01</v>
      </c>
      <c r="U21" s="14">
        <v>0.01</v>
      </c>
      <c r="V21" s="15" t="s">
        <v>333</v>
      </c>
      <c r="W21" s="15" t="s">
        <v>333</v>
      </c>
      <c r="X21" s="15" t="s">
        <v>333</v>
      </c>
      <c r="Y21" s="14">
        <v>0.01</v>
      </c>
      <c r="Z21" s="14">
        <v>0.01</v>
      </c>
      <c r="AA21" s="14">
        <v>0.01</v>
      </c>
      <c r="AB21" s="14">
        <v>0.01</v>
      </c>
      <c r="AC21" s="14">
        <v>0.03</v>
      </c>
      <c r="AD21" s="14">
        <v>0.01</v>
      </c>
      <c r="AE21" s="15" t="s">
        <v>333</v>
      </c>
      <c r="AF21" s="15" t="s">
        <v>333</v>
      </c>
    </row>
    <row r="22" spans="1:32" x14ac:dyDescent="0.35">
      <c r="A22" s="31"/>
      <c r="B22" s="11" t="s">
        <v>685</v>
      </c>
      <c r="C22" s="12">
        <v>2636</v>
      </c>
      <c r="D22" s="12">
        <v>59</v>
      </c>
      <c r="E22" s="12">
        <v>140</v>
      </c>
      <c r="F22" s="12">
        <v>106</v>
      </c>
      <c r="G22" s="12">
        <v>13</v>
      </c>
      <c r="H22" s="12">
        <v>103</v>
      </c>
      <c r="I22" s="12">
        <v>128</v>
      </c>
      <c r="J22" s="12">
        <v>25</v>
      </c>
      <c r="K22" s="12">
        <v>90</v>
      </c>
      <c r="L22" s="12">
        <v>61</v>
      </c>
      <c r="M22" s="12">
        <v>122</v>
      </c>
      <c r="N22" s="12">
        <v>88</v>
      </c>
      <c r="O22" s="12">
        <v>65</v>
      </c>
      <c r="P22" s="12">
        <v>141</v>
      </c>
      <c r="Q22" s="12">
        <v>171</v>
      </c>
      <c r="R22" s="12">
        <v>57</v>
      </c>
      <c r="S22" s="12">
        <v>129</v>
      </c>
      <c r="T22" s="12">
        <v>149</v>
      </c>
      <c r="U22" s="12">
        <v>12</v>
      </c>
      <c r="V22" s="12">
        <v>140</v>
      </c>
      <c r="W22" s="12">
        <v>27</v>
      </c>
      <c r="X22" s="12">
        <v>5</v>
      </c>
      <c r="Y22" s="12">
        <v>95</v>
      </c>
      <c r="Z22" s="12">
        <v>167</v>
      </c>
      <c r="AA22" s="12">
        <v>161</v>
      </c>
      <c r="AB22" s="12">
        <v>124</v>
      </c>
      <c r="AC22" s="12">
        <v>120</v>
      </c>
      <c r="AD22" s="12">
        <v>95</v>
      </c>
      <c r="AE22" s="12">
        <v>39</v>
      </c>
      <c r="AF22" s="12">
        <v>16</v>
      </c>
    </row>
    <row r="23" spans="1:32" x14ac:dyDescent="0.35">
      <c r="A23" s="31"/>
      <c r="B23" s="13" t="s">
        <v>686</v>
      </c>
      <c r="C23" s="14">
        <v>0.1</v>
      </c>
      <c r="D23" s="14">
        <v>0.06</v>
      </c>
      <c r="E23" s="14">
        <v>0.13</v>
      </c>
      <c r="F23" s="14">
        <v>0.1</v>
      </c>
      <c r="G23" s="14">
        <v>0.01</v>
      </c>
      <c r="H23" s="14">
        <v>0.08</v>
      </c>
      <c r="I23" s="14">
        <v>0.08</v>
      </c>
      <c r="J23" s="14">
        <v>0.09</v>
      </c>
      <c r="K23" s="14">
        <v>0.09</v>
      </c>
      <c r="L23" s="14">
        <v>0.06</v>
      </c>
      <c r="M23" s="14">
        <v>0.12</v>
      </c>
      <c r="N23" s="14">
        <v>0.09</v>
      </c>
      <c r="O23" s="14">
        <v>0.06</v>
      </c>
      <c r="P23" s="14">
        <v>0.14000000000000001</v>
      </c>
      <c r="Q23" s="14">
        <v>0.17</v>
      </c>
      <c r="R23" s="14">
        <v>0.12</v>
      </c>
      <c r="S23" s="14">
        <v>0.13</v>
      </c>
      <c r="T23" s="14">
        <v>0.15</v>
      </c>
      <c r="U23" s="14">
        <v>0.02</v>
      </c>
      <c r="V23" s="14">
        <v>0.14000000000000001</v>
      </c>
      <c r="W23" s="14">
        <v>0.05</v>
      </c>
      <c r="X23" s="14">
        <v>0.01</v>
      </c>
      <c r="Y23" s="14">
        <v>0.1</v>
      </c>
      <c r="Z23" s="14">
        <v>0.16</v>
      </c>
      <c r="AA23" s="14">
        <v>0.16</v>
      </c>
      <c r="AB23" s="14">
        <v>0.12</v>
      </c>
      <c r="AC23" s="14">
        <v>0.12</v>
      </c>
      <c r="AD23" s="14">
        <v>0.09</v>
      </c>
      <c r="AE23" s="14">
        <v>0.04</v>
      </c>
      <c r="AF23" s="14">
        <v>0.02</v>
      </c>
    </row>
    <row r="24" spans="1:32" ht="21.5" x14ac:dyDescent="0.35">
      <c r="A24" s="31"/>
      <c r="B24" s="11" t="s">
        <v>1240</v>
      </c>
      <c r="C24" s="12">
        <v>212</v>
      </c>
      <c r="D24" s="12">
        <v>1</v>
      </c>
      <c r="E24" s="12">
        <v>37</v>
      </c>
      <c r="F24" s="12">
        <v>15</v>
      </c>
      <c r="G24" s="12">
        <v>2</v>
      </c>
      <c r="H24" s="12">
        <v>3</v>
      </c>
      <c r="I24" s="12">
        <v>3</v>
      </c>
      <c r="J24" s="12">
        <v>0</v>
      </c>
      <c r="K24" s="12">
        <v>2</v>
      </c>
      <c r="L24" s="12">
        <v>0</v>
      </c>
      <c r="M24" s="12">
        <v>13</v>
      </c>
      <c r="N24" s="12">
        <v>19</v>
      </c>
      <c r="O24" s="12">
        <v>0</v>
      </c>
      <c r="P24" s="12">
        <v>11</v>
      </c>
      <c r="Q24" s="12">
        <v>12</v>
      </c>
      <c r="R24" s="12">
        <v>2</v>
      </c>
      <c r="S24" s="12">
        <v>6</v>
      </c>
      <c r="T24" s="12">
        <v>20</v>
      </c>
      <c r="U24" s="12">
        <v>0</v>
      </c>
      <c r="V24" s="12">
        <v>0</v>
      </c>
      <c r="W24" s="12">
        <v>18</v>
      </c>
      <c r="X24" s="12">
        <v>0</v>
      </c>
      <c r="Y24" s="12">
        <v>27</v>
      </c>
      <c r="Z24" s="12">
        <v>1</v>
      </c>
      <c r="AA24" s="12">
        <v>15</v>
      </c>
      <c r="AB24" s="12">
        <v>31</v>
      </c>
      <c r="AC24" s="12">
        <v>1</v>
      </c>
      <c r="AD24" s="12">
        <v>3</v>
      </c>
      <c r="AE24" s="12">
        <v>10</v>
      </c>
      <c r="AF24" s="12">
        <v>1</v>
      </c>
    </row>
    <row r="25" spans="1:32" ht="21.5" x14ac:dyDescent="0.35">
      <c r="A25" s="31"/>
      <c r="B25" s="13" t="s">
        <v>1241</v>
      </c>
      <c r="C25" s="14">
        <v>0.01</v>
      </c>
      <c r="D25" s="15" t="s">
        <v>333</v>
      </c>
      <c r="E25" s="14">
        <v>0.04</v>
      </c>
      <c r="F25" s="14">
        <v>0.02</v>
      </c>
      <c r="G25" s="15" t="s">
        <v>333</v>
      </c>
      <c r="H25" s="15" t="s">
        <v>333</v>
      </c>
      <c r="I25" s="15" t="s">
        <v>333</v>
      </c>
      <c r="J25" s="15" t="s">
        <v>333</v>
      </c>
      <c r="K25" s="15" t="s">
        <v>333</v>
      </c>
      <c r="L25" s="15" t="s">
        <v>333</v>
      </c>
      <c r="M25" s="14">
        <v>0.01</v>
      </c>
      <c r="N25" s="14">
        <v>0.02</v>
      </c>
      <c r="O25" s="15" t="s">
        <v>333</v>
      </c>
      <c r="P25" s="14">
        <v>0.01</v>
      </c>
      <c r="Q25" s="14">
        <v>0.01</v>
      </c>
      <c r="R25" s="15" t="s">
        <v>333</v>
      </c>
      <c r="S25" s="14">
        <v>0.01</v>
      </c>
      <c r="T25" s="14">
        <v>0.02</v>
      </c>
      <c r="U25" s="15" t="s">
        <v>333</v>
      </c>
      <c r="V25" s="15" t="s">
        <v>333</v>
      </c>
      <c r="W25" s="14">
        <v>0.04</v>
      </c>
      <c r="X25" s="15" t="s">
        <v>333</v>
      </c>
      <c r="Y25" s="14">
        <v>0.03</v>
      </c>
      <c r="Z25" s="15" t="s">
        <v>333</v>
      </c>
      <c r="AA25" s="14">
        <v>0.01</v>
      </c>
      <c r="AB25" s="14">
        <v>0.03</v>
      </c>
      <c r="AC25" s="15" t="s">
        <v>333</v>
      </c>
      <c r="AD25" s="15" t="s">
        <v>333</v>
      </c>
      <c r="AE25" s="14">
        <v>0.01</v>
      </c>
      <c r="AF25" s="15" t="s">
        <v>333</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1242</v>
      </c>
      <c r="C3" s="30"/>
      <c r="D3" s="30"/>
      <c r="E3" s="30"/>
      <c r="F3" s="30"/>
      <c r="H3" s="30" t="s">
        <v>1243</v>
      </c>
      <c r="I3" s="30"/>
      <c r="J3" s="30"/>
      <c r="K3" s="30"/>
      <c r="L3" s="30"/>
    </row>
    <row r="4" spans="1:32" ht="27" customHeight="1" x14ac:dyDescent="0.35">
      <c r="B4" s="30" t="s">
        <v>1244</v>
      </c>
      <c r="C4" s="30"/>
      <c r="D4" s="30"/>
      <c r="E4" s="30"/>
      <c r="F4" s="30"/>
      <c r="H4" s="30" t="s">
        <v>1245</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HYPERLINK("#Content!A129","&lt;&lt;Back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675</v>
      </c>
      <c r="C12" s="12">
        <v>12344</v>
      </c>
      <c r="D12" s="12">
        <v>517</v>
      </c>
      <c r="E12" s="12">
        <v>453</v>
      </c>
      <c r="F12" s="12">
        <v>495</v>
      </c>
      <c r="G12" s="12">
        <v>646</v>
      </c>
      <c r="H12" s="12">
        <v>547</v>
      </c>
      <c r="I12" s="12">
        <v>679</v>
      </c>
      <c r="J12" s="12">
        <v>132</v>
      </c>
      <c r="K12" s="12">
        <v>511</v>
      </c>
      <c r="L12" s="12">
        <v>561</v>
      </c>
      <c r="M12" s="12">
        <v>463</v>
      </c>
      <c r="N12" s="12">
        <v>413</v>
      </c>
      <c r="O12" s="12">
        <v>421</v>
      </c>
      <c r="P12" s="12">
        <v>570</v>
      </c>
      <c r="Q12" s="12">
        <v>465</v>
      </c>
      <c r="R12" s="12">
        <v>273</v>
      </c>
      <c r="S12" s="12">
        <v>487</v>
      </c>
      <c r="T12" s="12">
        <v>470</v>
      </c>
      <c r="U12" s="12">
        <v>317</v>
      </c>
      <c r="V12" s="12">
        <v>472</v>
      </c>
      <c r="W12" s="12">
        <v>321</v>
      </c>
      <c r="X12" s="12">
        <v>630</v>
      </c>
      <c r="Y12" s="12">
        <v>475</v>
      </c>
      <c r="Z12" s="12">
        <v>483</v>
      </c>
      <c r="AA12" s="12">
        <v>518</v>
      </c>
      <c r="AB12" s="12">
        <v>500</v>
      </c>
      <c r="AC12" s="12">
        <v>502</v>
      </c>
      <c r="AD12" s="12">
        <v>567</v>
      </c>
      <c r="AE12" s="12">
        <v>540</v>
      </c>
      <c r="AF12" s="12">
        <v>649</v>
      </c>
    </row>
    <row r="13" spans="1:32" ht="21.5" x14ac:dyDescent="0.35">
      <c r="A13" s="31"/>
      <c r="B13" s="13" t="s">
        <v>676</v>
      </c>
      <c r="C13" s="14">
        <v>0.47</v>
      </c>
      <c r="D13" s="14">
        <v>0.5</v>
      </c>
      <c r="E13" s="14">
        <v>0.44</v>
      </c>
      <c r="F13" s="14">
        <v>0.49</v>
      </c>
      <c r="G13" s="14">
        <v>0.63</v>
      </c>
      <c r="H13" s="14">
        <v>0.44</v>
      </c>
      <c r="I13" s="14">
        <v>0.44</v>
      </c>
      <c r="J13" s="14">
        <v>0.44</v>
      </c>
      <c r="K13" s="14">
        <v>0.51</v>
      </c>
      <c r="L13" s="14">
        <v>0.56000000000000005</v>
      </c>
      <c r="M13" s="14">
        <v>0.46</v>
      </c>
      <c r="N13" s="14">
        <v>0.41</v>
      </c>
      <c r="O13" s="14">
        <v>0.42</v>
      </c>
      <c r="P13" s="14">
        <v>0.57000000000000006</v>
      </c>
      <c r="Q13" s="14">
        <v>0.45</v>
      </c>
      <c r="R13" s="14">
        <v>0.54</v>
      </c>
      <c r="S13" s="14">
        <v>0.48</v>
      </c>
      <c r="T13" s="14">
        <v>0.46</v>
      </c>
      <c r="U13" s="14">
        <v>0.62</v>
      </c>
      <c r="V13" s="14">
        <v>0.47</v>
      </c>
      <c r="W13" s="14">
        <v>0.64</v>
      </c>
      <c r="X13" s="14">
        <v>0.62</v>
      </c>
      <c r="Y13" s="14">
        <v>0.47</v>
      </c>
      <c r="Z13" s="14">
        <v>0.47</v>
      </c>
      <c r="AA13" s="14">
        <v>0.5</v>
      </c>
      <c r="AB13" s="14">
        <v>0.47</v>
      </c>
      <c r="AC13" s="14">
        <v>0.5</v>
      </c>
      <c r="AD13" s="14">
        <v>0.57000000000000006</v>
      </c>
      <c r="AE13" s="14">
        <v>0.54</v>
      </c>
      <c r="AF13" s="14">
        <v>0.64</v>
      </c>
    </row>
    <row r="14" spans="1:32" ht="21.5" x14ac:dyDescent="0.35">
      <c r="A14" s="31"/>
      <c r="B14" s="11" t="s">
        <v>677</v>
      </c>
      <c r="C14" s="12">
        <v>1272</v>
      </c>
      <c r="D14" s="12">
        <v>50</v>
      </c>
      <c r="E14" s="12">
        <v>47</v>
      </c>
      <c r="F14" s="12">
        <v>54</v>
      </c>
      <c r="G14" s="12">
        <v>43</v>
      </c>
      <c r="H14" s="12">
        <v>72</v>
      </c>
      <c r="I14" s="12">
        <v>88</v>
      </c>
      <c r="J14" s="12">
        <v>17</v>
      </c>
      <c r="K14" s="12">
        <v>66</v>
      </c>
      <c r="L14" s="12">
        <v>70</v>
      </c>
      <c r="M14" s="12">
        <v>35</v>
      </c>
      <c r="N14" s="12">
        <v>32</v>
      </c>
      <c r="O14" s="12">
        <v>34</v>
      </c>
      <c r="P14" s="12">
        <v>26</v>
      </c>
      <c r="Q14" s="12">
        <v>56</v>
      </c>
      <c r="R14" s="12">
        <v>14</v>
      </c>
      <c r="S14" s="12">
        <v>19</v>
      </c>
      <c r="T14" s="12">
        <v>40</v>
      </c>
      <c r="U14" s="12">
        <v>10</v>
      </c>
      <c r="V14" s="12">
        <v>86</v>
      </c>
      <c r="W14" s="12">
        <v>8</v>
      </c>
      <c r="X14" s="12">
        <v>74</v>
      </c>
      <c r="Y14" s="12">
        <v>68</v>
      </c>
      <c r="Z14" s="12">
        <v>61</v>
      </c>
      <c r="AA14" s="12">
        <v>16</v>
      </c>
      <c r="AB14" s="12">
        <v>61</v>
      </c>
      <c r="AC14" s="12">
        <v>25</v>
      </c>
      <c r="AD14" s="12">
        <v>40</v>
      </c>
      <c r="AE14" s="12">
        <v>26</v>
      </c>
      <c r="AF14" s="12">
        <v>26</v>
      </c>
    </row>
    <row r="15" spans="1:32" x14ac:dyDescent="0.35">
      <c r="A15" s="31"/>
      <c r="B15" s="13" t="s">
        <v>678</v>
      </c>
      <c r="C15" s="14">
        <v>0.05</v>
      </c>
      <c r="D15" s="14">
        <v>0.05</v>
      </c>
      <c r="E15" s="14">
        <v>0.04</v>
      </c>
      <c r="F15" s="14">
        <v>0.05</v>
      </c>
      <c r="G15" s="14">
        <v>0.04</v>
      </c>
      <c r="H15" s="14">
        <v>0.06</v>
      </c>
      <c r="I15" s="14">
        <v>0.06</v>
      </c>
      <c r="J15" s="14">
        <v>0.06</v>
      </c>
      <c r="K15" s="14">
        <v>7.0000000000000007E-2</v>
      </c>
      <c r="L15" s="14">
        <v>7.0000000000000007E-2</v>
      </c>
      <c r="M15" s="14">
        <v>0.03</v>
      </c>
      <c r="N15" s="14">
        <v>0.03</v>
      </c>
      <c r="O15" s="14">
        <v>0.03</v>
      </c>
      <c r="P15" s="14">
        <v>0.03</v>
      </c>
      <c r="Q15" s="14">
        <v>0.05</v>
      </c>
      <c r="R15" s="14">
        <v>0.03</v>
      </c>
      <c r="S15" s="14">
        <v>0.02</v>
      </c>
      <c r="T15" s="14">
        <v>0.04</v>
      </c>
      <c r="U15" s="14">
        <v>0.02</v>
      </c>
      <c r="V15" s="14">
        <v>0.08</v>
      </c>
      <c r="W15" s="14">
        <v>0.02</v>
      </c>
      <c r="X15" s="14">
        <v>7.0000000000000007E-2</v>
      </c>
      <c r="Y15" s="14">
        <v>7.0000000000000007E-2</v>
      </c>
      <c r="Z15" s="14">
        <v>0.06</v>
      </c>
      <c r="AA15" s="14">
        <v>0.02</v>
      </c>
      <c r="AB15" s="14">
        <v>0.06</v>
      </c>
      <c r="AC15" s="14">
        <v>0.02</v>
      </c>
      <c r="AD15" s="14">
        <v>0.04</v>
      </c>
      <c r="AE15" s="14">
        <v>0.03</v>
      </c>
      <c r="AF15" s="14">
        <v>0.03</v>
      </c>
    </row>
    <row r="16" spans="1:32" x14ac:dyDescent="0.35">
      <c r="A16" s="31"/>
      <c r="B16" s="11" t="s">
        <v>679</v>
      </c>
      <c r="C16" s="12">
        <v>343</v>
      </c>
      <c r="D16" s="12">
        <v>19</v>
      </c>
      <c r="E16" s="12">
        <v>21</v>
      </c>
      <c r="F16" s="12">
        <v>12</v>
      </c>
      <c r="G16" s="12">
        <v>19</v>
      </c>
      <c r="H16" s="12">
        <v>14</v>
      </c>
      <c r="I16" s="12">
        <v>19</v>
      </c>
      <c r="J16" s="12">
        <v>5</v>
      </c>
      <c r="K16" s="12">
        <v>10</v>
      </c>
      <c r="L16" s="12">
        <v>22</v>
      </c>
      <c r="M16" s="12">
        <v>13</v>
      </c>
      <c r="N16" s="12">
        <v>16</v>
      </c>
      <c r="O16" s="12">
        <v>6</v>
      </c>
      <c r="P16" s="12">
        <v>14</v>
      </c>
      <c r="Q16" s="12">
        <v>17</v>
      </c>
      <c r="R16" s="12">
        <v>0</v>
      </c>
      <c r="S16" s="12">
        <v>6</v>
      </c>
      <c r="T16" s="12">
        <v>4</v>
      </c>
      <c r="U16" s="12">
        <v>3</v>
      </c>
      <c r="V16" s="12">
        <v>38</v>
      </c>
      <c r="W16" s="12">
        <v>1</v>
      </c>
      <c r="X16" s="12">
        <v>17</v>
      </c>
      <c r="Y16" s="12">
        <v>29</v>
      </c>
      <c r="Z16" s="12">
        <v>10</v>
      </c>
      <c r="AA16" s="12">
        <v>9</v>
      </c>
      <c r="AB16" s="12">
        <v>9</v>
      </c>
      <c r="AC16" s="12">
        <v>4</v>
      </c>
      <c r="AD16" s="12">
        <v>9</v>
      </c>
      <c r="AE16" s="12">
        <v>10</v>
      </c>
      <c r="AF16" s="12">
        <v>4</v>
      </c>
    </row>
    <row r="17" spans="1:32" x14ac:dyDescent="0.35">
      <c r="A17" s="31"/>
      <c r="B17" s="13" t="s">
        <v>680</v>
      </c>
      <c r="C17" s="14">
        <v>0.01</v>
      </c>
      <c r="D17" s="14">
        <v>0.02</v>
      </c>
      <c r="E17" s="14">
        <v>0.02</v>
      </c>
      <c r="F17" s="14">
        <v>0.01</v>
      </c>
      <c r="G17" s="14">
        <v>0.02</v>
      </c>
      <c r="H17" s="14">
        <v>0.01</v>
      </c>
      <c r="I17" s="14">
        <v>0.01</v>
      </c>
      <c r="J17" s="14">
        <v>0.02</v>
      </c>
      <c r="K17" s="14">
        <v>0.01</v>
      </c>
      <c r="L17" s="14">
        <v>0.02</v>
      </c>
      <c r="M17" s="14">
        <v>0.01</v>
      </c>
      <c r="N17" s="14">
        <v>0.02</v>
      </c>
      <c r="O17" s="14">
        <v>0.01</v>
      </c>
      <c r="P17" s="14">
        <v>0.01</v>
      </c>
      <c r="Q17" s="14">
        <v>0.02</v>
      </c>
      <c r="R17" s="15" t="s">
        <v>333</v>
      </c>
      <c r="S17" s="14">
        <v>0.01</v>
      </c>
      <c r="T17" s="14">
        <v>0.01</v>
      </c>
      <c r="U17" s="14">
        <v>0.01</v>
      </c>
      <c r="V17" s="14">
        <v>0.04</v>
      </c>
      <c r="W17" s="15" t="s">
        <v>333</v>
      </c>
      <c r="X17" s="14">
        <v>0.02</v>
      </c>
      <c r="Y17" s="14">
        <v>0.03</v>
      </c>
      <c r="Z17" s="14">
        <v>0.01</v>
      </c>
      <c r="AA17" s="14">
        <v>0.01</v>
      </c>
      <c r="AB17" s="14">
        <v>0.01</v>
      </c>
      <c r="AC17" s="15" t="s">
        <v>333</v>
      </c>
      <c r="AD17" s="14">
        <v>0.01</v>
      </c>
      <c r="AE17" s="14">
        <v>0.01</v>
      </c>
      <c r="AF17" s="15" t="s">
        <v>333</v>
      </c>
    </row>
    <row r="18" spans="1:32" x14ac:dyDescent="0.35">
      <c r="A18" s="31"/>
      <c r="B18" s="11" t="s">
        <v>681</v>
      </c>
      <c r="C18" s="12">
        <v>196</v>
      </c>
      <c r="D18" s="12">
        <v>2</v>
      </c>
      <c r="E18" s="12">
        <v>2</v>
      </c>
      <c r="F18" s="12">
        <v>5</v>
      </c>
      <c r="G18" s="12">
        <v>7</v>
      </c>
      <c r="H18" s="12">
        <v>23</v>
      </c>
      <c r="I18" s="12">
        <v>27</v>
      </c>
      <c r="J18" s="12">
        <v>4</v>
      </c>
      <c r="K18" s="12">
        <v>5</v>
      </c>
      <c r="L18" s="12">
        <v>2</v>
      </c>
      <c r="M18" s="12">
        <v>7</v>
      </c>
      <c r="N18" s="12">
        <v>5</v>
      </c>
      <c r="O18" s="12">
        <v>4</v>
      </c>
      <c r="P18" s="12">
        <v>4</v>
      </c>
      <c r="Q18" s="12">
        <v>9</v>
      </c>
      <c r="R18" s="12">
        <v>1</v>
      </c>
      <c r="S18" s="12">
        <v>2</v>
      </c>
      <c r="T18" s="12">
        <v>4</v>
      </c>
      <c r="U18" s="12">
        <v>7</v>
      </c>
      <c r="V18" s="12">
        <v>8</v>
      </c>
      <c r="W18" s="12">
        <v>1</v>
      </c>
      <c r="X18" s="12">
        <v>3</v>
      </c>
      <c r="Y18" s="12">
        <v>3</v>
      </c>
      <c r="Z18" s="12">
        <v>2</v>
      </c>
      <c r="AA18" s="12">
        <v>3</v>
      </c>
      <c r="AB18" s="12">
        <v>5</v>
      </c>
      <c r="AC18" s="12">
        <v>2</v>
      </c>
      <c r="AD18" s="12">
        <v>12</v>
      </c>
      <c r="AE18" s="12">
        <v>5</v>
      </c>
      <c r="AF18" s="12">
        <v>2</v>
      </c>
    </row>
    <row r="19" spans="1:32" x14ac:dyDescent="0.35">
      <c r="A19" s="31"/>
      <c r="B19" s="13" t="s">
        <v>682</v>
      </c>
      <c r="C19" s="14">
        <v>0.01</v>
      </c>
      <c r="D19" s="15" t="s">
        <v>333</v>
      </c>
      <c r="E19" s="15" t="s">
        <v>333</v>
      </c>
      <c r="F19" s="15" t="s">
        <v>333</v>
      </c>
      <c r="G19" s="14">
        <v>0.01</v>
      </c>
      <c r="H19" s="14">
        <v>0.02</v>
      </c>
      <c r="I19" s="14">
        <v>0.02</v>
      </c>
      <c r="J19" s="14">
        <v>0.01</v>
      </c>
      <c r="K19" s="14">
        <v>0.01</v>
      </c>
      <c r="L19" s="15" t="s">
        <v>333</v>
      </c>
      <c r="M19" s="14">
        <v>0.01</v>
      </c>
      <c r="N19" s="14">
        <v>0.01</v>
      </c>
      <c r="O19" s="14">
        <v>0.01</v>
      </c>
      <c r="P19" s="15" t="s">
        <v>333</v>
      </c>
      <c r="Q19" s="14">
        <v>0.01</v>
      </c>
      <c r="R19" s="15" t="s">
        <v>333</v>
      </c>
      <c r="S19" s="15" t="s">
        <v>333</v>
      </c>
      <c r="T19" s="15" t="s">
        <v>333</v>
      </c>
      <c r="U19" s="14">
        <v>0.01</v>
      </c>
      <c r="V19" s="14">
        <v>0.01</v>
      </c>
      <c r="W19" s="15" t="s">
        <v>333</v>
      </c>
      <c r="X19" s="15" t="s">
        <v>333</v>
      </c>
      <c r="Y19" s="15" t="s">
        <v>333</v>
      </c>
      <c r="Z19" s="15" t="s">
        <v>333</v>
      </c>
      <c r="AA19" s="15" t="s">
        <v>333</v>
      </c>
      <c r="AB19" s="15" t="s">
        <v>333</v>
      </c>
      <c r="AC19" s="15" t="s">
        <v>333</v>
      </c>
      <c r="AD19" s="14">
        <v>0.01</v>
      </c>
      <c r="AE19" s="15" t="s">
        <v>333</v>
      </c>
      <c r="AF19" s="15" t="s">
        <v>333</v>
      </c>
    </row>
    <row r="20" spans="1:32" x14ac:dyDescent="0.35">
      <c r="A20" s="31"/>
      <c r="B20" s="11" t="s">
        <v>683</v>
      </c>
      <c r="C20" s="12">
        <v>703</v>
      </c>
      <c r="D20" s="12">
        <v>36</v>
      </c>
      <c r="E20" s="12">
        <v>45</v>
      </c>
      <c r="F20" s="12">
        <v>47</v>
      </c>
      <c r="G20" s="12">
        <v>9</v>
      </c>
      <c r="H20" s="12">
        <v>49</v>
      </c>
      <c r="I20" s="12">
        <v>66</v>
      </c>
      <c r="J20" s="12">
        <v>16</v>
      </c>
      <c r="K20" s="12">
        <v>45</v>
      </c>
      <c r="L20" s="12">
        <v>41</v>
      </c>
      <c r="M20" s="12">
        <v>15</v>
      </c>
      <c r="N20" s="12">
        <v>24</v>
      </c>
      <c r="O20" s="12">
        <v>22</v>
      </c>
      <c r="P20" s="12">
        <v>40</v>
      </c>
      <c r="Q20" s="12">
        <v>15</v>
      </c>
      <c r="R20" s="12">
        <v>16</v>
      </c>
      <c r="S20" s="12">
        <v>20</v>
      </c>
      <c r="T20" s="12">
        <v>23</v>
      </c>
      <c r="U20" s="12">
        <v>16</v>
      </c>
      <c r="V20" s="12">
        <v>33</v>
      </c>
      <c r="W20" s="12">
        <v>3</v>
      </c>
      <c r="X20" s="12">
        <v>10</v>
      </c>
      <c r="Y20" s="12">
        <v>18</v>
      </c>
      <c r="Z20" s="12">
        <v>32</v>
      </c>
      <c r="AA20" s="12">
        <v>14</v>
      </c>
      <c r="AB20" s="12">
        <v>23</v>
      </c>
      <c r="AC20" s="12">
        <v>30</v>
      </c>
      <c r="AD20" s="12">
        <v>41</v>
      </c>
      <c r="AE20" s="12">
        <v>20</v>
      </c>
      <c r="AF20" s="12">
        <v>8</v>
      </c>
    </row>
    <row r="21" spans="1:32" x14ac:dyDescent="0.35">
      <c r="A21" s="31"/>
      <c r="B21" s="13" t="s">
        <v>684</v>
      </c>
      <c r="C21" s="14">
        <v>0.03</v>
      </c>
      <c r="D21" s="14">
        <v>0.04</v>
      </c>
      <c r="E21" s="14">
        <v>0.04</v>
      </c>
      <c r="F21" s="14">
        <v>0.05</v>
      </c>
      <c r="G21" s="14">
        <v>0.01</v>
      </c>
      <c r="H21" s="14">
        <v>0.04</v>
      </c>
      <c r="I21" s="14">
        <v>0.04</v>
      </c>
      <c r="J21" s="14">
        <v>0.06</v>
      </c>
      <c r="K21" s="14">
        <v>0.04</v>
      </c>
      <c r="L21" s="14">
        <v>0.04</v>
      </c>
      <c r="M21" s="14">
        <v>0.02</v>
      </c>
      <c r="N21" s="14">
        <v>0.02</v>
      </c>
      <c r="O21" s="14">
        <v>0.02</v>
      </c>
      <c r="P21" s="14">
        <v>0.04</v>
      </c>
      <c r="Q21" s="14">
        <v>0.01</v>
      </c>
      <c r="R21" s="14">
        <v>0.03</v>
      </c>
      <c r="S21" s="14">
        <v>0.02</v>
      </c>
      <c r="T21" s="14">
        <v>0.02</v>
      </c>
      <c r="U21" s="14">
        <v>0.03</v>
      </c>
      <c r="V21" s="14">
        <v>0.03</v>
      </c>
      <c r="W21" s="14">
        <v>0.01</v>
      </c>
      <c r="X21" s="14">
        <v>0.01</v>
      </c>
      <c r="Y21" s="14">
        <v>0.02</v>
      </c>
      <c r="Z21" s="14">
        <v>0.03</v>
      </c>
      <c r="AA21" s="14">
        <v>0.01</v>
      </c>
      <c r="AB21" s="14">
        <v>0.02</v>
      </c>
      <c r="AC21" s="14">
        <v>0.03</v>
      </c>
      <c r="AD21" s="14">
        <v>0.04</v>
      </c>
      <c r="AE21" s="14">
        <v>0.02</v>
      </c>
      <c r="AF21" s="14">
        <v>0.01</v>
      </c>
    </row>
    <row r="22" spans="1:32" x14ac:dyDescent="0.35">
      <c r="A22" s="31"/>
      <c r="B22" s="11" t="s">
        <v>685</v>
      </c>
      <c r="C22" s="12">
        <v>11151</v>
      </c>
      <c r="D22" s="12">
        <v>376</v>
      </c>
      <c r="E22" s="12">
        <v>433</v>
      </c>
      <c r="F22" s="12">
        <v>387</v>
      </c>
      <c r="G22" s="12">
        <v>266</v>
      </c>
      <c r="H22" s="12">
        <v>517</v>
      </c>
      <c r="I22" s="12">
        <v>637</v>
      </c>
      <c r="J22" s="12">
        <v>121</v>
      </c>
      <c r="K22" s="12">
        <v>367</v>
      </c>
      <c r="L22" s="12">
        <v>307</v>
      </c>
      <c r="M22" s="12">
        <v>429</v>
      </c>
      <c r="N22" s="12">
        <v>492</v>
      </c>
      <c r="O22" s="12">
        <v>509</v>
      </c>
      <c r="P22" s="12">
        <v>327</v>
      </c>
      <c r="Q22" s="12">
        <v>444</v>
      </c>
      <c r="R22" s="12">
        <v>195</v>
      </c>
      <c r="S22" s="12">
        <v>462</v>
      </c>
      <c r="T22" s="12">
        <v>465</v>
      </c>
      <c r="U22" s="12">
        <v>156</v>
      </c>
      <c r="V22" s="12">
        <v>375</v>
      </c>
      <c r="W22" s="12">
        <v>163</v>
      </c>
      <c r="X22" s="12">
        <v>271</v>
      </c>
      <c r="Y22" s="12">
        <v>362</v>
      </c>
      <c r="Z22" s="12">
        <v>428</v>
      </c>
      <c r="AA22" s="12">
        <v>449</v>
      </c>
      <c r="AB22" s="12">
        <v>418</v>
      </c>
      <c r="AC22" s="12">
        <v>444</v>
      </c>
      <c r="AD22" s="12">
        <v>333</v>
      </c>
      <c r="AE22" s="12">
        <v>403</v>
      </c>
      <c r="AF22" s="12">
        <v>307</v>
      </c>
    </row>
    <row r="23" spans="1:32" x14ac:dyDescent="0.35">
      <c r="A23" s="31"/>
      <c r="B23" s="13" t="s">
        <v>686</v>
      </c>
      <c r="C23" s="14">
        <v>0.42</v>
      </c>
      <c r="D23" s="14">
        <v>0.37</v>
      </c>
      <c r="E23" s="14">
        <v>0.42</v>
      </c>
      <c r="F23" s="14">
        <v>0.38</v>
      </c>
      <c r="G23" s="14">
        <v>0.26</v>
      </c>
      <c r="H23" s="14">
        <v>0.42</v>
      </c>
      <c r="I23" s="14">
        <v>0.42</v>
      </c>
      <c r="J23" s="14">
        <v>0.4</v>
      </c>
      <c r="K23" s="14">
        <v>0.36</v>
      </c>
      <c r="L23" s="14">
        <v>0.31</v>
      </c>
      <c r="M23" s="14">
        <v>0.43</v>
      </c>
      <c r="N23" s="14">
        <v>0.49</v>
      </c>
      <c r="O23" s="14">
        <v>0.51</v>
      </c>
      <c r="P23" s="14">
        <v>0.33</v>
      </c>
      <c r="Q23" s="14">
        <v>0.43</v>
      </c>
      <c r="R23" s="14">
        <v>0.39</v>
      </c>
      <c r="S23" s="14">
        <v>0.45</v>
      </c>
      <c r="T23" s="14">
        <v>0.46</v>
      </c>
      <c r="U23" s="14">
        <v>0.31</v>
      </c>
      <c r="V23" s="14">
        <v>0.37</v>
      </c>
      <c r="W23" s="14">
        <v>0.32</v>
      </c>
      <c r="X23" s="14">
        <v>0.27</v>
      </c>
      <c r="Y23" s="14">
        <v>0.36</v>
      </c>
      <c r="Z23" s="14">
        <v>0.42</v>
      </c>
      <c r="AA23" s="14">
        <v>0.44</v>
      </c>
      <c r="AB23" s="14">
        <v>0.4</v>
      </c>
      <c r="AC23" s="14">
        <v>0.44</v>
      </c>
      <c r="AD23" s="14">
        <v>0.33</v>
      </c>
      <c r="AE23" s="14">
        <v>0.4</v>
      </c>
      <c r="AF23" s="14">
        <v>0.3</v>
      </c>
    </row>
    <row r="24" spans="1:32" ht="21.5" x14ac:dyDescent="0.35">
      <c r="A24" s="31"/>
      <c r="B24" s="11" t="s">
        <v>1240</v>
      </c>
      <c r="C24" s="12">
        <v>402</v>
      </c>
      <c r="D24" s="12">
        <v>24</v>
      </c>
      <c r="E24" s="12">
        <v>38</v>
      </c>
      <c r="F24" s="12">
        <v>18</v>
      </c>
      <c r="G24" s="12">
        <v>27</v>
      </c>
      <c r="H24" s="12">
        <v>11</v>
      </c>
      <c r="I24" s="12">
        <v>14</v>
      </c>
      <c r="J24" s="12">
        <v>2</v>
      </c>
      <c r="K24" s="12">
        <v>5</v>
      </c>
      <c r="L24" s="12">
        <v>1</v>
      </c>
      <c r="M24" s="12">
        <v>42</v>
      </c>
      <c r="N24" s="12">
        <v>17</v>
      </c>
      <c r="O24" s="12">
        <v>3</v>
      </c>
      <c r="P24" s="12">
        <v>24</v>
      </c>
      <c r="Q24" s="12">
        <v>28</v>
      </c>
      <c r="R24" s="12">
        <v>2</v>
      </c>
      <c r="S24" s="12">
        <v>25</v>
      </c>
      <c r="T24" s="12">
        <v>11</v>
      </c>
      <c r="U24" s="12">
        <v>0</v>
      </c>
      <c r="V24" s="12">
        <v>2</v>
      </c>
      <c r="W24" s="12">
        <v>5</v>
      </c>
      <c r="X24" s="12">
        <v>5</v>
      </c>
      <c r="Y24" s="12">
        <v>48</v>
      </c>
      <c r="Z24" s="12">
        <v>4</v>
      </c>
      <c r="AA24" s="12">
        <v>21</v>
      </c>
      <c r="AB24" s="12">
        <v>40</v>
      </c>
      <c r="AC24" s="12">
        <v>5</v>
      </c>
      <c r="AD24" s="12">
        <v>3</v>
      </c>
      <c r="AE24" s="12">
        <v>3</v>
      </c>
      <c r="AF24" s="12">
        <v>23</v>
      </c>
    </row>
    <row r="25" spans="1:32" ht="21.5" x14ac:dyDescent="0.35">
      <c r="A25" s="31"/>
      <c r="B25" s="13" t="s">
        <v>1241</v>
      </c>
      <c r="C25" s="14">
        <v>0.01</v>
      </c>
      <c r="D25" s="14">
        <v>0.02</v>
      </c>
      <c r="E25" s="14">
        <v>0.04</v>
      </c>
      <c r="F25" s="14">
        <v>0.02</v>
      </c>
      <c r="G25" s="14">
        <v>0.03</v>
      </c>
      <c r="H25" s="14">
        <v>0.01</v>
      </c>
      <c r="I25" s="14">
        <v>0.01</v>
      </c>
      <c r="J25" s="14">
        <v>0.01</v>
      </c>
      <c r="K25" s="15" t="s">
        <v>333</v>
      </c>
      <c r="L25" s="15" t="s">
        <v>333</v>
      </c>
      <c r="M25" s="14">
        <v>0.04</v>
      </c>
      <c r="N25" s="14">
        <v>0.02</v>
      </c>
      <c r="O25" s="15" t="s">
        <v>333</v>
      </c>
      <c r="P25" s="14">
        <v>0.02</v>
      </c>
      <c r="Q25" s="14">
        <v>0.03</v>
      </c>
      <c r="R25" s="14">
        <v>0.01</v>
      </c>
      <c r="S25" s="14">
        <v>0.02</v>
      </c>
      <c r="T25" s="14">
        <v>0.01</v>
      </c>
      <c r="U25" s="15" t="s">
        <v>333</v>
      </c>
      <c r="V25" s="15" t="s">
        <v>333</v>
      </c>
      <c r="W25" s="14">
        <v>0.01</v>
      </c>
      <c r="X25" s="14">
        <v>0.01</v>
      </c>
      <c r="Y25" s="14">
        <v>0.05</v>
      </c>
      <c r="Z25" s="14">
        <v>0.01</v>
      </c>
      <c r="AA25" s="14">
        <v>0.02</v>
      </c>
      <c r="AB25" s="14">
        <v>0.04</v>
      </c>
      <c r="AC25" s="14">
        <v>0.01</v>
      </c>
      <c r="AD25" s="15" t="s">
        <v>333</v>
      </c>
      <c r="AE25" s="15" t="s">
        <v>333</v>
      </c>
      <c r="AF25" s="14">
        <v>0.02</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1246</v>
      </c>
      <c r="C3" s="30"/>
      <c r="D3" s="30"/>
      <c r="E3" s="30"/>
      <c r="F3" s="30"/>
      <c r="H3" s="30" t="s">
        <v>1247</v>
      </c>
      <c r="I3" s="30"/>
      <c r="J3" s="30"/>
      <c r="K3" s="30"/>
      <c r="L3" s="30"/>
    </row>
    <row r="4" spans="1:32" ht="27" customHeight="1" x14ac:dyDescent="0.35">
      <c r="B4" s="30" t="s">
        <v>1248</v>
      </c>
      <c r="C4" s="30"/>
      <c r="D4" s="30"/>
      <c r="E4" s="30"/>
      <c r="F4" s="30"/>
      <c r="H4" s="30" t="s">
        <v>1249</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675</v>
      </c>
      <c r="C12" s="12">
        <v>21075</v>
      </c>
      <c r="D12" s="12">
        <v>865</v>
      </c>
      <c r="E12" s="12">
        <v>815</v>
      </c>
      <c r="F12" s="12">
        <v>718</v>
      </c>
      <c r="G12" s="12">
        <v>935</v>
      </c>
      <c r="H12" s="12">
        <v>997</v>
      </c>
      <c r="I12" s="12">
        <v>1239</v>
      </c>
      <c r="J12" s="12">
        <v>243</v>
      </c>
      <c r="K12" s="12">
        <v>825</v>
      </c>
      <c r="L12" s="12">
        <v>798</v>
      </c>
      <c r="M12" s="12">
        <v>746</v>
      </c>
      <c r="N12" s="12">
        <v>845</v>
      </c>
      <c r="O12" s="12">
        <v>790</v>
      </c>
      <c r="P12" s="12">
        <v>756</v>
      </c>
      <c r="Q12" s="12">
        <v>816</v>
      </c>
      <c r="R12" s="12">
        <v>382</v>
      </c>
      <c r="S12" s="12">
        <v>863</v>
      </c>
      <c r="T12" s="12">
        <v>832</v>
      </c>
      <c r="U12" s="12">
        <v>460</v>
      </c>
      <c r="V12" s="12">
        <v>688</v>
      </c>
      <c r="W12" s="12">
        <v>438</v>
      </c>
      <c r="X12" s="12">
        <v>932</v>
      </c>
      <c r="Y12" s="12">
        <v>781</v>
      </c>
      <c r="Z12" s="12">
        <v>720</v>
      </c>
      <c r="AA12" s="12">
        <v>783</v>
      </c>
      <c r="AB12" s="12">
        <v>794</v>
      </c>
      <c r="AC12" s="12">
        <v>823</v>
      </c>
      <c r="AD12" s="12">
        <v>770</v>
      </c>
      <c r="AE12" s="12">
        <v>896</v>
      </c>
      <c r="AF12" s="12">
        <v>962</v>
      </c>
    </row>
    <row r="13" spans="1:32" ht="21.5" x14ac:dyDescent="0.35">
      <c r="A13" s="31"/>
      <c r="B13" s="13" t="s">
        <v>676</v>
      </c>
      <c r="C13" s="14">
        <v>0.8</v>
      </c>
      <c r="D13" s="14">
        <v>0.84</v>
      </c>
      <c r="E13" s="14">
        <v>0.78</v>
      </c>
      <c r="F13" s="14">
        <v>0.71</v>
      </c>
      <c r="G13" s="14">
        <v>0.92</v>
      </c>
      <c r="H13" s="14">
        <v>0.81</v>
      </c>
      <c r="I13" s="14">
        <v>0.81</v>
      </c>
      <c r="J13" s="14">
        <v>0.82000000000000006</v>
      </c>
      <c r="K13" s="14">
        <v>0.82000000000000006</v>
      </c>
      <c r="L13" s="14">
        <v>0.79</v>
      </c>
      <c r="M13" s="14">
        <v>0.74</v>
      </c>
      <c r="N13" s="14">
        <v>0.84</v>
      </c>
      <c r="O13" s="14">
        <v>0.79</v>
      </c>
      <c r="P13" s="14">
        <v>0.75</v>
      </c>
      <c r="Q13" s="14">
        <v>0.79</v>
      </c>
      <c r="R13" s="14">
        <v>0.76</v>
      </c>
      <c r="S13" s="14">
        <v>0.85</v>
      </c>
      <c r="T13" s="14">
        <v>0.82000000000000006</v>
      </c>
      <c r="U13" s="14">
        <v>0.9</v>
      </c>
      <c r="V13" s="14">
        <v>0.68</v>
      </c>
      <c r="W13" s="14">
        <v>0.87</v>
      </c>
      <c r="X13" s="14">
        <v>0.92</v>
      </c>
      <c r="Y13" s="14">
        <v>0.78</v>
      </c>
      <c r="Z13" s="14">
        <v>0.71</v>
      </c>
      <c r="AA13" s="14">
        <v>0.76</v>
      </c>
      <c r="AB13" s="14">
        <v>0.75</v>
      </c>
      <c r="AC13" s="14">
        <v>0.81</v>
      </c>
      <c r="AD13" s="14">
        <v>0.77</v>
      </c>
      <c r="AE13" s="14">
        <v>0.89</v>
      </c>
      <c r="AF13" s="14">
        <v>0.94000000000000006</v>
      </c>
    </row>
    <row r="14" spans="1:32" ht="21.5" x14ac:dyDescent="0.35">
      <c r="A14" s="31"/>
      <c r="B14" s="11" t="s">
        <v>677</v>
      </c>
      <c r="C14" s="12">
        <v>1669</v>
      </c>
      <c r="D14" s="12">
        <v>62</v>
      </c>
      <c r="E14" s="12">
        <v>60</v>
      </c>
      <c r="F14" s="12">
        <v>95</v>
      </c>
      <c r="G14" s="12">
        <v>23</v>
      </c>
      <c r="H14" s="12">
        <v>70</v>
      </c>
      <c r="I14" s="12">
        <v>83</v>
      </c>
      <c r="J14" s="12">
        <v>13</v>
      </c>
      <c r="K14" s="12">
        <v>30</v>
      </c>
      <c r="L14" s="12">
        <v>76</v>
      </c>
      <c r="M14" s="12">
        <v>84</v>
      </c>
      <c r="N14" s="12">
        <v>38</v>
      </c>
      <c r="O14" s="12">
        <v>72</v>
      </c>
      <c r="P14" s="12">
        <v>44</v>
      </c>
      <c r="Q14" s="12">
        <v>92</v>
      </c>
      <c r="R14" s="12">
        <v>26</v>
      </c>
      <c r="S14" s="12">
        <v>19</v>
      </c>
      <c r="T14" s="12">
        <v>37</v>
      </c>
      <c r="U14" s="12">
        <v>21</v>
      </c>
      <c r="V14" s="12">
        <v>76</v>
      </c>
      <c r="W14" s="12">
        <v>14</v>
      </c>
      <c r="X14" s="12">
        <v>46</v>
      </c>
      <c r="Y14" s="12">
        <v>95</v>
      </c>
      <c r="Z14" s="12">
        <v>78</v>
      </c>
      <c r="AA14" s="12">
        <v>44</v>
      </c>
      <c r="AB14" s="12">
        <v>77</v>
      </c>
      <c r="AC14" s="12">
        <v>52</v>
      </c>
      <c r="AD14" s="12">
        <v>63</v>
      </c>
      <c r="AE14" s="12">
        <v>23</v>
      </c>
      <c r="AF14" s="12">
        <v>24</v>
      </c>
    </row>
    <row r="15" spans="1:32" x14ac:dyDescent="0.35">
      <c r="A15" s="31"/>
      <c r="B15" s="13" t="s">
        <v>678</v>
      </c>
      <c r="C15" s="14">
        <v>0.06</v>
      </c>
      <c r="D15" s="14">
        <v>0.06</v>
      </c>
      <c r="E15" s="14">
        <v>0.06</v>
      </c>
      <c r="F15" s="14">
        <v>0.09</v>
      </c>
      <c r="G15" s="14">
        <v>0.02</v>
      </c>
      <c r="H15" s="14">
        <v>0.06</v>
      </c>
      <c r="I15" s="14">
        <v>0.05</v>
      </c>
      <c r="J15" s="14">
        <v>0.04</v>
      </c>
      <c r="K15" s="14">
        <v>0.03</v>
      </c>
      <c r="L15" s="14">
        <v>0.08</v>
      </c>
      <c r="M15" s="14">
        <v>0.08</v>
      </c>
      <c r="N15" s="14">
        <v>0.04</v>
      </c>
      <c r="O15" s="14">
        <v>7.0000000000000007E-2</v>
      </c>
      <c r="P15" s="14">
        <v>0.04</v>
      </c>
      <c r="Q15" s="14">
        <v>0.09</v>
      </c>
      <c r="R15" s="14">
        <v>0.05</v>
      </c>
      <c r="S15" s="14">
        <v>0.02</v>
      </c>
      <c r="T15" s="14">
        <v>0.04</v>
      </c>
      <c r="U15" s="14">
        <v>0.04</v>
      </c>
      <c r="V15" s="14">
        <v>7.0000000000000007E-2</v>
      </c>
      <c r="W15" s="14">
        <v>0.03</v>
      </c>
      <c r="X15" s="14">
        <v>0.05</v>
      </c>
      <c r="Y15" s="14">
        <v>0.09</v>
      </c>
      <c r="Z15" s="14">
        <v>0.08</v>
      </c>
      <c r="AA15" s="14">
        <v>0.04</v>
      </c>
      <c r="AB15" s="14">
        <v>7.0000000000000007E-2</v>
      </c>
      <c r="AC15" s="14">
        <v>0.05</v>
      </c>
      <c r="AD15" s="14">
        <v>0.06</v>
      </c>
      <c r="AE15" s="14">
        <v>0.02</v>
      </c>
      <c r="AF15" s="14">
        <v>0.02</v>
      </c>
    </row>
    <row r="16" spans="1:32" x14ac:dyDescent="0.35">
      <c r="A16" s="31"/>
      <c r="B16" s="11" t="s">
        <v>679</v>
      </c>
      <c r="C16" s="12">
        <v>471</v>
      </c>
      <c r="D16" s="12">
        <v>9</v>
      </c>
      <c r="E16" s="12">
        <v>10</v>
      </c>
      <c r="F16" s="12">
        <v>30</v>
      </c>
      <c r="G16" s="12">
        <v>10</v>
      </c>
      <c r="H16" s="12">
        <v>18</v>
      </c>
      <c r="I16" s="12">
        <v>24</v>
      </c>
      <c r="J16" s="12">
        <v>6</v>
      </c>
      <c r="K16" s="12">
        <v>17</v>
      </c>
      <c r="L16" s="12">
        <v>38</v>
      </c>
      <c r="M16" s="12">
        <v>21</v>
      </c>
      <c r="N16" s="12">
        <v>18</v>
      </c>
      <c r="O16" s="12">
        <v>18</v>
      </c>
      <c r="P16" s="12">
        <v>15</v>
      </c>
      <c r="Q16" s="12">
        <v>25</v>
      </c>
      <c r="R16" s="12">
        <v>6</v>
      </c>
      <c r="S16" s="12">
        <v>3</v>
      </c>
      <c r="T16" s="12">
        <v>2</v>
      </c>
      <c r="U16" s="12">
        <v>3</v>
      </c>
      <c r="V16" s="12">
        <v>36</v>
      </c>
      <c r="W16" s="12">
        <v>1</v>
      </c>
      <c r="X16" s="12">
        <v>10</v>
      </c>
      <c r="Y16" s="12">
        <v>37</v>
      </c>
      <c r="Z16" s="12">
        <v>17</v>
      </c>
      <c r="AA16" s="12">
        <v>15</v>
      </c>
      <c r="AB16" s="12">
        <v>12</v>
      </c>
      <c r="AC16" s="12">
        <v>6</v>
      </c>
      <c r="AD16" s="12">
        <v>22</v>
      </c>
      <c r="AE16" s="12">
        <v>10</v>
      </c>
      <c r="AF16" s="12">
        <v>5</v>
      </c>
    </row>
    <row r="17" spans="1:32" x14ac:dyDescent="0.35">
      <c r="A17" s="31"/>
      <c r="B17" s="13" t="s">
        <v>680</v>
      </c>
      <c r="C17" s="14">
        <v>0.02</v>
      </c>
      <c r="D17" s="14">
        <v>0.01</v>
      </c>
      <c r="E17" s="14">
        <v>0.01</v>
      </c>
      <c r="F17" s="14">
        <v>0.03</v>
      </c>
      <c r="G17" s="14">
        <v>0.01</v>
      </c>
      <c r="H17" s="14">
        <v>0.01</v>
      </c>
      <c r="I17" s="14">
        <v>0.02</v>
      </c>
      <c r="J17" s="14">
        <v>0.02</v>
      </c>
      <c r="K17" s="14">
        <v>0.02</v>
      </c>
      <c r="L17" s="14">
        <v>0.04</v>
      </c>
      <c r="M17" s="14">
        <v>0.02</v>
      </c>
      <c r="N17" s="14">
        <v>0.02</v>
      </c>
      <c r="O17" s="14">
        <v>0.02</v>
      </c>
      <c r="P17" s="14">
        <v>0.02</v>
      </c>
      <c r="Q17" s="14">
        <v>0.02</v>
      </c>
      <c r="R17" s="14">
        <v>0.01</v>
      </c>
      <c r="S17" s="15" t="s">
        <v>333</v>
      </c>
      <c r="T17" s="15" t="s">
        <v>333</v>
      </c>
      <c r="U17" s="14">
        <v>0.01</v>
      </c>
      <c r="V17" s="14">
        <v>0.04</v>
      </c>
      <c r="W17" s="15" t="s">
        <v>333</v>
      </c>
      <c r="X17" s="14">
        <v>0.01</v>
      </c>
      <c r="Y17" s="14">
        <v>0.04</v>
      </c>
      <c r="Z17" s="14">
        <v>0.02</v>
      </c>
      <c r="AA17" s="14">
        <v>0.02</v>
      </c>
      <c r="AB17" s="14">
        <v>0.01</v>
      </c>
      <c r="AC17" s="14">
        <v>0.01</v>
      </c>
      <c r="AD17" s="14">
        <v>0.02</v>
      </c>
      <c r="AE17" s="14">
        <v>0.01</v>
      </c>
      <c r="AF17" s="14">
        <v>0.01</v>
      </c>
    </row>
    <row r="18" spans="1:32" x14ac:dyDescent="0.35">
      <c r="A18" s="31"/>
      <c r="B18" s="11" t="s">
        <v>681</v>
      </c>
      <c r="C18" s="12">
        <v>143</v>
      </c>
      <c r="D18" s="12">
        <v>4</v>
      </c>
      <c r="E18" s="12">
        <v>10</v>
      </c>
      <c r="F18" s="12">
        <v>4</v>
      </c>
      <c r="G18" s="12">
        <v>5</v>
      </c>
      <c r="H18" s="12">
        <v>3</v>
      </c>
      <c r="I18" s="12">
        <v>5</v>
      </c>
      <c r="J18" s="12">
        <v>2</v>
      </c>
      <c r="K18" s="12">
        <v>3</v>
      </c>
      <c r="L18" s="12">
        <v>7</v>
      </c>
      <c r="M18" s="12">
        <v>5</v>
      </c>
      <c r="N18" s="12">
        <v>6</v>
      </c>
      <c r="O18" s="12">
        <v>8</v>
      </c>
      <c r="P18" s="12">
        <v>3</v>
      </c>
      <c r="Q18" s="12">
        <v>8</v>
      </c>
      <c r="R18" s="12">
        <v>3</v>
      </c>
      <c r="S18" s="12">
        <v>1</v>
      </c>
      <c r="T18" s="12">
        <v>2</v>
      </c>
      <c r="U18" s="12">
        <v>0</v>
      </c>
      <c r="V18" s="12">
        <v>14</v>
      </c>
      <c r="W18" s="12">
        <v>0</v>
      </c>
      <c r="X18" s="12">
        <v>2</v>
      </c>
      <c r="Y18" s="12">
        <v>5</v>
      </c>
      <c r="Z18" s="12">
        <v>2</v>
      </c>
      <c r="AA18" s="12">
        <v>5</v>
      </c>
      <c r="AB18" s="12">
        <v>5</v>
      </c>
      <c r="AC18" s="12">
        <v>4</v>
      </c>
      <c r="AD18" s="12">
        <v>6</v>
      </c>
      <c r="AE18" s="12">
        <v>5</v>
      </c>
      <c r="AF18" s="12">
        <v>3</v>
      </c>
    </row>
    <row r="19" spans="1:32" x14ac:dyDescent="0.35">
      <c r="A19" s="31"/>
      <c r="B19" s="13" t="s">
        <v>682</v>
      </c>
      <c r="C19" s="14">
        <v>0.01</v>
      </c>
      <c r="D19" s="15" t="s">
        <v>333</v>
      </c>
      <c r="E19" s="14">
        <v>0.01</v>
      </c>
      <c r="F19" s="15" t="s">
        <v>333</v>
      </c>
      <c r="G19" s="14">
        <v>0.01</v>
      </c>
      <c r="H19" s="15" t="s">
        <v>333</v>
      </c>
      <c r="I19" s="15" t="s">
        <v>333</v>
      </c>
      <c r="J19" s="14">
        <v>0.01</v>
      </c>
      <c r="K19" s="15" t="s">
        <v>333</v>
      </c>
      <c r="L19" s="14">
        <v>0.01</v>
      </c>
      <c r="M19" s="14">
        <v>0.01</v>
      </c>
      <c r="N19" s="14">
        <v>0.01</v>
      </c>
      <c r="O19" s="14">
        <v>0.01</v>
      </c>
      <c r="P19" s="15" t="s">
        <v>333</v>
      </c>
      <c r="Q19" s="14">
        <v>0.01</v>
      </c>
      <c r="R19" s="14">
        <v>0.01</v>
      </c>
      <c r="S19" s="15" t="s">
        <v>333</v>
      </c>
      <c r="T19" s="15" t="s">
        <v>333</v>
      </c>
      <c r="U19" s="15" t="s">
        <v>333</v>
      </c>
      <c r="V19" s="14">
        <v>0.01</v>
      </c>
      <c r="W19" s="15" t="s">
        <v>333</v>
      </c>
      <c r="X19" s="15" t="s">
        <v>333</v>
      </c>
      <c r="Y19" s="14">
        <v>0.01</v>
      </c>
      <c r="Z19" s="15" t="s">
        <v>333</v>
      </c>
      <c r="AA19" s="14">
        <v>0.01</v>
      </c>
      <c r="AB19" s="14">
        <v>0.01</v>
      </c>
      <c r="AC19" s="14">
        <v>0.01</v>
      </c>
      <c r="AD19" s="14">
        <v>0.01</v>
      </c>
      <c r="AE19" s="15" t="s">
        <v>333</v>
      </c>
      <c r="AF19" s="15" t="s">
        <v>333</v>
      </c>
    </row>
    <row r="20" spans="1:32" x14ac:dyDescent="0.35">
      <c r="A20" s="31"/>
      <c r="B20" s="11" t="s">
        <v>683</v>
      </c>
      <c r="C20" s="12">
        <v>403</v>
      </c>
      <c r="D20" s="12">
        <v>11</v>
      </c>
      <c r="E20" s="12">
        <v>9</v>
      </c>
      <c r="F20" s="12">
        <v>26</v>
      </c>
      <c r="G20" s="12">
        <v>10</v>
      </c>
      <c r="H20" s="12">
        <v>33</v>
      </c>
      <c r="I20" s="12">
        <v>43</v>
      </c>
      <c r="J20" s="12">
        <v>10</v>
      </c>
      <c r="K20" s="12">
        <v>19</v>
      </c>
      <c r="L20" s="12">
        <v>13</v>
      </c>
      <c r="M20" s="12">
        <v>10</v>
      </c>
      <c r="N20" s="12">
        <v>4</v>
      </c>
      <c r="O20" s="12">
        <v>18</v>
      </c>
      <c r="P20" s="12">
        <v>61</v>
      </c>
      <c r="Q20" s="12">
        <v>16</v>
      </c>
      <c r="R20" s="12">
        <v>15</v>
      </c>
      <c r="S20" s="12">
        <v>8</v>
      </c>
      <c r="T20" s="12">
        <v>4</v>
      </c>
      <c r="U20" s="12">
        <v>7</v>
      </c>
      <c r="V20" s="12">
        <v>18</v>
      </c>
      <c r="W20" s="12">
        <v>0</v>
      </c>
      <c r="X20" s="12">
        <v>5</v>
      </c>
      <c r="Y20" s="12">
        <v>3</v>
      </c>
      <c r="Z20" s="12">
        <v>9</v>
      </c>
      <c r="AA20" s="12">
        <v>13</v>
      </c>
      <c r="AB20" s="12">
        <v>12</v>
      </c>
      <c r="AC20" s="12">
        <v>13</v>
      </c>
      <c r="AD20" s="12">
        <v>10</v>
      </c>
      <c r="AE20" s="12">
        <v>6</v>
      </c>
      <c r="AF20" s="12">
        <v>9</v>
      </c>
    </row>
    <row r="21" spans="1:32" x14ac:dyDescent="0.35">
      <c r="A21" s="31"/>
      <c r="B21" s="13" t="s">
        <v>684</v>
      </c>
      <c r="C21" s="14">
        <v>0.01</v>
      </c>
      <c r="D21" s="14">
        <v>0.01</v>
      </c>
      <c r="E21" s="14">
        <v>0.01</v>
      </c>
      <c r="F21" s="14">
        <v>0.02</v>
      </c>
      <c r="G21" s="14">
        <v>0.01</v>
      </c>
      <c r="H21" s="14">
        <v>0.03</v>
      </c>
      <c r="I21" s="14">
        <v>0.03</v>
      </c>
      <c r="J21" s="14">
        <v>0.03</v>
      </c>
      <c r="K21" s="14">
        <v>0.02</v>
      </c>
      <c r="L21" s="14">
        <v>0.01</v>
      </c>
      <c r="M21" s="14">
        <v>0.01</v>
      </c>
      <c r="N21" s="15" t="s">
        <v>333</v>
      </c>
      <c r="O21" s="14">
        <v>0.02</v>
      </c>
      <c r="P21" s="14">
        <v>0.06</v>
      </c>
      <c r="Q21" s="14">
        <v>0.02</v>
      </c>
      <c r="R21" s="14">
        <v>0.03</v>
      </c>
      <c r="S21" s="14">
        <v>0.01</v>
      </c>
      <c r="T21" s="15" t="s">
        <v>333</v>
      </c>
      <c r="U21" s="14">
        <v>0.01</v>
      </c>
      <c r="V21" s="14">
        <v>0.02</v>
      </c>
      <c r="W21" s="15" t="s">
        <v>333</v>
      </c>
      <c r="X21" s="15" t="s">
        <v>333</v>
      </c>
      <c r="Y21" s="15" t="s">
        <v>333</v>
      </c>
      <c r="Z21" s="14">
        <v>0.01</v>
      </c>
      <c r="AA21" s="14">
        <v>0.01</v>
      </c>
      <c r="AB21" s="14">
        <v>0.01</v>
      </c>
      <c r="AC21" s="14">
        <v>0.01</v>
      </c>
      <c r="AD21" s="14">
        <v>0.01</v>
      </c>
      <c r="AE21" s="14">
        <v>0.01</v>
      </c>
      <c r="AF21" s="14">
        <v>0.01</v>
      </c>
    </row>
    <row r="22" spans="1:32" x14ac:dyDescent="0.35">
      <c r="A22" s="31"/>
      <c r="B22" s="11" t="s">
        <v>685</v>
      </c>
      <c r="C22" s="12">
        <v>2422</v>
      </c>
      <c r="D22" s="12">
        <v>67</v>
      </c>
      <c r="E22" s="12">
        <v>102</v>
      </c>
      <c r="F22" s="12">
        <v>128</v>
      </c>
      <c r="G22" s="12">
        <v>32</v>
      </c>
      <c r="H22" s="12">
        <v>107</v>
      </c>
      <c r="I22" s="12">
        <v>130</v>
      </c>
      <c r="J22" s="12">
        <v>24</v>
      </c>
      <c r="K22" s="12">
        <v>113</v>
      </c>
      <c r="L22" s="12">
        <v>72</v>
      </c>
      <c r="M22" s="12">
        <v>120</v>
      </c>
      <c r="N22" s="12">
        <v>71</v>
      </c>
      <c r="O22" s="12">
        <v>92</v>
      </c>
      <c r="P22" s="12">
        <v>110</v>
      </c>
      <c r="Q22" s="12">
        <v>66</v>
      </c>
      <c r="R22" s="12">
        <v>67</v>
      </c>
      <c r="S22" s="12">
        <v>117</v>
      </c>
      <c r="T22" s="12">
        <v>131</v>
      </c>
      <c r="U22" s="12">
        <v>19</v>
      </c>
      <c r="V22" s="12">
        <v>180</v>
      </c>
      <c r="W22" s="12">
        <v>29</v>
      </c>
      <c r="X22" s="12">
        <v>16</v>
      </c>
      <c r="Y22" s="12">
        <v>58</v>
      </c>
      <c r="Z22" s="12">
        <v>189</v>
      </c>
      <c r="AA22" s="12">
        <v>156</v>
      </c>
      <c r="AB22" s="12">
        <v>125</v>
      </c>
      <c r="AC22" s="12">
        <v>113</v>
      </c>
      <c r="AD22" s="12">
        <v>131</v>
      </c>
      <c r="AE22" s="12">
        <v>60</v>
      </c>
      <c r="AF22" s="12">
        <v>18</v>
      </c>
    </row>
    <row r="23" spans="1:32" x14ac:dyDescent="0.35">
      <c r="A23" s="31"/>
      <c r="B23" s="13" t="s">
        <v>686</v>
      </c>
      <c r="C23" s="14">
        <v>0.09</v>
      </c>
      <c r="D23" s="14">
        <v>7.0000000000000007E-2</v>
      </c>
      <c r="E23" s="14">
        <v>0.1</v>
      </c>
      <c r="F23" s="14">
        <v>0.13</v>
      </c>
      <c r="G23" s="14">
        <v>0.03</v>
      </c>
      <c r="H23" s="14">
        <v>0.09</v>
      </c>
      <c r="I23" s="14">
        <v>0.09</v>
      </c>
      <c r="J23" s="14">
        <v>0.08</v>
      </c>
      <c r="K23" s="14">
        <v>0.11</v>
      </c>
      <c r="L23" s="14">
        <v>7.0000000000000007E-2</v>
      </c>
      <c r="M23" s="14">
        <v>0.12</v>
      </c>
      <c r="N23" s="14">
        <v>7.0000000000000007E-2</v>
      </c>
      <c r="O23" s="14">
        <v>0.09</v>
      </c>
      <c r="P23" s="14">
        <v>0.11</v>
      </c>
      <c r="Q23" s="14">
        <v>0.06</v>
      </c>
      <c r="R23" s="14">
        <v>0.14000000000000001</v>
      </c>
      <c r="S23" s="14">
        <v>0.11</v>
      </c>
      <c r="T23" s="14">
        <v>0.13</v>
      </c>
      <c r="U23" s="14">
        <v>0.04</v>
      </c>
      <c r="V23" s="14">
        <v>0.18</v>
      </c>
      <c r="W23" s="14">
        <v>0.06</v>
      </c>
      <c r="X23" s="14">
        <v>0.02</v>
      </c>
      <c r="Y23" s="14">
        <v>0.06</v>
      </c>
      <c r="Z23" s="14">
        <v>0.18</v>
      </c>
      <c r="AA23" s="14">
        <v>0.15</v>
      </c>
      <c r="AB23" s="14">
        <v>0.12</v>
      </c>
      <c r="AC23" s="14">
        <v>0.11</v>
      </c>
      <c r="AD23" s="14">
        <v>0.13</v>
      </c>
      <c r="AE23" s="14">
        <v>0.06</v>
      </c>
      <c r="AF23" s="14">
        <v>0.02</v>
      </c>
    </row>
    <row r="24" spans="1:32" ht="21.5" x14ac:dyDescent="0.35">
      <c r="A24" s="31"/>
      <c r="B24" s="11" t="s">
        <v>1240</v>
      </c>
      <c r="C24" s="12">
        <v>228</v>
      </c>
      <c r="D24" s="12">
        <v>6</v>
      </c>
      <c r="E24" s="12">
        <v>32</v>
      </c>
      <c r="F24" s="12">
        <v>16</v>
      </c>
      <c r="G24" s="12">
        <v>2</v>
      </c>
      <c r="H24" s="12">
        <v>4</v>
      </c>
      <c r="I24" s="12">
        <v>5</v>
      </c>
      <c r="J24" s="12">
        <v>1</v>
      </c>
      <c r="K24" s="12">
        <v>3</v>
      </c>
      <c r="L24" s="12">
        <v>1</v>
      </c>
      <c r="M24" s="12">
        <v>18</v>
      </c>
      <c r="N24" s="12">
        <v>18</v>
      </c>
      <c r="O24" s="12">
        <v>2</v>
      </c>
      <c r="P24" s="12">
        <v>15</v>
      </c>
      <c r="Q24" s="12">
        <v>12</v>
      </c>
      <c r="R24" s="12">
        <v>2</v>
      </c>
      <c r="S24" s="12">
        <v>10</v>
      </c>
      <c r="T24" s="12">
        <v>9</v>
      </c>
      <c r="U24" s="12">
        <v>0</v>
      </c>
      <c r="V24" s="12">
        <v>2</v>
      </c>
      <c r="W24" s="12">
        <v>18</v>
      </c>
      <c r="X24" s="12">
        <v>0</v>
      </c>
      <c r="Y24" s="12">
        <v>24</v>
      </c>
      <c r="Z24" s="12">
        <v>4</v>
      </c>
      <c r="AA24" s="12">
        <v>14</v>
      </c>
      <c r="AB24" s="12">
        <v>31</v>
      </c>
      <c r="AC24" s="12">
        <v>2</v>
      </c>
      <c r="AD24" s="12">
        <v>3</v>
      </c>
      <c r="AE24" s="12">
        <v>7</v>
      </c>
      <c r="AF24" s="12">
        <v>0</v>
      </c>
    </row>
    <row r="25" spans="1:32" ht="21.5" x14ac:dyDescent="0.35">
      <c r="A25" s="31"/>
      <c r="B25" s="13" t="s">
        <v>1241</v>
      </c>
      <c r="C25" s="14">
        <v>0.01</v>
      </c>
      <c r="D25" s="14">
        <v>0.01</v>
      </c>
      <c r="E25" s="14">
        <v>0.03</v>
      </c>
      <c r="F25" s="14">
        <v>0.02</v>
      </c>
      <c r="G25" s="15" t="s">
        <v>333</v>
      </c>
      <c r="H25" s="15" t="s">
        <v>333</v>
      </c>
      <c r="I25" s="15" t="s">
        <v>333</v>
      </c>
      <c r="J25" s="15" t="s">
        <v>333</v>
      </c>
      <c r="K25" s="15" t="s">
        <v>333</v>
      </c>
      <c r="L25" s="15" t="s">
        <v>333</v>
      </c>
      <c r="M25" s="14">
        <v>0.02</v>
      </c>
      <c r="N25" s="14">
        <v>0.02</v>
      </c>
      <c r="O25" s="15" t="s">
        <v>333</v>
      </c>
      <c r="P25" s="14">
        <v>0.02</v>
      </c>
      <c r="Q25" s="14">
        <v>0.01</v>
      </c>
      <c r="R25" s="15" t="s">
        <v>333</v>
      </c>
      <c r="S25" s="14">
        <v>0.01</v>
      </c>
      <c r="T25" s="14">
        <v>0.01</v>
      </c>
      <c r="U25" s="15" t="s">
        <v>333</v>
      </c>
      <c r="V25" s="15" t="s">
        <v>333</v>
      </c>
      <c r="W25" s="14">
        <v>0.04</v>
      </c>
      <c r="X25" s="15" t="s">
        <v>333</v>
      </c>
      <c r="Y25" s="14">
        <v>0.02</v>
      </c>
      <c r="Z25" s="15" t="s">
        <v>333</v>
      </c>
      <c r="AA25" s="14">
        <v>0.01</v>
      </c>
      <c r="AB25" s="14">
        <v>0.03</v>
      </c>
      <c r="AC25" s="15" t="s">
        <v>333</v>
      </c>
      <c r="AD25" s="15" t="s">
        <v>333</v>
      </c>
      <c r="AE25" s="14">
        <v>0.01</v>
      </c>
      <c r="AF25" s="15" t="s">
        <v>333</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1250</v>
      </c>
      <c r="C3" s="30"/>
      <c r="D3" s="30"/>
      <c r="E3" s="30"/>
      <c r="F3" s="30"/>
      <c r="H3" s="30" t="s">
        <v>1251</v>
      </c>
      <c r="I3" s="30"/>
      <c r="J3" s="30"/>
      <c r="K3" s="30"/>
      <c r="L3" s="30"/>
    </row>
    <row r="4" spans="1:32" ht="27" customHeight="1" x14ac:dyDescent="0.35">
      <c r="B4" s="30" t="s">
        <v>1252</v>
      </c>
      <c r="C4" s="30"/>
      <c r="D4" s="30"/>
      <c r="E4" s="30"/>
      <c r="F4" s="30"/>
      <c r="H4" s="30" t="s">
        <v>1253</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675</v>
      </c>
      <c r="C12" s="12">
        <v>5945</v>
      </c>
      <c r="D12" s="12">
        <v>312</v>
      </c>
      <c r="E12" s="12">
        <v>192</v>
      </c>
      <c r="F12" s="12">
        <v>187</v>
      </c>
      <c r="G12" s="12">
        <v>215</v>
      </c>
      <c r="H12" s="12">
        <v>268</v>
      </c>
      <c r="I12" s="12">
        <v>311</v>
      </c>
      <c r="J12" s="12">
        <v>43</v>
      </c>
      <c r="K12" s="12">
        <v>269</v>
      </c>
      <c r="L12" s="12">
        <v>245</v>
      </c>
      <c r="M12" s="12">
        <v>165</v>
      </c>
      <c r="N12" s="12">
        <v>285</v>
      </c>
      <c r="O12" s="12">
        <v>185</v>
      </c>
      <c r="P12" s="12">
        <v>335</v>
      </c>
      <c r="Q12" s="12">
        <v>205</v>
      </c>
      <c r="R12" s="12">
        <v>193</v>
      </c>
      <c r="S12" s="12">
        <v>322</v>
      </c>
      <c r="T12" s="12">
        <v>235</v>
      </c>
      <c r="U12" s="12">
        <v>215</v>
      </c>
      <c r="V12" s="12">
        <v>294</v>
      </c>
      <c r="W12" s="12">
        <v>221</v>
      </c>
      <c r="X12" s="12">
        <v>359</v>
      </c>
      <c r="Y12" s="12">
        <v>198</v>
      </c>
      <c r="Z12" s="12">
        <v>137</v>
      </c>
      <c r="AA12" s="12">
        <v>369</v>
      </c>
      <c r="AB12" s="12">
        <v>386</v>
      </c>
      <c r="AC12" s="12">
        <v>260</v>
      </c>
      <c r="AD12" s="12">
        <v>201</v>
      </c>
      <c r="AE12" s="12">
        <v>169</v>
      </c>
      <c r="AF12" s="12">
        <v>172</v>
      </c>
    </row>
    <row r="13" spans="1:32" ht="21.5" x14ac:dyDescent="0.35">
      <c r="A13" s="31"/>
      <c r="B13" s="13" t="s">
        <v>676</v>
      </c>
      <c r="C13" s="14">
        <v>0.22</v>
      </c>
      <c r="D13" s="14">
        <v>0.3</v>
      </c>
      <c r="E13" s="14">
        <v>0.18</v>
      </c>
      <c r="F13" s="14">
        <v>0.18</v>
      </c>
      <c r="G13" s="14">
        <v>0.21</v>
      </c>
      <c r="H13" s="14">
        <v>0.22</v>
      </c>
      <c r="I13" s="14">
        <v>0.2</v>
      </c>
      <c r="J13" s="14">
        <v>0.14000000000000001</v>
      </c>
      <c r="K13" s="14">
        <v>0.27</v>
      </c>
      <c r="L13" s="14">
        <v>0.24</v>
      </c>
      <c r="M13" s="14">
        <v>0.17</v>
      </c>
      <c r="N13" s="14">
        <v>0.28000000000000003</v>
      </c>
      <c r="O13" s="14">
        <v>0.18</v>
      </c>
      <c r="P13" s="14">
        <v>0.33</v>
      </c>
      <c r="Q13" s="14">
        <v>0.2</v>
      </c>
      <c r="R13" s="14">
        <v>0.39</v>
      </c>
      <c r="S13" s="14">
        <v>0.31</v>
      </c>
      <c r="T13" s="14">
        <v>0.23</v>
      </c>
      <c r="U13" s="14">
        <v>0.42</v>
      </c>
      <c r="V13" s="14">
        <v>0.28999999999999998</v>
      </c>
      <c r="W13" s="14">
        <v>0.44</v>
      </c>
      <c r="X13" s="14">
        <v>0.35</v>
      </c>
      <c r="Y13" s="14">
        <v>0.2</v>
      </c>
      <c r="Z13" s="14">
        <v>0.14000000000000001</v>
      </c>
      <c r="AA13" s="14">
        <v>0.36</v>
      </c>
      <c r="AB13" s="14">
        <v>0.37</v>
      </c>
      <c r="AC13" s="14">
        <v>0.26</v>
      </c>
      <c r="AD13" s="14">
        <v>0.2</v>
      </c>
      <c r="AE13" s="14">
        <v>0.17</v>
      </c>
      <c r="AF13" s="14">
        <v>0.17</v>
      </c>
    </row>
    <row r="14" spans="1:32" ht="21.5" x14ac:dyDescent="0.35">
      <c r="A14" s="31"/>
      <c r="B14" s="11" t="s">
        <v>677</v>
      </c>
      <c r="C14" s="12">
        <v>1312</v>
      </c>
      <c r="D14" s="12">
        <v>80</v>
      </c>
      <c r="E14" s="12">
        <v>50</v>
      </c>
      <c r="F14" s="12">
        <v>83</v>
      </c>
      <c r="G14" s="12">
        <v>44</v>
      </c>
      <c r="H14" s="12">
        <v>58</v>
      </c>
      <c r="I14" s="12">
        <v>75</v>
      </c>
      <c r="J14" s="12">
        <v>17</v>
      </c>
      <c r="K14" s="12">
        <v>57</v>
      </c>
      <c r="L14" s="12">
        <v>80</v>
      </c>
      <c r="M14" s="12">
        <v>100</v>
      </c>
      <c r="N14" s="12">
        <v>37</v>
      </c>
      <c r="O14" s="12">
        <v>18</v>
      </c>
      <c r="P14" s="12">
        <v>43</v>
      </c>
      <c r="Q14" s="12">
        <v>62</v>
      </c>
      <c r="R14" s="12">
        <v>30</v>
      </c>
      <c r="S14" s="12">
        <v>44</v>
      </c>
      <c r="T14" s="12">
        <v>61</v>
      </c>
      <c r="U14" s="12">
        <v>28</v>
      </c>
      <c r="V14" s="12">
        <v>61</v>
      </c>
      <c r="W14" s="12">
        <v>52</v>
      </c>
      <c r="X14" s="12">
        <v>91</v>
      </c>
      <c r="Y14" s="12">
        <v>91</v>
      </c>
      <c r="Z14" s="12">
        <v>44</v>
      </c>
      <c r="AA14" s="12">
        <v>66</v>
      </c>
      <c r="AB14" s="12">
        <v>32</v>
      </c>
      <c r="AC14" s="12">
        <v>46</v>
      </c>
      <c r="AD14" s="12">
        <v>75</v>
      </c>
      <c r="AE14" s="12">
        <v>26</v>
      </c>
      <c r="AF14" s="12">
        <v>59</v>
      </c>
    </row>
    <row r="15" spans="1:32" x14ac:dyDescent="0.35">
      <c r="A15" s="31"/>
      <c r="B15" s="13" t="s">
        <v>678</v>
      </c>
      <c r="C15" s="14">
        <v>0.05</v>
      </c>
      <c r="D15" s="14">
        <v>0.08</v>
      </c>
      <c r="E15" s="14">
        <v>0.05</v>
      </c>
      <c r="F15" s="14">
        <v>0.08</v>
      </c>
      <c r="G15" s="14">
        <v>0.04</v>
      </c>
      <c r="H15" s="14">
        <v>0.05</v>
      </c>
      <c r="I15" s="14">
        <v>0.05</v>
      </c>
      <c r="J15" s="14">
        <v>0.06</v>
      </c>
      <c r="K15" s="14">
        <v>0.06</v>
      </c>
      <c r="L15" s="14">
        <v>0.08</v>
      </c>
      <c r="M15" s="14">
        <v>0.1</v>
      </c>
      <c r="N15" s="14">
        <v>0.04</v>
      </c>
      <c r="O15" s="14">
        <v>0.02</v>
      </c>
      <c r="P15" s="14">
        <v>0.04</v>
      </c>
      <c r="Q15" s="14">
        <v>0.06</v>
      </c>
      <c r="R15" s="14">
        <v>0.06</v>
      </c>
      <c r="S15" s="14">
        <v>0.04</v>
      </c>
      <c r="T15" s="14">
        <v>0.06</v>
      </c>
      <c r="U15" s="14">
        <v>0.06</v>
      </c>
      <c r="V15" s="14">
        <v>0.06</v>
      </c>
      <c r="W15" s="14">
        <v>0.1</v>
      </c>
      <c r="X15" s="14">
        <v>0.09</v>
      </c>
      <c r="Y15" s="14">
        <v>0.09</v>
      </c>
      <c r="Z15" s="14">
        <v>0.04</v>
      </c>
      <c r="AA15" s="14">
        <v>0.06</v>
      </c>
      <c r="AB15" s="14">
        <v>0.03</v>
      </c>
      <c r="AC15" s="14">
        <v>0.04</v>
      </c>
      <c r="AD15" s="14">
        <v>0.08</v>
      </c>
      <c r="AE15" s="14">
        <v>0.02</v>
      </c>
      <c r="AF15" s="14">
        <v>0.06</v>
      </c>
    </row>
    <row r="16" spans="1:32" x14ac:dyDescent="0.35">
      <c r="A16" s="31"/>
      <c r="B16" s="11" t="s">
        <v>679</v>
      </c>
      <c r="C16" s="12">
        <v>961</v>
      </c>
      <c r="D16" s="12">
        <v>27</v>
      </c>
      <c r="E16" s="12">
        <v>40</v>
      </c>
      <c r="F16" s="12">
        <v>40</v>
      </c>
      <c r="G16" s="12">
        <v>36</v>
      </c>
      <c r="H16" s="12">
        <v>37</v>
      </c>
      <c r="I16" s="12">
        <v>46</v>
      </c>
      <c r="J16" s="12">
        <v>8</v>
      </c>
      <c r="K16" s="12">
        <v>64</v>
      </c>
      <c r="L16" s="12">
        <v>89</v>
      </c>
      <c r="M16" s="12">
        <v>76</v>
      </c>
      <c r="N16" s="12">
        <v>32</v>
      </c>
      <c r="O16" s="12">
        <v>13</v>
      </c>
      <c r="P16" s="12">
        <v>52</v>
      </c>
      <c r="Q16" s="12">
        <v>47</v>
      </c>
      <c r="R16" s="12">
        <v>16</v>
      </c>
      <c r="S16" s="12">
        <v>31</v>
      </c>
      <c r="T16" s="12">
        <v>46</v>
      </c>
      <c r="U16" s="12">
        <v>7</v>
      </c>
      <c r="V16" s="12">
        <v>55</v>
      </c>
      <c r="W16" s="12">
        <v>95</v>
      </c>
      <c r="X16" s="12">
        <v>60</v>
      </c>
      <c r="Y16" s="12">
        <v>58</v>
      </c>
      <c r="Z16" s="12">
        <v>40</v>
      </c>
      <c r="AA16" s="12">
        <v>38</v>
      </c>
      <c r="AB16" s="12">
        <v>26</v>
      </c>
      <c r="AC16" s="12">
        <v>17</v>
      </c>
      <c r="AD16" s="12">
        <v>93</v>
      </c>
      <c r="AE16" s="12">
        <v>29</v>
      </c>
      <c r="AF16" s="12">
        <v>46</v>
      </c>
    </row>
    <row r="17" spans="1:32" x14ac:dyDescent="0.35">
      <c r="A17" s="31"/>
      <c r="B17" s="13" t="s">
        <v>680</v>
      </c>
      <c r="C17" s="14">
        <v>0.04</v>
      </c>
      <c r="D17" s="14">
        <v>0.03</v>
      </c>
      <c r="E17" s="14">
        <v>0.04</v>
      </c>
      <c r="F17" s="14">
        <v>0.04</v>
      </c>
      <c r="G17" s="14">
        <v>0.04</v>
      </c>
      <c r="H17" s="14">
        <v>0.03</v>
      </c>
      <c r="I17" s="14">
        <v>0.03</v>
      </c>
      <c r="J17" s="14">
        <v>0.03</v>
      </c>
      <c r="K17" s="14">
        <v>0.06</v>
      </c>
      <c r="L17" s="14">
        <v>0.09</v>
      </c>
      <c r="M17" s="14">
        <v>0.08</v>
      </c>
      <c r="N17" s="14">
        <v>0.03</v>
      </c>
      <c r="O17" s="14">
        <v>0.01</v>
      </c>
      <c r="P17" s="14">
        <v>0.05</v>
      </c>
      <c r="Q17" s="14">
        <v>0.04</v>
      </c>
      <c r="R17" s="14">
        <v>0.03</v>
      </c>
      <c r="S17" s="14">
        <v>0.03</v>
      </c>
      <c r="T17" s="14">
        <v>0.05</v>
      </c>
      <c r="U17" s="14">
        <v>0.02</v>
      </c>
      <c r="V17" s="14">
        <v>0.06</v>
      </c>
      <c r="W17" s="14">
        <v>0.19</v>
      </c>
      <c r="X17" s="14">
        <v>0.06</v>
      </c>
      <c r="Y17" s="14">
        <v>0.06</v>
      </c>
      <c r="Z17" s="14">
        <v>0.04</v>
      </c>
      <c r="AA17" s="14">
        <v>0.04</v>
      </c>
      <c r="AB17" s="14">
        <v>0.03</v>
      </c>
      <c r="AC17" s="14">
        <v>0.02</v>
      </c>
      <c r="AD17" s="14">
        <v>0.09</v>
      </c>
      <c r="AE17" s="14">
        <v>0.03</v>
      </c>
      <c r="AF17" s="14">
        <v>0.04</v>
      </c>
    </row>
    <row r="18" spans="1:32" x14ac:dyDescent="0.35">
      <c r="A18" s="31"/>
      <c r="B18" s="11" t="s">
        <v>681</v>
      </c>
      <c r="C18" s="12">
        <v>997</v>
      </c>
      <c r="D18" s="12">
        <v>20</v>
      </c>
      <c r="E18" s="12">
        <v>40</v>
      </c>
      <c r="F18" s="12">
        <v>58</v>
      </c>
      <c r="G18" s="12">
        <v>57</v>
      </c>
      <c r="H18" s="12">
        <v>37</v>
      </c>
      <c r="I18" s="12">
        <v>49</v>
      </c>
      <c r="J18" s="12">
        <v>11</v>
      </c>
      <c r="K18" s="12">
        <v>66</v>
      </c>
      <c r="L18" s="12">
        <v>61</v>
      </c>
      <c r="M18" s="12">
        <v>62</v>
      </c>
      <c r="N18" s="12">
        <v>41</v>
      </c>
      <c r="O18" s="12">
        <v>18</v>
      </c>
      <c r="P18" s="12">
        <v>30</v>
      </c>
      <c r="Q18" s="12">
        <v>39</v>
      </c>
      <c r="R18" s="12">
        <v>29</v>
      </c>
      <c r="S18" s="12">
        <v>34</v>
      </c>
      <c r="T18" s="12">
        <v>52</v>
      </c>
      <c r="U18" s="12">
        <v>2</v>
      </c>
      <c r="V18" s="12">
        <v>63</v>
      </c>
      <c r="W18" s="12">
        <v>12</v>
      </c>
      <c r="X18" s="12">
        <v>32</v>
      </c>
      <c r="Y18" s="12">
        <v>93</v>
      </c>
      <c r="Z18" s="12">
        <v>32</v>
      </c>
      <c r="AA18" s="12">
        <v>20</v>
      </c>
      <c r="AB18" s="12">
        <v>68</v>
      </c>
      <c r="AC18" s="12">
        <v>24</v>
      </c>
      <c r="AD18" s="12">
        <v>64</v>
      </c>
      <c r="AE18" s="12">
        <v>48</v>
      </c>
      <c r="AF18" s="12">
        <v>58</v>
      </c>
    </row>
    <row r="19" spans="1:32" x14ac:dyDescent="0.35">
      <c r="A19" s="31"/>
      <c r="B19" s="13" t="s">
        <v>682</v>
      </c>
      <c r="C19" s="14">
        <v>0.04</v>
      </c>
      <c r="D19" s="14">
        <v>0.02</v>
      </c>
      <c r="E19" s="14">
        <v>0.04</v>
      </c>
      <c r="F19" s="14">
        <v>0.06</v>
      </c>
      <c r="G19" s="14">
        <v>0.06</v>
      </c>
      <c r="H19" s="14">
        <v>0.03</v>
      </c>
      <c r="I19" s="14">
        <v>0.03</v>
      </c>
      <c r="J19" s="14">
        <v>0.04</v>
      </c>
      <c r="K19" s="14">
        <v>7.0000000000000007E-2</v>
      </c>
      <c r="L19" s="14">
        <v>0.06</v>
      </c>
      <c r="M19" s="14">
        <v>0.06</v>
      </c>
      <c r="N19" s="14">
        <v>0.04</v>
      </c>
      <c r="O19" s="14">
        <v>0.02</v>
      </c>
      <c r="P19" s="14">
        <v>0.03</v>
      </c>
      <c r="Q19" s="14">
        <v>0.04</v>
      </c>
      <c r="R19" s="14">
        <v>0.06</v>
      </c>
      <c r="S19" s="14">
        <v>0.03</v>
      </c>
      <c r="T19" s="14">
        <v>0.05</v>
      </c>
      <c r="U19" s="15" t="s">
        <v>333</v>
      </c>
      <c r="V19" s="14">
        <v>0.06</v>
      </c>
      <c r="W19" s="14">
        <v>0.02</v>
      </c>
      <c r="X19" s="14">
        <v>0.03</v>
      </c>
      <c r="Y19" s="14">
        <v>0.09</v>
      </c>
      <c r="Z19" s="14">
        <v>0.03</v>
      </c>
      <c r="AA19" s="14">
        <v>0.02</v>
      </c>
      <c r="AB19" s="14">
        <v>0.06</v>
      </c>
      <c r="AC19" s="14">
        <v>0.02</v>
      </c>
      <c r="AD19" s="14">
        <v>0.06</v>
      </c>
      <c r="AE19" s="14">
        <v>0.05</v>
      </c>
      <c r="AF19" s="14">
        <v>0.06</v>
      </c>
    </row>
    <row r="20" spans="1:32" x14ac:dyDescent="0.35">
      <c r="A20" s="31"/>
      <c r="B20" s="11" t="s">
        <v>683</v>
      </c>
      <c r="C20" s="12">
        <v>3666</v>
      </c>
      <c r="D20" s="12">
        <v>131</v>
      </c>
      <c r="E20" s="12">
        <v>181</v>
      </c>
      <c r="F20" s="12">
        <v>234</v>
      </c>
      <c r="G20" s="12">
        <v>174</v>
      </c>
      <c r="H20" s="12">
        <v>218</v>
      </c>
      <c r="I20" s="12">
        <v>286</v>
      </c>
      <c r="J20" s="12">
        <v>69</v>
      </c>
      <c r="K20" s="12">
        <v>207</v>
      </c>
      <c r="L20" s="12">
        <v>169</v>
      </c>
      <c r="M20" s="12">
        <v>134</v>
      </c>
      <c r="N20" s="12">
        <v>136</v>
      </c>
      <c r="O20" s="12">
        <v>77</v>
      </c>
      <c r="P20" s="12">
        <v>122</v>
      </c>
      <c r="Q20" s="12">
        <v>156</v>
      </c>
      <c r="R20" s="12">
        <v>38</v>
      </c>
      <c r="S20" s="12">
        <v>109</v>
      </c>
      <c r="T20" s="12">
        <v>120</v>
      </c>
      <c r="U20" s="12">
        <v>43</v>
      </c>
      <c r="V20" s="12">
        <v>124</v>
      </c>
      <c r="W20" s="12">
        <v>23</v>
      </c>
      <c r="X20" s="12">
        <v>138</v>
      </c>
      <c r="Y20" s="12">
        <v>139</v>
      </c>
      <c r="Z20" s="12">
        <v>92</v>
      </c>
      <c r="AA20" s="12">
        <v>63</v>
      </c>
      <c r="AB20" s="12">
        <v>157</v>
      </c>
      <c r="AC20" s="12">
        <v>147</v>
      </c>
      <c r="AD20" s="12">
        <v>161</v>
      </c>
      <c r="AE20" s="12">
        <v>194</v>
      </c>
      <c r="AF20" s="12">
        <v>195</v>
      </c>
    </row>
    <row r="21" spans="1:32" x14ac:dyDescent="0.35">
      <c r="A21" s="31"/>
      <c r="B21" s="13" t="s">
        <v>684</v>
      </c>
      <c r="C21" s="14">
        <v>0.14000000000000001</v>
      </c>
      <c r="D21" s="14">
        <v>0.13</v>
      </c>
      <c r="E21" s="14">
        <v>0.17</v>
      </c>
      <c r="F21" s="14">
        <v>0.23</v>
      </c>
      <c r="G21" s="14">
        <v>0.17</v>
      </c>
      <c r="H21" s="14">
        <v>0.18</v>
      </c>
      <c r="I21" s="14">
        <v>0.19</v>
      </c>
      <c r="J21" s="14">
        <v>0.23</v>
      </c>
      <c r="K21" s="14">
        <v>0.2</v>
      </c>
      <c r="L21" s="14">
        <v>0.17</v>
      </c>
      <c r="M21" s="14">
        <v>0.13</v>
      </c>
      <c r="N21" s="14">
        <v>0.14000000000000001</v>
      </c>
      <c r="O21" s="14">
        <v>0.08</v>
      </c>
      <c r="P21" s="14">
        <v>0.12</v>
      </c>
      <c r="Q21" s="14">
        <v>0.15</v>
      </c>
      <c r="R21" s="14">
        <v>0.08</v>
      </c>
      <c r="S21" s="14">
        <v>0.11</v>
      </c>
      <c r="T21" s="14">
        <v>0.12</v>
      </c>
      <c r="U21" s="14">
        <v>0.08</v>
      </c>
      <c r="V21" s="14">
        <v>0.12</v>
      </c>
      <c r="W21" s="14">
        <v>0.05</v>
      </c>
      <c r="X21" s="14">
        <v>0.14000000000000001</v>
      </c>
      <c r="Y21" s="14">
        <v>0.14000000000000001</v>
      </c>
      <c r="Z21" s="14">
        <v>0.09</v>
      </c>
      <c r="AA21" s="14">
        <v>0.06</v>
      </c>
      <c r="AB21" s="14">
        <v>0.15</v>
      </c>
      <c r="AC21" s="14">
        <v>0.15</v>
      </c>
      <c r="AD21" s="14">
        <v>0.16</v>
      </c>
      <c r="AE21" s="14">
        <v>0.19</v>
      </c>
      <c r="AF21" s="14">
        <v>0.19</v>
      </c>
    </row>
    <row r="22" spans="1:32" x14ac:dyDescent="0.35">
      <c r="A22" s="31"/>
      <c r="B22" s="11" t="s">
        <v>685</v>
      </c>
      <c r="C22" s="12">
        <v>13241</v>
      </c>
      <c r="D22" s="12">
        <v>428</v>
      </c>
      <c r="E22" s="12">
        <v>515</v>
      </c>
      <c r="F22" s="12">
        <v>399</v>
      </c>
      <c r="G22" s="12">
        <v>490</v>
      </c>
      <c r="H22" s="12">
        <v>607</v>
      </c>
      <c r="I22" s="12">
        <v>754</v>
      </c>
      <c r="J22" s="12">
        <v>147</v>
      </c>
      <c r="K22" s="12">
        <v>340</v>
      </c>
      <c r="L22" s="12">
        <v>359</v>
      </c>
      <c r="M22" s="12">
        <v>433</v>
      </c>
      <c r="N22" s="12">
        <v>453</v>
      </c>
      <c r="O22" s="12">
        <v>686</v>
      </c>
      <c r="P22" s="12">
        <v>407</v>
      </c>
      <c r="Q22" s="12">
        <v>505</v>
      </c>
      <c r="R22" s="12">
        <v>192</v>
      </c>
      <c r="S22" s="12">
        <v>475</v>
      </c>
      <c r="T22" s="12">
        <v>500</v>
      </c>
      <c r="U22" s="12">
        <v>214</v>
      </c>
      <c r="V22" s="12">
        <v>414</v>
      </c>
      <c r="W22" s="12">
        <v>80</v>
      </c>
      <c r="X22" s="12">
        <v>329</v>
      </c>
      <c r="Y22" s="12">
        <v>397</v>
      </c>
      <c r="Z22" s="12">
        <v>669</v>
      </c>
      <c r="AA22" s="12">
        <v>460</v>
      </c>
      <c r="AB22" s="12">
        <v>353</v>
      </c>
      <c r="AC22" s="12">
        <v>518</v>
      </c>
      <c r="AD22" s="12">
        <v>409</v>
      </c>
      <c r="AE22" s="12">
        <v>540</v>
      </c>
      <c r="AF22" s="12">
        <v>489</v>
      </c>
    </row>
    <row r="23" spans="1:32" x14ac:dyDescent="0.35">
      <c r="A23" s="31"/>
      <c r="B23" s="13" t="s">
        <v>686</v>
      </c>
      <c r="C23" s="14">
        <v>0.5</v>
      </c>
      <c r="D23" s="14">
        <v>0.42</v>
      </c>
      <c r="E23" s="14">
        <v>0.5</v>
      </c>
      <c r="F23" s="14">
        <v>0.39</v>
      </c>
      <c r="G23" s="14">
        <v>0.48</v>
      </c>
      <c r="H23" s="14">
        <v>0.49</v>
      </c>
      <c r="I23" s="14">
        <v>0.49</v>
      </c>
      <c r="J23" s="14">
        <v>0.49</v>
      </c>
      <c r="K23" s="14">
        <v>0.34</v>
      </c>
      <c r="L23" s="14">
        <v>0.36</v>
      </c>
      <c r="M23" s="14">
        <v>0.43</v>
      </c>
      <c r="N23" s="14">
        <v>0.45</v>
      </c>
      <c r="O23" s="14">
        <v>0.69000000000000006</v>
      </c>
      <c r="P23" s="14">
        <v>0.41</v>
      </c>
      <c r="Q23" s="14">
        <v>0.49</v>
      </c>
      <c r="R23" s="14">
        <v>0.38</v>
      </c>
      <c r="S23" s="14">
        <v>0.47</v>
      </c>
      <c r="T23" s="14">
        <v>0.49</v>
      </c>
      <c r="U23" s="14">
        <v>0.42</v>
      </c>
      <c r="V23" s="14">
        <v>0.41</v>
      </c>
      <c r="W23" s="14">
        <v>0.16</v>
      </c>
      <c r="X23" s="14">
        <v>0.33</v>
      </c>
      <c r="Y23" s="14">
        <v>0.4</v>
      </c>
      <c r="Z23" s="14">
        <v>0.66</v>
      </c>
      <c r="AA23" s="14">
        <v>0.45</v>
      </c>
      <c r="AB23" s="14">
        <v>0.33</v>
      </c>
      <c r="AC23" s="14">
        <v>0.51</v>
      </c>
      <c r="AD23" s="14">
        <v>0.41</v>
      </c>
      <c r="AE23" s="14">
        <v>0.54</v>
      </c>
      <c r="AF23" s="14">
        <v>0.48</v>
      </c>
    </row>
    <row r="24" spans="1:32" ht="21.5" x14ac:dyDescent="0.35">
      <c r="A24" s="31"/>
      <c r="B24" s="11" t="s">
        <v>1240</v>
      </c>
      <c r="C24" s="12">
        <v>288</v>
      </c>
      <c r="D24" s="12">
        <v>26</v>
      </c>
      <c r="E24" s="12">
        <v>20</v>
      </c>
      <c r="F24" s="12">
        <v>16</v>
      </c>
      <c r="G24" s="12">
        <v>0</v>
      </c>
      <c r="H24" s="12">
        <v>7</v>
      </c>
      <c r="I24" s="12">
        <v>10</v>
      </c>
      <c r="J24" s="12">
        <v>3</v>
      </c>
      <c r="K24" s="12">
        <v>5</v>
      </c>
      <c r="L24" s="12">
        <v>1</v>
      </c>
      <c r="M24" s="12">
        <v>33</v>
      </c>
      <c r="N24" s="12">
        <v>16</v>
      </c>
      <c r="O24" s="12">
        <v>2</v>
      </c>
      <c r="P24" s="12">
        <v>14</v>
      </c>
      <c r="Q24" s="12">
        <v>20</v>
      </c>
      <c r="R24" s="12">
        <v>2</v>
      </c>
      <c r="S24" s="12">
        <v>6</v>
      </c>
      <c r="T24" s="12">
        <v>3</v>
      </c>
      <c r="U24" s="12">
        <v>1</v>
      </c>
      <c r="V24" s="12">
        <v>3</v>
      </c>
      <c r="W24" s="12">
        <v>19</v>
      </c>
      <c r="X24" s="12">
        <v>1</v>
      </c>
      <c r="Y24" s="12">
        <v>26</v>
      </c>
      <c r="Z24" s="12">
        <v>4</v>
      </c>
      <c r="AA24" s="12">
        <v>13</v>
      </c>
      <c r="AB24" s="12">
        <v>34</v>
      </c>
      <c r="AC24" s="12">
        <v>1</v>
      </c>
      <c r="AD24" s="12">
        <v>1</v>
      </c>
      <c r="AE24" s="12">
        <v>0</v>
      </c>
      <c r="AF24" s="12">
        <v>1</v>
      </c>
    </row>
    <row r="25" spans="1:32" ht="21.5" x14ac:dyDescent="0.35">
      <c r="A25" s="31"/>
      <c r="B25" s="13" t="s">
        <v>1241</v>
      </c>
      <c r="C25" s="14">
        <v>0.01</v>
      </c>
      <c r="D25" s="14">
        <v>0.02</v>
      </c>
      <c r="E25" s="14">
        <v>0.02</v>
      </c>
      <c r="F25" s="14">
        <v>0.02</v>
      </c>
      <c r="G25" s="15" t="s">
        <v>333</v>
      </c>
      <c r="H25" s="15" t="s">
        <v>333</v>
      </c>
      <c r="I25" s="14">
        <v>0.01</v>
      </c>
      <c r="J25" s="14">
        <v>0.01</v>
      </c>
      <c r="K25" s="15" t="s">
        <v>333</v>
      </c>
      <c r="L25" s="15" t="s">
        <v>333</v>
      </c>
      <c r="M25" s="14">
        <v>0.03</v>
      </c>
      <c r="N25" s="14">
        <v>0.02</v>
      </c>
      <c r="O25" s="15" t="s">
        <v>333</v>
      </c>
      <c r="P25" s="14">
        <v>0.02</v>
      </c>
      <c r="Q25" s="14">
        <v>0.02</v>
      </c>
      <c r="R25" s="15" t="s">
        <v>333</v>
      </c>
      <c r="S25" s="14">
        <v>0.01</v>
      </c>
      <c r="T25" s="15" t="s">
        <v>333</v>
      </c>
      <c r="U25" s="15" t="s">
        <v>333</v>
      </c>
      <c r="V25" s="15" t="s">
        <v>333</v>
      </c>
      <c r="W25" s="14">
        <v>0.04</v>
      </c>
      <c r="X25" s="15" t="s">
        <v>333</v>
      </c>
      <c r="Y25" s="14">
        <v>0.02</v>
      </c>
      <c r="Z25" s="15" t="s">
        <v>333</v>
      </c>
      <c r="AA25" s="14">
        <v>0.01</v>
      </c>
      <c r="AB25" s="14">
        <v>0.03</v>
      </c>
      <c r="AC25" s="15" t="s">
        <v>333</v>
      </c>
      <c r="AD25" s="15" t="s">
        <v>333</v>
      </c>
      <c r="AE25" s="15" t="s">
        <v>333</v>
      </c>
      <c r="AF25" s="15" t="s">
        <v>333</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261</v>
      </c>
      <c r="C3" s="30"/>
      <c r="D3" s="30"/>
      <c r="E3" s="30"/>
      <c r="F3" s="30"/>
      <c r="H3" s="30" t="s">
        <v>262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1254</v>
      </c>
      <c r="C12" s="12">
        <v>22454</v>
      </c>
      <c r="D12" s="12">
        <v>924</v>
      </c>
      <c r="E12" s="12">
        <v>863</v>
      </c>
      <c r="F12" s="12">
        <v>823</v>
      </c>
      <c r="G12" s="12">
        <v>976</v>
      </c>
      <c r="H12" s="12">
        <v>1053</v>
      </c>
      <c r="I12" s="12">
        <v>1307</v>
      </c>
      <c r="J12" s="12">
        <v>254</v>
      </c>
      <c r="K12" s="12">
        <v>887</v>
      </c>
      <c r="L12" s="12">
        <v>897</v>
      </c>
      <c r="M12" s="12">
        <v>799</v>
      </c>
      <c r="N12" s="12">
        <v>873</v>
      </c>
      <c r="O12" s="12">
        <v>842</v>
      </c>
      <c r="P12" s="12">
        <v>842</v>
      </c>
      <c r="Q12" s="12">
        <v>859</v>
      </c>
      <c r="R12" s="12">
        <v>417</v>
      </c>
      <c r="S12" s="12">
        <v>910</v>
      </c>
      <c r="T12" s="12">
        <v>858</v>
      </c>
      <c r="U12" s="12">
        <v>474</v>
      </c>
      <c r="V12" s="12">
        <v>825</v>
      </c>
      <c r="W12" s="12">
        <v>454</v>
      </c>
      <c r="X12" s="12">
        <v>988</v>
      </c>
      <c r="Y12" s="12">
        <v>860</v>
      </c>
      <c r="Z12" s="12">
        <v>801</v>
      </c>
      <c r="AA12" s="12">
        <v>806</v>
      </c>
      <c r="AB12" s="12">
        <v>854</v>
      </c>
      <c r="AC12" s="12">
        <v>850</v>
      </c>
      <c r="AD12" s="12">
        <v>857</v>
      </c>
      <c r="AE12" s="12">
        <v>927</v>
      </c>
      <c r="AF12" s="12">
        <v>995</v>
      </c>
    </row>
    <row r="13" spans="1:32" x14ac:dyDescent="0.35">
      <c r="A13" s="31"/>
      <c r="B13" s="13" t="s">
        <v>1255</v>
      </c>
      <c r="C13" s="14">
        <v>0.85</v>
      </c>
      <c r="D13" s="14">
        <v>0.9</v>
      </c>
      <c r="E13" s="14">
        <v>0.83000000000000007</v>
      </c>
      <c r="F13" s="14">
        <v>0.81</v>
      </c>
      <c r="G13" s="14">
        <v>0.96</v>
      </c>
      <c r="H13" s="14">
        <v>0.86</v>
      </c>
      <c r="I13" s="14">
        <v>0.86</v>
      </c>
      <c r="J13" s="14">
        <v>0.85</v>
      </c>
      <c r="K13" s="14">
        <v>0.88</v>
      </c>
      <c r="L13" s="14">
        <v>0.89</v>
      </c>
      <c r="M13" s="14">
        <v>0.8</v>
      </c>
      <c r="N13" s="14">
        <v>0.87</v>
      </c>
      <c r="O13" s="14">
        <v>0.84</v>
      </c>
      <c r="P13" s="14">
        <v>0.84</v>
      </c>
      <c r="Q13" s="14">
        <v>0.83000000000000007</v>
      </c>
      <c r="R13" s="14">
        <v>0.83000000000000007</v>
      </c>
      <c r="S13" s="14">
        <v>0.89</v>
      </c>
      <c r="T13" s="14">
        <v>0.84</v>
      </c>
      <c r="U13" s="14">
        <v>0.93</v>
      </c>
      <c r="V13" s="14">
        <v>0.81</v>
      </c>
      <c r="W13" s="14">
        <v>0.91</v>
      </c>
      <c r="X13" s="14">
        <v>0.98</v>
      </c>
      <c r="Y13" s="14">
        <v>0.86</v>
      </c>
      <c r="Z13" s="14">
        <v>0.79</v>
      </c>
      <c r="AA13" s="14">
        <v>0.78</v>
      </c>
      <c r="AB13" s="14">
        <v>0.81</v>
      </c>
      <c r="AC13" s="14">
        <v>0.84</v>
      </c>
      <c r="AD13" s="14">
        <v>0.86</v>
      </c>
      <c r="AE13" s="14">
        <v>0.92</v>
      </c>
      <c r="AF13" s="14">
        <v>0.98</v>
      </c>
    </row>
    <row r="14" spans="1:32" x14ac:dyDescent="0.35">
      <c r="A14" s="31"/>
      <c r="B14" s="11" t="s">
        <v>1256</v>
      </c>
      <c r="C14" s="12">
        <v>1920</v>
      </c>
      <c r="D14" s="12">
        <v>52</v>
      </c>
      <c r="E14" s="12">
        <v>66</v>
      </c>
      <c r="F14" s="12">
        <v>101</v>
      </c>
      <c r="G14" s="12">
        <v>28</v>
      </c>
      <c r="H14" s="12">
        <v>99</v>
      </c>
      <c r="I14" s="12">
        <v>123</v>
      </c>
      <c r="J14" s="12">
        <v>24</v>
      </c>
      <c r="K14" s="12">
        <v>55</v>
      </c>
      <c r="L14" s="12">
        <v>62</v>
      </c>
      <c r="M14" s="12">
        <v>80</v>
      </c>
      <c r="N14" s="12">
        <v>46</v>
      </c>
      <c r="O14" s="12">
        <v>105</v>
      </c>
      <c r="P14" s="12">
        <v>66</v>
      </c>
      <c r="Q14" s="12">
        <v>108</v>
      </c>
      <c r="R14" s="12">
        <v>32</v>
      </c>
      <c r="S14" s="12">
        <v>18</v>
      </c>
      <c r="T14" s="12">
        <v>31</v>
      </c>
      <c r="U14" s="12">
        <v>24</v>
      </c>
      <c r="V14" s="12">
        <v>71</v>
      </c>
      <c r="W14" s="12">
        <v>6</v>
      </c>
      <c r="X14" s="12">
        <v>20</v>
      </c>
      <c r="Y14" s="12">
        <v>75</v>
      </c>
      <c r="Z14" s="12">
        <v>56</v>
      </c>
      <c r="AA14" s="12">
        <v>64</v>
      </c>
      <c r="AB14" s="12">
        <v>67</v>
      </c>
      <c r="AC14" s="12">
        <v>68</v>
      </c>
      <c r="AD14" s="12">
        <v>63</v>
      </c>
      <c r="AE14" s="12">
        <v>35</v>
      </c>
      <c r="AF14" s="12">
        <v>14</v>
      </c>
    </row>
    <row r="15" spans="1:32" x14ac:dyDescent="0.35">
      <c r="A15" s="31"/>
      <c r="B15" s="13" t="s">
        <v>1257</v>
      </c>
      <c r="C15" s="14">
        <v>7.0000000000000007E-2</v>
      </c>
      <c r="D15" s="14">
        <v>0.05</v>
      </c>
      <c r="E15" s="14">
        <v>7.0000000000000007E-2</v>
      </c>
      <c r="F15" s="14">
        <v>0.1</v>
      </c>
      <c r="G15" s="14">
        <v>0.03</v>
      </c>
      <c r="H15" s="14">
        <v>0.08</v>
      </c>
      <c r="I15" s="14">
        <v>0.08</v>
      </c>
      <c r="J15" s="14">
        <v>0.08</v>
      </c>
      <c r="K15" s="14">
        <v>0.06</v>
      </c>
      <c r="L15" s="14">
        <v>0.06</v>
      </c>
      <c r="M15" s="14">
        <v>0.08</v>
      </c>
      <c r="N15" s="14">
        <v>0.05</v>
      </c>
      <c r="O15" s="14">
        <v>0.11</v>
      </c>
      <c r="P15" s="14">
        <v>0.06</v>
      </c>
      <c r="Q15" s="14">
        <v>0.1</v>
      </c>
      <c r="R15" s="14">
        <v>7.0000000000000007E-2</v>
      </c>
      <c r="S15" s="14">
        <v>0.02</v>
      </c>
      <c r="T15" s="14">
        <v>0.03</v>
      </c>
      <c r="U15" s="14">
        <v>0.05</v>
      </c>
      <c r="V15" s="14">
        <v>7.0000000000000007E-2</v>
      </c>
      <c r="W15" s="14">
        <v>0.01</v>
      </c>
      <c r="X15" s="14">
        <v>0.02</v>
      </c>
      <c r="Y15" s="14">
        <v>7.0000000000000007E-2</v>
      </c>
      <c r="Z15" s="14">
        <v>0.05</v>
      </c>
      <c r="AA15" s="14">
        <v>0.06</v>
      </c>
      <c r="AB15" s="14">
        <v>0.06</v>
      </c>
      <c r="AC15" s="14">
        <v>7.0000000000000007E-2</v>
      </c>
      <c r="AD15" s="14">
        <v>0.06</v>
      </c>
      <c r="AE15" s="14">
        <v>0.04</v>
      </c>
      <c r="AF15" s="14">
        <v>0.01</v>
      </c>
    </row>
    <row r="16" spans="1:32" x14ac:dyDescent="0.35">
      <c r="A16" s="31"/>
      <c r="B16" s="11" t="s">
        <v>685</v>
      </c>
      <c r="C16" s="12">
        <v>1906</v>
      </c>
      <c r="D16" s="12">
        <v>48</v>
      </c>
      <c r="E16" s="12">
        <v>97</v>
      </c>
      <c r="F16" s="12">
        <v>79</v>
      </c>
      <c r="G16" s="12">
        <v>13</v>
      </c>
      <c r="H16" s="12">
        <v>78</v>
      </c>
      <c r="I16" s="12">
        <v>98</v>
      </c>
      <c r="J16" s="12">
        <v>19</v>
      </c>
      <c r="K16" s="12">
        <v>64</v>
      </c>
      <c r="L16" s="12">
        <v>45</v>
      </c>
      <c r="M16" s="12">
        <v>112</v>
      </c>
      <c r="N16" s="12">
        <v>69</v>
      </c>
      <c r="O16" s="12">
        <v>53</v>
      </c>
      <c r="P16" s="12">
        <v>87</v>
      </c>
      <c r="Q16" s="12">
        <v>62</v>
      </c>
      <c r="R16" s="12">
        <v>51</v>
      </c>
      <c r="S16" s="12">
        <v>89</v>
      </c>
      <c r="T16" s="12">
        <v>127</v>
      </c>
      <c r="U16" s="12">
        <v>11</v>
      </c>
      <c r="V16" s="12">
        <v>118</v>
      </c>
      <c r="W16" s="12">
        <v>40</v>
      </c>
      <c r="X16" s="12">
        <v>2</v>
      </c>
      <c r="Y16" s="12">
        <v>66</v>
      </c>
      <c r="Z16" s="12">
        <v>161</v>
      </c>
      <c r="AA16" s="12">
        <v>148</v>
      </c>
      <c r="AB16" s="12">
        <v>104</v>
      </c>
      <c r="AC16" s="12">
        <v>95</v>
      </c>
      <c r="AD16" s="12">
        <v>84</v>
      </c>
      <c r="AE16" s="12">
        <v>44</v>
      </c>
      <c r="AF16" s="12">
        <v>11</v>
      </c>
    </row>
    <row r="17" spans="1:32" x14ac:dyDescent="0.35">
      <c r="A17" s="31"/>
      <c r="B17" s="13" t="s">
        <v>686</v>
      </c>
      <c r="C17" s="14">
        <v>7.0000000000000007E-2</v>
      </c>
      <c r="D17" s="14">
        <v>0.05</v>
      </c>
      <c r="E17" s="14">
        <v>0.09</v>
      </c>
      <c r="F17" s="14">
        <v>0.08</v>
      </c>
      <c r="G17" s="14">
        <v>0.01</v>
      </c>
      <c r="H17" s="14">
        <v>0.06</v>
      </c>
      <c r="I17" s="14">
        <v>0.06</v>
      </c>
      <c r="J17" s="14">
        <v>7.0000000000000007E-2</v>
      </c>
      <c r="K17" s="14">
        <v>0.06</v>
      </c>
      <c r="L17" s="14">
        <v>0.05</v>
      </c>
      <c r="M17" s="14">
        <v>0.11</v>
      </c>
      <c r="N17" s="14">
        <v>7.0000000000000007E-2</v>
      </c>
      <c r="O17" s="14">
        <v>0.05</v>
      </c>
      <c r="P17" s="14">
        <v>0.09</v>
      </c>
      <c r="Q17" s="14">
        <v>0.06</v>
      </c>
      <c r="R17" s="14">
        <v>0.1</v>
      </c>
      <c r="S17" s="14">
        <v>0.09</v>
      </c>
      <c r="T17" s="14">
        <v>0.13</v>
      </c>
      <c r="U17" s="14">
        <v>0.02</v>
      </c>
      <c r="V17" s="14">
        <v>0.12</v>
      </c>
      <c r="W17" s="14">
        <v>0.08</v>
      </c>
      <c r="X17" s="15" t="s">
        <v>333</v>
      </c>
      <c r="Y17" s="14">
        <v>7.0000000000000007E-2</v>
      </c>
      <c r="Z17" s="14">
        <v>0.16</v>
      </c>
      <c r="AA17" s="14">
        <v>0.15</v>
      </c>
      <c r="AB17" s="14">
        <v>0.1</v>
      </c>
      <c r="AC17" s="14">
        <v>0.09</v>
      </c>
      <c r="AD17" s="14">
        <v>0.08</v>
      </c>
      <c r="AE17" s="14">
        <v>0.04</v>
      </c>
      <c r="AF17" s="14">
        <v>0.01</v>
      </c>
    </row>
    <row r="18" spans="1:32" ht="21.5" x14ac:dyDescent="0.35">
      <c r="A18" s="31"/>
      <c r="B18" s="11" t="s">
        <v>1258</v>
      </c>
      <c r="C18" s="12">
        <v>130</v>
      </c>
      <c r="D18" s="12">
        <v>1</v>
      </c>
      <c r="E18" s="12">
        <v>13</v>
      </c>
      <c r="F18" s="12">
        <v>15</v>
      </c>
      <c r="G18" s="12">
        <v>0</v>
      </c>
      <c r="H18" s="12">
        <v>2</v>
      </c>
      <c r="I18" s="12">
        <v>2</v>
      </c>
      <c r="J18" s="12">
        <v>0</v>
      </c>
      <c r="K18" s="12">
        <v>2</v>
      </c>
      <c r="L18" s="12">
        <v>0</v>
      </c>
      <c r="M18" s="12">
        <v>13</v>
      </c>
      <c r="N18" s="12">
        <v>12</v>
      </c>
      <c r="O18" s="12">
        <v>0</v>
      </c>
      <c r="P18" s="12">
        <v>9</v>
      </c>
      <c r="Q18" s="12">
        <v>6</v>
      </c>
      <c r="R18" s="12">
        <v>1</v>
      </c>
      <c r="S18" s="12">
        <v>4</v>
      </c>
      <c r="T18" s="12">
        <v>1</v>
      </c>
      <c r="U18" s="12">
        <v>0</v>
      </c>
      <c r="V18" s="12">
        <v>0</v>
      </c>
      <c r="W18" s="12">
        <v>1</v>
      </c>
      <c r="X18" s="12">
        <v>0</v>
      </c>
      <c r="Y18" s="12">
        <v>2</v>
      </c>
      <c r="Z18" s="12">
        <v>1</v>
      </c>
      <c r="AA18" s="12">
        <v>11</v>
      </c>
      <c r="AB18" s="12">
        <v>31</v>
      </c>
      <c r="AC18" s="12">
        <v>0</v>
      </c>
      <c r="AD18" s="12">
        <v>0</v>
      </c>
      <c r="AE18" s="12">
        <v>0</v>
      </c>
      <c r="AF18" s="12">
        <v>0</v>
      </c>
    </row>
    <row r="19" spans="1:32" ht="21.5" x14ac:dyDescent="0.35">
      <c r="A19" s="31"/>
      <c r="B19" s="13" t="s">
        <v>1259</v>
      </c>
      <c r="C19" s="14">
        <v>0.01</v>
      </c>
      <c r="D19" s="15" t="s">
        <v>333</v>
      </c>
      <c r="E19" s="14">
        <v>0.01</v>
      </c>
      <c r="F19" s="14">
        <v>0.01</v>
      </c>
      <c r="G19" s="15" t="s">
        <v>333</v>
      </c>
      <c r="H19" s="15" t="s">
        <v>333</v>
      </c>
      <c r="I19" s="15" t="s">
        <v>333</v>
      </c>
      <c r="J19" s="15" t="s">
        <v>333</v>
      </c>
      <c r="K19" s="15" t="s">
        <v>333</v>
      </c>
      <c r="L19" s="15" t="s">
        <v>333</v>
      </c>
      <c r="M19" s="14">
        <v>0.01</v>
      </c>
      <c r="N19" s="14">
        <v>0.01</v>
      </c>
      <c r="O19" s="15" t="s">
        <v>333</v>
      </c>
      <c r="P19" s="14">
        <v>0.01</v>
      </c>
      <c r="Q19" s="14">
        <v>0.01</v>
      </c>
      <c r="R19" s="15" t="s">
        <v>333</v>
      </c>
      <c r="S19" s="15" t="s">
        <v>333</v>
      </c>
      <c r="T19" s="15" t="s">
        <v>333</v>
      </c>
      <c r="U19" s="15" t="s">
        <v>333</v>
      </c>
      <c r="V19" s="15" t="s">
        <v>333</v>
      </c>
      <c r="W19" s="15" t="s">
        <v>333</v>
      </c>
      <c r="X19" s="15" t="s">
        <v>333</v>
      </c>
      <c r="Y19" s="15" t="s">
        <v>333</v>
      </c>
      <c r="Z19" s="15" t="s">
        <v>333</v>
      </c>
      <c r="AA19" s="14">
        <v>0.01</v>
      </c>
      <c r="AB19" s="14">
        <v>0.03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263</v>
      </c>
      <c r="C3" s="30"/>
      <c r="D3" s="30"/>
      <c r="E3" s="30"/>
      <c r="F3" s="30"/>
      <c r="H3" s="30" t="s">
        <v>264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1260</v>
      </c>
      <c r="C12" s="12">
        <v>5993</v>
      </c>
      <c r="D12" s="12">
        <v>138</v>
      </c>
      <c r="E12" s="12">
        <v>432</v>
      </c>
      <c r="F12" s="12">
        <v>181</v>
      </c>
      <c r="G12" s="12">
        <v>142</v>
      </c>
      <c r="H12" s="12">
        <v>220</v>
      </c>
      <c r="I12" s="12">
        <v>291</v>
      </c>
      <c r="J12" s="12">
        <v>71</v>
      </c>
      <c r="K12" s="12">
        <v>280</v>
      </c>
      <c r="L12" s="12">
        <v>397</v>
      </c>
      <c r="M12" s="12">
        <v>212</v>
      </c>
      <c r="N12" s="12">
        <v>363</v>
      </c>
      <c r="O12" s="12">
        <v>222</v>
      </c>
      <c r="P12" s="12">
        <v>287</v>
      </c>
      <c r="Q12" s="12">
        <v>133</v>
      </c>
      <c r="R12" s="12">
        <v>114</v>
      </c>
      <c r="S12" s="12">
        <v>384</v>
      </c>
      <c r="T12" s="12">
        <v>269</v>
      </c>
      <c r="U12" s="12">
        <v>46</v>
      </c>
      <c r="V12" s="12">
        <v>191</v>
      </c>
      <c r="W12" s="12">
        <v>110</v>
      </c>
      <c r="X12" s="12">
        <v>68</v>
      </c>
      <c r="Y12" s="12">
        <v>206</v>
      </c>
      <c r="Z12" s="12">
        <v>370</v>
      </c>
      <c r="AA12" s="12">
        <v>487</v>
      </c>
      <c r="AB12" s="12">
        <v>226</v>
      </c>
      <c r="AC12" s="12">
        <v>192</v>
      </c>
      <c r="AD12" s="12">
        <v>139</v>
      </c>
      <c r="AE12" s="12">
        <v>200</v>
      </c>
      <c r="AF12" s="12">
        <v>137</v>
      </c>
    </row>
    <row r="13" spans="1:32" x14ac:dyDescent="0.35">
      <c r="A13" s="31"/>
      <c r="B13" s="13" t="s">
        <v>1261</v>
      </c>
      <c r="C13" s="14">
        <v>0.23</v>
      </c>
      <c r="D13" s="14">
        <v>0.13</v>
      </c>
      <c r="E13" s="14">
        <v>0.41</v>
      </c>
      <c r="F13" s="14">
        <v>0.18</v>
      </c>
      <c r="G13" s="14">
        <v>0.14000000000000001</v>
      </c>
      <c r="H13" s="14">
        <v>0.18</v>
      </c>
      <c r="I13" s="14">
        <v>0.19</v>
      </c>
      <c r="J13" s="14">
        <v>0.24</v>
      </c>
      <c r="K13" s="14">
        <v>0.28000000000000003</v>
      </c>
      <c r="L13" s="14">
        <v>0.4</v>
      </c>
      <c r="M13" s="14">
        <v>0.21</v>
      </c>
      <c r="N13" s="14">
        <v>0.36</v>
      </c>
      <c r="O13" s="14">
        <v>0.22</v>
      </c>
      <c r="P13" s="14">
        <v>0.28999999999999998</v>
      </c>
      <c r="Q13" s="14">
        <v>0.13</v>
      </c>
      <c r="R13" s="14">
        <v>0.23</v>
      </c>
      <c r="S13" s="14">
        <v>0.38</v>
      </c>
      <c r="T13" s="14">
        <v>0.26</v>
      </c>
      <c r="U13" s="14">
        <v>0.09</v>
      </c>
      <c r="V13" s="14">
        <v>0.19</v>
      </c>
      <c r="W13" s="14">
        <v>0.22</v>
      </c>
      <c r="X13" s="14">
        <v>7.0000000000000007E-2</v>
      </c>
      <c r="Y13" s="14">
        <v>0.21</v>
      </c>
      <c r="Z13" s="14">
        <v>0.36</v>
      </c>
      <c r="AA13" s="14">
        <v>0.47</v>
      </c>
      <c r="AB13" s="14">
        <v>0.21</v>
      </c>
      <c r="AC13" s="14">
        <v>0.19</v>
      </c>
      <c r="AD13" s="14">
        <v>0.14000000000000001</v>
      </c>
      <c r="AE13" s="14">
        <v>0.2</v>
      </c>
      <c r="AF13" s="14">
        <v>0.13</v>
      </c>
    </row>
    <row r="14" spans="1:32" ht="21.5" x14ac:dyDescent="0.35">
      <c r="A14" s="31"/>
      <c r="B14" s="11" t="s">
        <v>1262</v>
      </c>
      <c r="C14" s="12">
        <v>4780</v>
      </c>
      <c r="D14" s="12">
        <v>238</v>
      </c>
      <c r="E14" s="12">
        <v>142</v>
      </c>
      <c r="F14" s="12">
        <v>217</v>
      </c>
      <c r="G14" s="12">
        <v>111</v>
      </c>
      <c r="H14" s="12">
        <v>249</v>
      </c>
      <c r="I14" s="12">
        <v>317</v>
      </c>
      <c r="J14" s="12">
        <v>67</v>
      </c>
      <c r="K14" s="12">
        <v>166</v>
      </c>
      <c r="L14" s="12">
        <v>100</v>
      </c>
      <c r="M14" s="12">
        <v>209</v>
      </c>
      <c r="N14" s="12">
        <v>183</v>
      </c>
      <c r="O14" s="12">
        <v>201</v>
      </c>
      <c r="P14" s="12">
        <v>165</v>
      </c>
      <c r="Q14" s="12">
        <v>179</v>
      </c>
      <c r="R14" s="12">
        <v>70</v>
      </c>
      <c r="S14" s="12">
        <v>70</v>
      </c>
      <c r="T14" s="12">
        <v>159</v>
      </c>
      <c r="U14" s="12">
        <v>49</v>
      </c>
      <c r="V14" s="12">
        <v>282</v>
      </c>
      <c r="W14" s="12">
        <v>30</v>
      </c>
      <c r="X14" s="12">
        <v>105</v>
      </c>
      <c r="Y14" s="12">
        <v>168</v>
      </c>
      <c r="Z14" s="12">
        <v>145</v>
      </c>
      <c r="AA14" s="12">
        <v>263</v>
      </c>
      <c r="AB14" s="12">
        <v>155</v>
      </c>
      <c r="AC14" s="12">
        <v>140</v>
      </c>
      <c r="AD14" s="12">
        <v>219</v>
      </c>
      <c r="AE14" s="12">
        <v>182</v>
      </c>
      <c r="AF14" s="12">
        <v>88</v>
      </c>
    </row>
    <row r="15" spans="1:32" ht="21.5" x14ac:dyDescent="0.35">
      <c r="A15" s="31"/>
      <c r="B15" s="13" t="s">
        <v>1263</v>
      </c>
      <c r="C15" s="14">
        <v>0.18</v>
      </c>
      <c r="D15" s="14">
        <v>0.23</v>
      </c>
      <c r="E15" s="14">
        <v>0.14000000000000001</v>
      </c>
      <c r="F15" s="14">
        <v>0.21</v>
      </c>
      <c r="G15" s="14">
        <v>0.11</v>
      </c>
      <c r="H15" s="14">
        <v>0.2</v>
      </c>
      <c r="I15" s="14">
        <v>0.21</v>
      </c>
      <c r="J15" s="14">
        <v>0.23</v>
      </c>
      <c r="K15" s="14">
        <v>0.16</v>
      </c>
      <c r="L15" s="14">
        <v>0.1</v>
      </c>
      <c r="M15" s="14">
        <v>0.21</v>
      </c>
      <c r="N15" s="14">
        <v>0.18</v>
      </c>
      <c r="O15" s="14">
        <v>0.2</v>
      </c>
      <c r="P15" s="14">
        <v>0.16</v>
      </c>
      <c r="Q15" s="14">
        <v>0.17</v>
      </c>
      <c r="R15" s="14">
        <v>0.14000000000000001</v>
      </c>
      <c r="S15" s="14">
        <v>7.0000000000000007E-2</v>
      </c>
      <c r="T15" s="14">
        <v>0.16</v>
      </c>
      <c r="U15" s="14">
        <v>0.1</v>
      </c>
      <c r="V15" s="14">
        <v>0.28000000000000003</v>
      </c>
      <c r="W15" s="14">
        <v>0.06</v>
      </c>
      <c r="X15" s="14">
        <v>0.1</v>
      </c>
      <c r="Y15" s="14">
        <v>0.17</v>
      </c>
      <c r="Z15" s="14">
        <v>0.14000000000000001</v>
      </c>
      <c r="AA15" s="14">
        <v>0.26</v>
      </c>
      <c r="AB15" s="14">
        <v>0.15</v>
      </c>
      <c r="AC15" s="14">
        <v>0.14000000000000001</v>
      </c>
      <c r="AD15" s="14">
        <v>0.22</v>
      </c>
      <c r="AE15" s="14">
        <v>0.18</v>
      </c>
      <c r="AF15" s="14">
        <v>0.09</v>
      </c>
    </row>
    <row r="16" spans="1:32" ht="21.5" x14ac:dyDescent="0.35">
      <c r="A16" s="31"/>
      <c r="B16" s="11" t="s">
        <v>1264</v>
      </c>
      <c r="C16" s="12">
        <v>12991</v>
      </c>
      <c r="D16" s="12">
        <v>529</v>
      </c>
      <c r="E16" s="12">
        <v>374</v>
      </c>
      <c r="F16" s="12">
        <v>523</v>
      </c>
      <c r="G16" s="12">
        <v>534</v>
      </c>
      <c r="H16" s="12">
        <v>610</v>
      </c>
      <c r="I16" s="12">
        <v>751</v>
      </c>
      <c r="J16" s="12">
        <v>140</v>
      </c>
      <c r="K16" s="12">
        <v>401</v>
      </c>
      <c r="L16" s="12">
        <v>405</v>
      </c>
      <c r="M16" s="12">
        <v>555</v>
      </c>
      <c r="N16" s="12">
        <v>418</v>
      </c>
      <c r="O16" s="12">
        <v>480</v>
      </c>
      <c r="P16" s="12">
        <v>480</v>
      </c>
      <c r="Q16" s="12">
        <v>631</v>
      </c>
      <c r="R16" s="12">
        <v>297</v>
      </c>
      <c r="S16" s="12">
        <v>487</v>
      </c>
      <c r="T16" s="12">
        <v>520</v>
      </c>
      <c r="U16" s="12">
        <v>302</v>
      </c>
      <c r="V16" s="12">
        <v>522</v>
      </c>
      <c r="W16" s="12">
        <v>313</v>
      </c>
      <c r="X16" s="12">
        <v>522</v>
      </c>
      <c r="Y16" s="12">
        <v>514</v>
      </c>
      <c r="Z16" s="12">
        <v>423</v>
      </c>
      <c r="AA16" s="12">
        <v>242</v>
      </c>
      <c r="AB16" s="12">
        <v>589</v>
      </c>
      <c r="AC16" s="12">
        <v>623</v>
      </c>
      <c r="AD16" s="12">
        <v>550</v>
      </c>
      <c r="AE16" s="12">
        <v>416</v>
      </c>
      <c r="AF16" s="12">
        <v>568</v>
      </c>
    </row>
    <row r="17" spans="1:32" x14ac:dyDescent="0.35">
      <c r="A17" s="31"/>
      <c r="B17" s="13" t="s">
        <v>1265</v>
      </c>
      <c r="C17" s="14">
        <v>0.49</v>
      </c>
      <c r="D17" s="14">
        <v>0.52</v>
      </c>
      <c r="E17" s="14">
        <v>0.36</v>
      </c>
      <c r="F17" s="14">
        <v>0.52</v>
      </c>
      <c r="G17" s="14">
        <v>0.53</v>
      </c>
      <c r="H17" s="14">
        <v>0.5</v>
      </c>
      <c r="I17" s="14">
        <v>0.49</v>
      </c>
      <c r="J17" s="14">
        <v>0.47</v>
      </c>
      <c r="K17" s="14">
        <v>0.4</v>
      </c>
      <c r="L17" s="14">
        <v>0.4</v>
      </c>
      <c r="M17" s="14">
        <v>0.55000000000000004</v>
      </c>
      <c r="N17" s="14">
        <v>0.42</v>
      </c>
      <c r="O17" s="14">
        <v>0.48</v>
      </c>
      <c r="P17" s="14">
        <v>0.48</v>
      </c>
      <c r="Q17" s="14">
        <v>0.61</v>
      </c>
      <c r="R17" s="14">
        <v>0.59</v>
      </c>
      <c r="S17" s="14">
        <v>0.48</v>
      </c>
      <c r="T17" s="14">
        <v>0.51</v>
      </c>
      <c r="U17" s="14">
        <v>0.59</v>
      </c>
      <c r="V17" s="14">
        <v>0.52</v>
      </c>
      <c r="W17" s="14">
        <v>0.62</v>
      </c>
      <c r="X17" s="14">
        <v>0.52</v>
      </c>
      <c r="Y17" s="14">
        <v>0.51</v>
      </c>
      <c r="Z17" s="14">
        <v>0.42</v>
      </c>
      <c r="AA17" s="14">
        <v>0.24</v>
      </c>
      <c r="AB17" s="14">
        <v>0.56000000000000005</v>
      </c>
      <c r="AC17" s="14">
        <v>0.62</v>
      </c>
      <c r="AD17" s="14">
        <v>0.55000000000000004</v>
      </c>
      <c r="AE17" s="14">
        <v>0.41</v>
      </c>
      <c r="AF17" s="14">
        <v>0.56000000000000005</v>
      </c>
    </row>
    <row r="18" spans="1:32" ht="21.5" x14ac:dyDescent="0.35">
      <c r="A18" s="31"/>
      <c r="B18" s="11" t="s">
        <v>1266</v>
      </c>
      <c r="C18" s="12">
        <v>2096</v>
      </c>
      <c r="D18" s="12">
        <v>110</v>
      </c>
      <c r="E18" s="12">
        <v>29</v>
      </c>
      <c r="F18" s="12">
        <v>75</v>
      </c>
      <c r="G18" s="12">
        <v>213</v>
      </c>
      <c r="H18" s="12">
        <v>127</v>
      </c>
      <c r="I18" s="12">
        <v>144</v>
      </c>
      <c r="J18" s="12">
        <v>17</v>
      </c>
      <c r="K18" s="12">
        <v>49</v>
      </c>
      <c r="L18" s="12">
        <v>56</v>
      </c>
      <c r="M18" s="12">
        <v>14</v>
      </c>
      <c r="N18" s="12">
        <v>28</v>
      </c>
      <c r="O18" s="12">
        <v>87</v>
      </c>
      <c r="P18" s="12">
        <v>61</v>
      </c>
      <c r="Q18" s="12">
        <v>74</v>
      </c>
      <c r="R18" s="12">
        <v>18</v>
      </c>
      <c r="S18" s="12">
        <v>33</v>
      </c>
      <c r="T18" s="12">
        <v>36</v>
      </c>
      <c r="U18" s="12">
        <v>104</v>
      </c>
      <c r="V18" s="12">
        <v>14</v>
      </c>
      <c r="W18" s="12">
        <v>45</v>
      </c>
      <c r="X18" s="12">
        <v>273</v>
      </c>
      <c r="Y18" s="12">
        <v>73</v>
      </c>
      <c r="Z18" s="12">
        <v>34</v>
      </c>
      <c r="AA18" s="12">
        <v>27</v>
      </c>
      <c r="AB18" s="12">
        <v>68</v>
      </c>
      <c r="AC18" s="12">
        <v>49</v>
      </c>
      <c r="AD18" s="12">
        <v>89</v>
      </c>
      <c r="AE18" s="12">
        <v>131</v>
      </c>
      <c r="AF18" s="12">
        <v>199</v>
      </c>
    </row>
    <row r="19" spans="1:32" ht="21.5" x14ac:dyDescent="0.35">
      <c r="A19" s="31"/>
      <c r="B19" s="13" t="s">
        <v>1267</v>
      </c>
      <c r="C19" s="14">
        <v>0.08</v>
      </c>
      <c r="D19" s="14">
        <v>0.11</v>
      </c>
      <c r="E19" s="14">
        <v>0.03</v>
      </c>
      <c r="F19" s="14">
        <v>7.0000000000000007E-2</v>
      </c>
      <c r="G19" s="14">
        <v>0.21</v>
      </c>
      <c r="H19" s="14">
        <v>0.1</v>
      </c>
      <c r="I19" s="14">
        <v>0.1</v>
      </c>
      <c r="J19" s="14">
        <v>0.06</v>
      </c>
      <c r="K19" s="14">
        <v>0.05</v>
      </c>
      <c r="L19" s="14">
        <v>0.06</v>
      </c>
      <c r="M19" s="14">
        <v>0.01</v>
      </c>
      <c r="N19" s="14">
        <v>0.03</v>
      </c>
      <c r="O19" s="14">
        <v>0.09</v>
      </c>
      <c r="P19" s="14">
        <v>0.06</v>
      </c>
      <c r="Q19" s="14">
        <v>7.0000000000000007E-2</v>
      </c>
      <c r="R19" s="14">
        <v>0.04</v>
      </c>
      <c r="S19" s="14">
        <v>0.03</v>
      </c>
      <c r="T19" s="14">
        <v>0.04</v>
      </c>
      <c r="U19" s="14">
        <v>0.21</v>
      </c>
      <c r="V19" s="14">
        <v>0.01</v>
      </c>
      <c r="W19" s="14">
        <v>0.09</v>
      </c>
      <c r="X19" s="14">
        <v>0.27</v>
      </c>
      <c r="Y19" s="14">
        <v>7.0000000000000007E-2</v>
      </c>
      <c r="Z19" s="14">
        <v>0.03</v>
      </c>
      <c r="AA19" s="14">
        <v>0.03</v>
      </c>
      <c r="AB19" s="14">
        <v>0.06</v>
      </c>
      <c r="AC19" s="14">
        <v>0.05</v>
      </c>
      <c r="AD19" s="14">
        <v>0.09</v>
      </c>
      <c r="AE19" s="14">
        <v>0.13</v>
      </c>
      <c r="AF19" s="14">
        <v>0.19</v>
      </c>
    </row>
    <row r="20" spans="1:32" ht="21.5" x14ac:dyDescent="0.35">
      <c r="A20" s="31"/>
      <c r="B20" s="11" t="s">
        <v>1268</v>
      </c>
      <c r="C20" s="12">
        <v>241</v>
      </c>
      <c r="D20" s="12">
        <v>6</v>
      </c>
      <c r="E20" s="12">
        <v>2</v>
      </c>
      <c r="F20" s="12">
        <v>20</v>
      </c>
      <c r="G20" s="12">
        <v>4</v>
      </c>
      <c r="H20" s="12">
        <v>15</v>
      </c>
      <c r="I20" s="12">
        <v>15</v>
      </c>
      <c r="J20" s="12">
        <v>0</v>
      </c>
      <c r="K20" s="12">
        <v>11</v>
      </c>
      <c r="L20" s="12">
        <v>4</v>
      </c>
      <c r="M20" s="12">
        <v>0</v>
      </c>
      <c r="N20" s="12">
        <v>1</v>
      </c>
      <c r="O20" s="12">
        <v>4</v>
      </c>
      <c r="P20" s="12">
        <v>11</v>
      </c>
      <c r="Q20" s="12">
        <v>5</v>
      </c>
      <c r="R20" s="12">
        <v>1</v>
      </c>
      <c r="S20" s="12">
        <v>12</v>
      </c>
      <c r="T20" s="12">
        <v>1</v>
      </c>
      <c r="U20" s="12">
        <v>7</v>
      </c>
      <c r="V20" s="12">
        <v>2</v>
      </c>
      <c r="W20" s="12">
        <v>2</v>
      </c>
      <c r="X20" s="12">
        <v>35</v>
      </c>
      <c r="Y20" s="12">
        <v>3</v>
      </c>
      <c r="Z20" s="12">
        <v>33</v>
      </c>
      <c r="AA20" s="12">
        <v>3</v>
      </c>
      <c r="AB20" s="12">
        <v>8</v>
      </c>
      <c r="AC20" s="12">
        <v>3</v>
      </c>
      <c r="AD20" s="12">
        <v>7</v>
      </c>
      <c r="AE20" s="12">
        <v>17</v>
      </c>
      <c r="AF20" s="12">
        <v>9</v>
      </c>
    </row>
    <row r="21" spans="1:32" x14ac:dyDescent="0.35">
      <c r="A21" s="31"/>
      <c r="B21" s="13" t="s">
        <v>1269</v>
      </c>
      <c r="C21" s="14">
        <v>0.01</v>
      </c>
      <c r="D21" s="14">
        <v>0.01</v>
      </c>
      <c r="E21" s="15" t="s">
        <v>333</v>
      </c>
      <c r="F21" s="14">
        <v>0.02</v>
      </c>
      <c r="G21" s="14">
        <v>0.01</v>
      </c>
      <c r="H21" s="14">
        <v>0.01</v>
      </c>
      <c r="I21" s="14">
        <v>0.01</v>
      </c>
      <c r="J21" s="15" t="s">
        <v>333</v>
      </c>
      <c r="K21" s="14">
        <v>0.01</v>
      </c>
      <c r="L21" s="15" t="s">
        <v>333</v>
      </c>
      <c r="M21" s="15" t="s">
        <v>333</v>
      </c>
      <c r="N21" s="15" t="s">
        <v>333</v>
      </c>
      <c r="O21" s="15" t="s">
        <v>333</v>
      </c>
      <c r="P21" s="14">
        <v>0.01</v>
      </c>
      <c r="Q21" s="15" t="s">
        <v>333</v>
      </c>
      <c r="R21" s="15" t="s">
        <v>333</v>
      </c>
      <c r="S21" s="14">
        <v>0.01</v>
      </c>
      <c r="T21" s="15" t="s">
        <v>333</v>
      </c>
      <c r="U21" s="14">
        <v>0.01</v>
      </c>
      <c r="V21" s="15" t="s">
        <v>333</v>
      </c>
      <c r="W21" s="14">
        <v>0.01</v>
      </c>
      <c r="X21" s="14">
        <v>0.04</v>
      </c>
      <c r="Y21" s="15" t="s">
        <v>333</v>
      </c>
      <c r="Z21" s="14">
        <v>0.03</v>
      </c>
      <c r="AA21" s="15" t="s">
        <v>333</v>
      </c>
      <c r="AB21" s="14">
        <v>0.01</v>
      </c>
      <c r="AC21" s="15" t="s">
        <v>333</v>
      </c>
      <c r="AD21" s="15" t="s">
        <v>333</v>
      </c>
      <c r="AE21" s="14">
        <v>0.02</v>
      </c>
      <c r="AF21" s="14">
        <v>0.01</v>
      </c>
    </row>
    <row r="22" spans="1:32" x14ac:dyDescent="0.35">
      <c r="A22" s="31"/>
      <c r="B22" s="11" t="s">
        <v>407</v>
      </c>
      <c r="C22" s="12">
        <v>33</v>
      </c>
      <c r="D22" s="12">
        <v>0</v>
      </c>
      <c r="E22" s="12">
        <v>1</v>
      </c>
      <c r="F22" s="12">
        <v>0</v>
      </c>
      <c r="G22" s="12">
        <v>3</v>
      </c>
      <c r="H22" s="12">
        <v>4</v>
      </c>
      <c r="I22" s="12">
        <v>4</v>
      </c>
      <c r="J22" s="12">
        <v>0</v>
      </c>
      <c r="K22" s="12">
        <v>23</v>
      </c>
      <c r="L22" s="12">
        <v>0</v>
      </c>
      <c r="M22" s="12">
        <v>0</v>
      </c>
      <c r="N22" s="12">
        <v>1</v>
      </c>
      <c r="O22" s="12">
        <v>1</v>
      </c>
      <c r="P22" s="12">
        <v>0</v>
      </c>
      <c r="Q22" s="12">
        <v>0</v>
      </c>
      <c r="R22" s="12">
        <v>0</v>
      </c>
      <c r="S22" s="12">
        <v>1</v>
      </c>
      <c r="T22" s="12">
        <v>0</v>
      </c>
      <c r="U22" s="12">
        <v>0</v>
      </c>
      <c r="V22" s="12">
        <v>0</v>
      </c>
      <c r="W22" s="12">
        <v>0</v>
      </c>
      <c r="X22" s="12">
        <v>0</v>
      </c>
      <c r="Y22" s="12">
        <v>2</v>
      </c>
      <c r="Z22" s="12">
        <v>0</v>
      </c>
      <c r="AA22" s="12">
        <v>2</v>
      </c>
      <c r="AB22" s="12">
        <v>4</v>
      </c>
      <c r="AC22" s="12">
        <v>0</v>
      </c>
      <c r="AD22" s="12">
        <v>0</v>
      </c>
      <c r="AE22" s="12">
        <v>4</v>
      </c>
      <c r="AF22" s="12">
        <v>1</v>
      </c>
    </row>
    <row r="23" spans="1:32" x14ac:dyDescent="0.35">
      <c r="A23" s="31"/>
      <c r="B23" s="13" t="s">
        <v>408</v>
      </c>
      <c r="C23" s="15" t="s">
        <v>333</v>
      </c>
      <c r="D23" s="15" t="s">
        <v>333</v>
      </c>
      <c r="E23" s="15" t="s">
        <v>333</v>
      </c>
      <c r="F23" s="15" t="s">
        <v>333</v>
      </c>
      <c r="G23" s="15" t="s">
        <v>333</v>
      </c>
      <c r="H23" s="14">
        <v>0.01</v>
      </c>
      <c r="I23" s="15" t="s">
        <v>333</v>
      </c>
      <c r="J23" s="15" t="s">
        <v>333</v>
      </c>
      <c r="K23" s="14">
        <v>0.02</v>
      </c>
      <c r="L23" s="15" t="s">
        <v>333</v>
      </c>
      <c r="M23" s="15" t="s">
        <v>333</v>
      </c>
      <c r="N23" s="15" t="s">
        <v>333</v>
      </c>
      <c r="O23" s="15" t="s">
        <v>333</v>
      </c>
      <c r="P23" s="15" t="s">
        <v>333</v>
      </c>
      <c r="Q23" s="15" t="s">
        <v>333</v>
      </c>
      <c r="R23" s="15" t="s">
        <v>333</v>
      </c>
      <c r="S23" s="15" t="s">
        <v>333</v>
      </c>
      <c r="T23" s="15" t="s">
        <v>333</v>
      </c>
      <c r="U23" s="15" t="s">
        <v>333</v>
      </c>
      <c r="V23" s="15" t="s">
        <v>333</v>
      </c>
      <c r="W23" s="15" t="s">
        <v>333</v>
      </c>
      <c r="X23" s="15" t="s">
        <v>333</v>
      </c>
      <c r="Y23" s="15" t="s">
        <v>333</v>
      </c>
      <c r="Z23" s="15" t="s">
        <v>333</v>
      </c>
      <c r="AA23" s="15" t="s">
        <v>333</v>
      </c>
      <c r="AB23" s="15" t="s">
        <v>333</v>
      </c>
      <c r="AC23" s="15" t="s">
        <v>333</v>
      </c>
      <c r="AD23" s="15" t="s">
        <v>333</v>
      </c>
      <c r="AE23" s="15" t="s">
        <v>333</v>
      </c>
      <c r="AF23" s="15" t="s">
        <v>333</v>
      </c>
    </row>
    <row r="24" spans="1:32" x14ac:dyDescent="0.35">
      <c r="A24" s="31"/>
      <c r="B24" s="11" t="s">
        <v>1110</v>
      </c>
      <c r="C24" s="12">
        <v>47</v>
      </c>
      <c r="D24" s="12">
        <v>1</v>
      </c>
      <c r="E24" s="12">
        <v>10</v>
      </c>
      <c r="F24" s="12">
        <v>0</v>
      </c>
      <c r="G24" s="12">
        <v>4</v>
      </c>
      <c r="H24" s="12">
        <v>0</v>
      </c>
      <c r="I24" s="12">
        <v>0</v>
      </c>
      <c r="J24" s="12">
        <v>0</v>
      </c>
      <c r="K24" s="12">
        <v>10</v>
      </c>
      <c r="L24" s="12">
        <v>11</v>
      </c>
      <c r="M24" s="12">
        <v>2</v>
      </c>
      <c r="N24" s="12">
        <v>0</v>
      </c>
      <c r="O24" s="12">
        <v>0</v>
      </c>
      <c r="P24" s="12">
        <v>0</v>
      </c>
      <c r="Q24" s="12">
        <v>6</v>
      </c>
      <c r="R24" s="12">
        <v>0</v>
      </c>
      <c r="S24" s="12">
        <v>1</v>
      </c>
      <c r="T24" s="12">
        <v>2</v>
      </c>
      <c r="U24" s="12">
        <v>0</v>
      </c>
      <c r="V24" s="12">
        <v>3</v>
      </c>
      <c r="W24" s="12">
        <v>0</v>
      </c>
      <c r="X24" s="12">
        <v>1</v>
      </c>
      <c r="Y24" s="12">
        <v>14</v>
      </c>
      <c r="Z24" s="12">
        <v>0</v>
      </c>
      <c r="AA24" s="12">
        <v>1</v>
      </c>
      <c r="AB24" s="12">
        <v>0</v>
      </c>
      <c r="AC24" s="12">
        <v>0</v>
      </c>
      <c r="AD24" s="12">
        <v>0</v>
      </c>
      <c r="AE24" s="12">
        <v>7</v>
      </c>
      <c r="AF24" s="12">
        <v>6</v>
      </c>
    </row>
    <row r="25" spans="1:32" x14ac:dyDescent="0.35">
      <c r="A25" s="31"/>
      <c r="B25" s="13" t="s">
        <v>1111</v>
      </c>
      <c r="C25" s="15" t="s">
        <v>333</v>
      </c>
      <c r="D25" s="15" t="s">
        <v>333</v>
      </c>
      <c r="E25" s="14">
        <v>0.01</v>
      </c>
      <c r="F25" s="15" t="s">
        <v>333</v>
      </c>
      <c r="G25" s="15" t="s">
        <v>333</v>
      </c>
      <c r="H25" s="15" t="s">
        <v>333</v>
      </c>
      <c r="I25" s="15" t="s">
        <v>333</v>
      </c>
      <c r="J25" s="15" t="s">
        <v>333</v>
      </c>
      <c r="K25" s="14">
        <v>0.01</v>
      </c>
      <c r="L25" s="14">
        <v>0.01</v>
      </c>
      <c r="M25" s="15" t="s">
        <v>333</v>
      </c>
      <c r="N25" s="15" t="s">
        <v>333</v>
      </c>
      <c r="O25" s="15" t="s">
        <v>333</v>
      </c>
      <c r="P25" s="15" t="s">
        <v>333</v>
      </c>
      <c r="Q25" s="14">
        <v>0.01</v>
      </c>
      <c r="R25" s="15" t="s">
        <v>333</v>
      </c>
      <c r="S25" s="15" t="s">
        <v>333</v>
      </c>
      <c r="T25" s="15" t="s">
        <v>333</v>
      </c>
      <c r="U25" s="15" t="s">
        <v>333</v>
      </c>
      <c r="V25" s="15" t="s">
        <v>333</v>
      </c>
      <c r="W25" s="15" t="s">
        <v>333</v>
      </c>
      <c r="X25" s="15" t="s">
        <v>333</v>
      </c>
      <c r="Y25" s="14">
        <v>0.01</v>
      </c>
      <c r="Z25" s="15" t="s">
        <v>333</v>
      </c>
      <c r="AA25" s="15" t="s">
        <v>333</v>
      </c>
      <c r="AB25" s="15" t="s">
        <v>333</v>
      </c>
      <c r="AC25" s="15" t="s">
        <v>333</v>
      </c>
      <c r="AD25" s="15" t="s">
        <v>333</v>
      </c>
      <c r="AE25" s="14">
        <v>0.01</v>
      </c>
      <c r="AF25" s="14">
        <v>0.01</v>
      </c>
    </row>
    <row r="26" spans="1:32" x14ac:dyDescent="0.35">
      <c r="A26" s="31"/>
      <c r="B26" s="11" t="s">
        <v>452</v>
      </c>
      <c r="C26" s="12">
        <v>61</v>
      </c>
      <c r="D26" s="12">
        <v>0</v>
      </c>
      <c r="E26" s="12">
        <v>9</v>
      </c>
      <c r="F26" s="12">
        <v>0</v>
      </c>
      <c r="G26" s="12">
        <v>2</v>
      </c>
      <c r="H26" s="12">
        <v>4</v>
      </c>
      <c r="I26" s="12">
        <v>5</v>
      </c>
      <c r="J26" s="12">
        <v>1</v>
      </c>
      <c r="K26" s="12">
        <v>36</v>
      </c>
      <c r="L26" s="12">
        <v>0</v>
      </c>
      <c r="M26" s="12">
        <v>5</v>
      </c>
      <c r="N26" s="12">
        <v>4</v>
      </c>
      <c r="O26" s="12">
        <v>2</v>
      </c>
      <c r="P26" s="12">
        <v>0</v>
      </c>
      <c r="Q26" s="12">
        <v>0</v>
      </c>
      <c r="R26" s="12">
        <v>1</v>
      </c>
      <c r="S26" s="12">
        <v>0</v>
      </c>
      <c r="T26" s="12">
        <v>3</v>
      </c>
      <c r="U26" s="12">
        <v>0</v>
      </c>
      <c r="V26" s="12">
        <v>0</v>
      </c>
      <c r="W26" s="12">
        <v>0</v>
      </c>
      <c r="X26" s="12">
        <v>3</v>
      </c>
      <c r="Y26" s="12">
        <v>14</v>
      </c>
      <c r="Z26" s="12">
        <v>0</v>
      </c>
      <c r="AA26" s="12">
        <v>2</v>
      </c>
      <c r="AB26" s="12">
        <v>0</v>
      </c>
      <c r="AC26" s="12">
        <v>0</v>
      </c>
      <c r="AD26" s="12">
        <v>0</v>
      </c>
      <c r="AE26" s="12">
        <v>8</v>
      </c>
      <c r="AF26" s="12">
        <v>1</v>
      </c>
    </row>
    <row r="27" spans="1:32" x14ac:dyDescent="0.35">
      <c r="A27" s="31"/>
      <c r="B27" s="13" t="s">
        <v>453</v>
      </c>
      <c r="C27" s="15" t="s">
        <v>333</v>
      </c>
      <c r="D27" s="15" t="s">
        <v>333</v>
      </c>
      <c r="E27" s="14">
        <v>0.01</v>
      </c>
      <c r="F27" s="15" t="s">
        <v>333</v>
      </c>
      <c r="G27" s="15" t="s">
        <v>333</v>
      </c>
      <c r="H27" s="15" t="s">
        <v>333</v>
      </c>
      <c r="I27" s="15" t="s">
        <v>333</v>
      </c>
      <c r="J27" s="15" t="s">
        <v>333</v>
      </c>
      <c r="K27" s="14">
        <v>0.04</v>
      </c>
      <c r="L27" s="15" t="s">
        <v>333</v>
      </c>
      <c r="M27" s="14">
        <v>0.01</v>
      </c>
      <c r="N27" s="14">
        <v>0.01</v>
      </c>
      <c r="O27" s="15" t="s">
        <v>333</v>
      </c>
      <c r="P27" s="15" t="s">
        <v>333</v>
      </c>
      <c r="Q27" s="15" t="s">
        <v>333</v>
      </c>
      <c r="R27" s="15" t="s">
        <v>333</v>
      </c>
      <c r="S27" s="15" t="s">
        <v>333</v>
      </c>
      <c r="T27" s="15" t="s">
        <v>333</v>
      </c>
      <c r="U27" s="15" t="s">
        <v>333</v>
      </c>
      <c r="V27" s="15" t="s">
        <v>333</v>
      </c>
      <c r="W27" s="15" t="s">
        <v>333</v>
      </c>
      <c r="X27" s="15" t="s">
        <v>333</v>
      </c>
      <c r="Y27" s="14">
        <v>0.02</v>
      </c>
      <c r="Z27" s="15" t="s">
        <v>333</v>
      </c>
      <c r="AA27" s="15" t="s">
        <v>333</v>
      </c>
      <c r="AB27" s="15" t="s">
        <v>333</v>
      </c>
      <c r="AC27" s="15" t="s">
        <v>333</v>
      </c>
      <c r="AD27" s="15" t="s">
        <v>333</v>
      </c>
      <c r="AE27" s="14">
        <v>0.01</v>
      </c>
      <c r="AF27" s="15" t="s">
        <v>333</v>
      </c>
    </row>
    <row r="28" spans="1:32" x14ac:dyDescent="0.35">
      <c r="A28" s="31"/>
      <c r="B28" s="11" t="s">
        <v>344</v>
      </c>
      <c r="C28" s="12">
        <v>167</v>
      </c>
      <c r="D28" s="12">
        <v>3</v>
      </c>
      <c r="E28" s="12">
        <v>39</v>
      </c>
      <c r="F28" s="12">
        <v>2</v>
      </c>
      <c r="G28" s="12">
        <v>4</v>
      </c>
      <c r="H28" s="12">
        <v>2</v>
      </c>
      <c r="I28" s="12">
        <v>3</v>
      </c>
      <c r="J28" s="12">
        <v>1</v>
      </c>
      <c r="K28" s="12">
        <v>32</v>
      </c>
      <c r="L28" s="12">
        <v>30</v>
      </c>
      <c r="M28" s="12">
        <v>7</v>
      </c>
      <c r="N28" s="12">
        <v>2</v>
      </c>
      <c r="O28" s="12">
        <v>4</v>
      </c>
      <c r="P28" s="12">
        <v>0</v>
      </c>
      <c r="Q28" s="12">
        <v>7</v>
      </c>
      <c r="R28" s="12">
        <v>0</v>
      </c>
      <c r="S28" s="12">
        <v>32</v>
      </c>
      <c r="T28" s="12">
        <v>26</v>
      </c>
      <c r="U28" s="12">
        <v>0</v>
      </c>
      <c r="V28" s="12">
        <v>0</v>
      </c>
      <c r="W28" s="12">
        <v>1</v>
      </c>
      <c r="X28" s="12">
        <v>3</v>
      </c>
      <c r="Y28" s="12">
        <v>9</v>
      </c>
      <c r="Z28" s="12">
        <v>14</v>
      </c>
      <c r="AA28" s="12">
        <v>3</v>
      </c>
      <c r="AB28" s="12">
        <v>6</v>
      </c>
      <c r="AC28" s="12">
        <v>5</v>
      </c>
      <c r="AD28" s="12">
        <v>0</v>
      </c>
      <c r="AE28" s="12">
        <v>43</v>
      </c>
      <c r="AF28" s="12">
        <v>12</v>
      </c>
    </row>
    <row r="29" spans="1:32" x14ac:dyDescent="0.35">
      <c r="A29" s="31"/>
      <c r="B29" s="13" t="s">
        <v>357</v>
      </c>
      <c r="C29" s="14">
        <v>0.01</v>
      </c>
      <c r="D29" s="15" t="s">
        <v>333</v>
      </c>
      <c r="E29" s="14">
        <v>0.04</v>
      </c>
      <c r="F29" s="15" t="s">
        <v>333</v>
      </c>
      <c r="G29" s="15" t="s">
        <v>333</v>
      </c>
      <c r="H29" s="15" t="s">
        <v>333</v>
      </c>
      <c r="I29" s="15" t="s">
        <v>333</v>
      </c>
      <c r="J29" s="15" t="s">
        <v>333</v>
      </c>
      <c r="K29" s="14">
        <v>0.03</v>
      </c>
      <c r="L29" s="14">
        <v>0.03</v>
      </c>
      <c r="M29" s="14">
        <v>0.01</v>
      </c>
      <c r="N29" s="15" t="s">
        <v>333</v>
      </c>
      <c r="O29" s="14">
        <v>0.01</v>
      </c>
      <c r="P29" s="15" t="s">
        <v>333</v>
      </c>
      <c r="Q29" s="14">
        <v>0.01</v>
      </c>
      <c r="R29" s="15" t="s">
        <v>333</v>
      </c>
      <c r="S29" s="14">
        <v>0.03</v>
      </c>
      <c r="T29" s="14">
        <v>0.03</v>
      </c>
      <c r="U29" s="15" t="s">
        <v>333</v>
      </c>
      <c r="V29" s="15" t="s">
        <v>333</v>
      </c>
      <c r="W29" s="15" t="s">
        <v>333</v>
      </c>
      <c r="X29" s="15" t="s">
        <v>333</v>
      </c>
      <c r="Y29" s="14">
        <v>0.01</v>
      </c>
      <c r="Z29" s="14">
        <v>0.02</v>
      </c>
      <c r="AA29" s="15" t="s">
        <v>333</v>
      </c>
      <c r="AB29" s="14">
        <v>0.01</v>
      </c>
      <c r="AC29" s="15" t="s">
        <v>333</v>
      </c>
      <c r="AD29" s="15" t="s">
        <v>333</v>
      </c>
      <c r="AE29" s="14">
        <v>0.04</v>
      </c>
      <c r="AF29" s="14">
        <v>0.01</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1270</v>
      </c>
      <c r="C3" s="30"/>
      <c r="D3" s="30"/>
      <c r="E3" s="30"/>
      <c r="F3" s="30"/>
      <c r="H3" s="30" t="s">
        <v>1271</v>
      </c>
      <c r="I3" s="30"/>
      <c r="J3" s="30"/>
      <c r="K3" s="30"/>
      <c r="L3" s="30"/>
    </row>
    <row r="4" spans="1:32" ht="27" customHeight="1" x14ac:dyDescent="0.35">
      <c r="B4" s="30" t="s">
        <v>1272</v>
      </c>
      <c r="C4" s="30"/>
      <c r="D4" s="30"/>
      <c r="E4" s="30"/>
      <c r="F4" s="30"/>
      <c r="H4" s="30" t="s">
        <v>1273</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1274</v>
      </c>
      <c r="C12" s="12">
        <v>9871</v>
      </c>
      <c r="D12" s="12">
        <v>478</v>
      </c>
      <c r="E12" s="12">
        <v>359</v>
      </c>
      <c r="F12" s="12">
        <v>469</v>
      </c>
      <c r="G12" s="12">
        <v>566</v>
      </c>
      <c r="H12" s="12">
        <v>512</v>
      </c>
      <c r="I12" s="12">
        <v>576</v>
      </c>
      <c r="J12" s="12">
        <v>63</v>
      </c>
      <c r="K12" s="12">
        <v>374</v>
      </c>
      <c r="L12" s="12">
        <v>625</v>
      </c>
      <c r="M12" s="12">
        <v>222</v>
      </c>
      <c r="N12" s="12">
        <v>326</v>
      </c>
      <c r="O12" s="12">
        <v>160</v>
      </c>
      <c r="P12" s="12">
        <v>498</v>
      </c>
      <c r="Q12" s="12">
        <v>423</v>
      </c>
      <c r="R12" s="12">
        <v>109</v>
      </c>
      <c r="S12" s="12">
        <v>438</v>
      </c>
      <c r="T12" s="12">
        <v>528</v>
      </c>
      <c r="U12" s="12">
        <v>337</v>
      </c>
      <c r="V12" s="12">
        <v>379</v>
      </c>
      <c r="W12" s="12">
        <v>260</v>
      </c>
      <c r="X12" s="12">
        <v>300</v>
      </c>
      <c r="Y12" s="12">
        <v>507</v>
      </c>
      <c r="Z12" s="12">
        <v>640</v>
      </c>
      <c r="AA12" s="12">
        <v>505</v>
      </c>
      <c r="AB12" s="12">
        <v>500</v>
      </c>
      <c r="AC12" s="12">
        <v>300</v>
      </c>
      <c r="AD12" s="12">
        <v>305</v>
      </c>
      <c r="AE12" s="12">
        <v>286</v>
      </c>
      <c r="AF12" s="12">
        <v>322</v>
      </c>
    </row>
    <row r="13" spans="1:32" ht="21.5" x14ac:dyDescent="0.35">
      <c r="A13" s="31"/>
      <c r="B13" s="13" t="s">
        <v>1275</v>
      </c>
      <c r="C13" s="14">
        <v>0.37</v>
      </c>
      <c r="D13" s="14">
        <v>0.47</v>
      </c>
      <c r="E13" s="14">
        <v>0.35</v>
      </c>
      <c r="F13" s="14">
        <v>0.46</v>
      </c>
      <c r="G13" s="14">
        <v>0.55000000000000004</v>
      </c>
      <c r="H13" s="14">
        <v>0.41</v>
      </c>
      <c r="I13" s="14">
        <v>0.38</v>
      </c>
      <c r="J13" s="14">
        <v>0.21</v>
      </c>
      <c r="K13" s="14">
        <v>0.37</v>
      </c>
      <c r="L13" s="14">
        <v>0.62</v>
      </c>
      <c r="M13" s="14">
        <v>0.22</v>
      </c>
      <c r="N13" s="14">
        <v>0.33</v>
      </c>
      <c r="O13" s="14">
        <v>0.16</v>
      </c>
      <c r="P13" s="14">
        <v>0.5</v>
      </c>
      <c r="Q13" s="14">
        <v>0.41</v>
      </c>
      <c r="R13" s="14">
        <v>0.22</v>
      </c>
      <c r="S13" s="14">
        <v>0.43</v>
      </c>
      <c r="T13" s="14">
        <v>0.52</v>
      </c>
      <c r="U13" s="14">
        <v>0.66</v>
      </c>
      <c r="V13" s="14">
        <v>0.37</v>
      </c>
      <c r="W13" s="14">
        <v>0.52</v>
      </c>
      <c r="X13" s="14">
        <v>0.3</v>
      </c>
      <c r="Y13" s="14">
        <v>0.51</v>
      </c>
      <c r="Z13" s="14">
        <v>0.63</v>
      </c>
      <c r="AA13" s="14">
        <v>0.49</v>
      </c>
      <c r="AB13" s="14">
        <v>0.47</v>
      </c>
      <c r="AC13" s="14">
        <v>0.28999999999999998</v>
      </c>
      <c r="AD13" s="14">
        <v>0.3</v>
      </c>
      <c r="AE13" s="14">
        <v>0.28000000000000003</v>
      </c>
      <c r="AF13" s="14">
        <v>0.31</v>
      </c>
    </row>
    <row r="14" spans="1:32" ht="21.5" x14ac:dyDescent="0.35">
      <c r="A14" s="31"/>
      <c r="B14" s="11" t="s">
        <v>1276</v>
      </c>
      <c r="C14" s="12">
        <v>13740</v>
      </c>
      <c r="D14" s="12">
        <v>498</v>
      </c>
      <c r="E14" s="12">
        <v>520</v>
      </c>
      <c r="F14" s="12">
        <v>494</v>
      </c>
      <c r="G14" s="12">
        <v>261</v>
      </c>
      <c r="H14" s="12">
        <v>612</v>
      </c>
      <c r="I14" s="12">
        <v>813</v>
      </c>
      <c r="J14" s="12">
        <v>201</v>
      </c>
      <c r="K14" s="12">
        <v>417</v>
      </c>
      <c r="L14" s="12">
        <v>288</v>
      </c>
      <c r="M14" s="12">
        <v>695</v>
      </c>
      <c r="N14" s="12">
        <v>541</v>
      </c>
      <c r="O14" s="12">
        <v>715</v>
      </c>
      <c r="P14" s="12">
        <v>420</v>
      </c>
      <c r="Q14" s="12">
        <v>536</v>
      </c>
      <c r="R14" s="12">
        <v>311</v>
      </c>
      <c r="S14" s="12">
        <v>410</v>
      </c>
      <c r="T14" s="12">
        <v>265</v>
      </c>
      <c r="U14" s="12">
        <v>94</v>
      </c>
      <c r="V14" s="12">
        <v>554</v>
      </c>
      <c r="W14" s="12">
        <v>158</v>
      </c>
      <c r="X14" s="12">
        <v>632</v>
      </c>
      <c r="Y14" s="12">
        <v>363</v>
      </c>
      <c r="Z14" s="12">
        <v>253</v>
      </c>
      <c r="AA14" s="12">
        <v>333</v>
      </c>
      <c r="AB14" s="12">
        <v>457</v>
      </c>
      <c r="AC14" s="12">
        <v>516</v>
      </c>
      <c r="AD14" s="12">
        <v>598</v>
      </c>
      <c r="AE14" s="12">
        <v>627</v>
      </c>
      <c r="AF14" s="12">
        <v>619</v>
      </c>
    </row>
    <row r="15" spans="1:32" ht="21.5" x14ac:dyDescent="0.35">
      <c r="A15" s="31"/>
      <c r="B15" s="13" t="s">
        <v>1277</v>
      </c>
      <c r="C15" s="14">
        <v>0.52</v>
      </c>
      <c r="D15" s="14">
        <v>0.49</v>
      </c>
      <c r="E15" s="14">
        <v>0.5</v>
      </c>
      <c r="F15" s="14">
        <v>0.49</v>
      </c>
      <c r="G15" s="14">
        <v>0.26</v>
      </c>
      <c r="H15" s="14">
        <v>0.5</v>
      </c>
      <c r="I15" s="14">
        <v>0.53</v>
      </c>
      <c r="J15" s="14">
        <v>0.68</v>
      </c>
      <c r="K15" s="14">
        <v>0.41</v>
      </c>
      <c r="L15" s="14">
        <v>0.28999999999999998</v>
      </c>
      <c r="M15" s="14">
        <v>0.69000000000000006</v>
      </c>
      <c r="N15" s="14">
        <v>0.54</v>
      </c>
      <c r="O15" s="14">
        <v>0.71</v>
      </c>
      <c r="P15" s="14">
        <v>0.42</v>
      </c>
      <c r="Q15" s="14">
        <v>0.52</v>
      </c>
      <c r="R15" s="14">
        <v>0.62</v>
      </c>
      <c r="S15" s="14">
        <v>0.4</v>
      </c>
      <c r="T15" s="14">
        <v>0.26</v>
      </c>
      <c r="U15" s="14">
        <v>0.18</v>
      </c>
      <c r="V15" s="14">
        <v>0.55000000000000004</v>
      </c>
      <c r="W15" s="14">
        <v>0.32</v>
      </c>
      <c r="X15" s="14">
        <v>0.63</v>
      </c>
      <c r="Y15" s="14">
        <v>0.36</v>
      </c>
      <c r="Z15" s="14">
        <v>0.25</v>
      </c>
      <c r="AA15" s="14">
        <v>0.32</v>
      </c>
      <c r="AB15" s="14">
        <v>0.43</v>
      </c>
      <c r="AC15" s="14">
        <v>0.51</v>
      </c>
      <c r="AD15" s="14">
        <v>0.6</v>
      </c>
      <c r="AE15" s="14">
        <v>0.62</v>
      </c>
      <c r="AF15" s="14">
        <v>0.61</v>
      </c>
    </row>
    <row r="16" spans="1:32" ht="21.5" x14ac:dyDescent="0.35">
      <c r="A16" s="31"/>
      <c r="B16" s="11" t="s">
        <v>1278</v>
      </c>
      <c r="C16" s="12">
        <v>2063</v>
      </c>
      <c r="D16" s="12">
        <v>34</v>
      </c>
      <c r="E16" s="12">
        <v>125</v>
      </c>
      <c r="F16" s="12">
        <v>45</v>
      </c>
      <c r="G16" s="12">
        <v>162</v>
      </c>
      <c r="H16" s="12">
        <v>82</v>
      </c>
      <c r="I16" s="12">
        <v>109</v>
      </c>
      <c r="J16" s="12">
        <v>26</v>
      </c>
      <c r="K16" s="12">
        <v>169</v>
      </c>
      <c r="L16" s="12">
        <v>64</v>
      </c>
      <c r="M16" s="12">
        <v>83</v>
      </c>
      <c r="N16" s="12">
        <v>107</v>
      </c>
      <c r="O16" s="12">
        <v>88</v>
      </c>
      <c r="P16" s="12">
        <v>71</v>
      </c>
      <c r="Q16" s="12">
        <v>57</v>
      </c>
      <c r="R16" s="12">
        <v>68</v>
      </c>
      <c r="S16" s="12">
        <v>129</v>
      </c>
      <c r="T16" s="12">
        <v>188</v>
      </c>
      <c r="U16" s="12">
        <v>49</v>
      </c>
      <c r="V16" s="12">
        <v>71</v>
      </c>
      <c r="W16" s="12">
        <v>75</v>
      </c>
      <c r="X16" s="12">
        <v>67</v>
      </c>
      <c r="Y16" s="12">
        <v>106</v>
      </c>
      <c r="Z16" s="12">
        <v>66</v>
      </c>
      <c r="AA16" s="12">
        <v>111</v>
      </c>
      <c r="AB16" s="12">
        <v>61</v>
      </c>
      <c r="AC16" s="12">
        <v>169</v>
      </c>
      <c r="AD16" s="12">
        <v>92</v>
      </c>
      <c r="AE16" s="12">
        <v>57</v>
      </c>
      <c r="AF16" s="12">
        <v>74</v>
      </c>
    </row>
    <row r="17" spans="1:32" ht="21.5" x14ac:dyDescent="0.35">
      <c r="A17" s="31"/>
      <c r="B17" s="13" t="s">
        <v>1279</v>
      </c>
      <c r="C17" s="14">
        <v>0.08</v>
      </c>
      <c r="D17" s="14">
        <v>0.03</v>
      </c>
      <c r="E17" s="14">
        <v>0.12</v>
      </c>
      <c r="F17" s="14">
        <v>0.04</v>
      </c>
      <c r="G17" s="14">
        <v>0.16</v>
      </c>
      <c r="H17" s="14">
        <v>7.0000000000000007E-2</v>
      </c>
      <c r="I17" s="14">
        <v>7.0000000000000007E-2</v>
      </c>
      <c r="J17" s="14">
        <v>0.09</v>
      </c>
      <c r="K17" s="14">
        <v>0.17</v>
      </c>
      <c r="L17" s="14">
        <v>0.06</v>
      </c>
      <c r="M17" s="14">
        <v>0.08</v>
      </c>
      <c r="N17" s="14">
        <v>0.11</v>
      </c>
      <c r="O17" s="14">
        <v>0.09</v>
      </c>
      <c r="P17" s="14">
        <v>7.0000000000000007E-2</v>
      </c>
      <c r="Q17" s="14">
        <v>0.05</v>
      </c>
      <c r="R17" s="14">
        <v>0.14000000000000001</v>
      </c>
      <c r="S17" s="14">
        <v>0.13</v>
      </c>
      <c r="T17" s="14">
        <v>0.18</v>
      </c>
      <c r="U17" s="14">
        <v>0.1</v>
      </c>
      <c r="V17" s="14">
        <v>7.0000000000000007E-2</v>
      </c>
      <c r="W17" s="14">
        <v>0.15</v>
      </c>
      <c r="X17" s="14">
        <v>0.06</v>
      </c>
      <c r="Y17" s="14">
        <v>0.1</v>
      </c>
      <c r="Z17" s="14">
        <v>0.06</v>
      </c>
      <c r="AA17" s="14">
        <v>0.11</v>
      </c>
      <c r="AB17" s="14">
        <v>0.06</v>
      </c>
      <c r="AC17" s="14">
        <v>0.17</v>
      </c>
      <c r="AD17" s="14">
        <v>0.09</v>
      </c>
      <c r="AE17" s="14">
        <v>0.06</v>
      </c>
      <c r="AF17" s="14">
        <v>7.0000000000000007E-2</v>
      </c>
    </row>
    <row r="18" spans="1:32" x14ac:dyDescent="0.35">
      <c r="A18" s="31"/>
      <c r="B18" s="11" t="s">
        <v>344</v>
      </c>
      <c r="C18" s="12">
        <v>736</v>
      </c>
      <c r="D18" s="12">
        <v>15</v>
      </c>
      <c r="E18" s="12">
        <v>36</v>
      </c>
      <c r="F18" s="12">
        <v>9</v>
      </c>
      <c r="G18" s="12">
        <v>28</v>
      </c>
      <c r="H18" s="12">
        <v>26</v>
      </c>
      <c r="I18" s="12">
        <v>33</v>
      </c>
      <c r="J18" s="12">
        <v>7</v>
      </c>
      <c r="K18" s="12">
        <v>50</v>
      </c>
      <c r="L18" s="12">
        <v>28</v>
      </c>
      <c r="M18" s="12">
        <v>4</v>
      </c>
      <c r="N18" s="12">
        <v>26</v>
      </c>
      <c r="O18" s="12">
        <v>38</v>
      </c>
      <c r="P18" s="12">
        <v>15</v>
      </c>
      <c r="Q18" s="12">
        <v>19</v>
      </c>
      <c r="R18" s="12">
        <v>13</v>
      </c>
      <c r="S18" s="12">
        <v>44</v>
      </c>
      <c r="T18" s="12">
        <v>36</v>
      </c>
      <c r="U18" s="12">
        <v>29</v>
      </c>
      <c r="V18" s="12">
        <v>10</v>
      </c>
      <c r="W18" s="12">
        <v>7</v>
      </c>
      <c r="X18" s="12">
        <v>11</v>
      </c>
      <c r="Y18" s="12">
        <v>28</v>
      </c>
      <c r="Z18" s="12">
        <v>61</v>
      </c>
      <c r="AA18" s="12">
        <v>82</v>
      </c>
      <c r="AB18" s="12">
        <v>37</v>
      </c>
      <c r="AC18" s="12">
        <v>28</v>
      </c>
      <c r="AD18" s="12">
        <v>9</v>
      </c>
      <c r="AE18" s="12">
        <v>36</v>
      </c>
      <c r="AF18" s="12">
        <v>6</v>
      </c>
    </row>
    <row r="19" spans="1:32" x14ac:dyDescent="0.35">
      <c r="A19" s="31"/>
      <c r="B19" s="13" t="s">
        <v>357</v>
      </c>
      <c r="C19" s="14">
        <v>0.03</v>
      </c>
      <c r="D19" s="14">
        <v>0.01</v>
      </c>
      <c r="E19" s="14">
        <v>0.03</v>
      </c>
      <c r="F19" s="14">
        <v>0.01</v>
      </c>
      <c r="G19" s="14">
        <v>0.03</v>
      </c>
      <c r="H19" s="14">
        <v>0.02</v>
      </c>
      <c r="I19" s="14">
        <v>0.02</v>
      </c>
      <c r="J19" s="14">
        <v>0.02</v>
      </c>
      <c r="K19" s="14">
        <v>0.05</v>
      </c>
      <c r="L19" s="14">
        <v>0.03</v>
      </c>
      <c r="M19" s="14">
        <v>0.01</v>
      </c>
      <c r="N19" s="14">
        <v>0.02</v>
      </c>
      <c r="O19" s="14">
        <v>0.04</v>
      </c>
      <c r="P19" s="14">
        <v>0.01</v>
      </c>
      <c r="Q19" s="14">
        <v>0.02</v>
      </c>
      <c r="R19" s="14">
        <v>0.02</v>
      </c>
      <c r="S19" s="14">
        <v>0.04</v>
      </c>
      <c r="T19" s="14">
        <v>0.04</v>
      </c>
      <c r="U19" s="14">
        <v>0.06</v>
      </c>
      <c r="V19" s="14">
        <v>0.01</v>
      </c>
      <c r="W19" s="14">
        <v>0.01</v>
      </c>
      <c r="X19" s="14">
        <v>0.01</v>
      </c>
      <c r="Y19" s="14">
        <v>0.03</v>
      </c>
      <c r="Z19" s="14">
        <v>0.06</v>
      </c>
      <c r="AA19" s="14">
        <v>0.08</v>
      </c>
      <c r="AB19" s="14">
        <v>0.04</v>
      </c>
      <c r="AC19" s="14">
        <v>0.03</v>
      </c>
      <c r="AD19" s="14">
        <v>0.01</v>
      </c>
      <c r="AE19" s="14">
        <v>0.04</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1280</v>
      </c>
      <c r="C3" s="30"/>
      <c r="D3" s="30"/>
      <c r="E3" s="30"/>
      <c r="F3" s="30"/>
      <c r="H3" s="30" t="s">
        <v>1281</v>
      </c>
      <c r="I3" s="30"/>
      <c r="J3" s="30"/>
      <c r="K3" s="30"/>
      <c r="L3" s="30"/>
    </row>
    <row r="4" spans="1:32" ht="27" customHeight="1" x14ac:dyDescent="0.35">
      <c r="B4" s="30" t="s">
        <v>1282</v>
      </c>
      <c r="C4" s="30"/>
      <c r="D4" s="30"/>
      <c r="E4" s="30"/>
      <c r="F4" s="30"/>
      <c r="H4" s="30" t="s">
        <v>1283</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1274</v>
      </c>
      <c r="C12" s="12">
        <v>11110</v>
      </c>
      <c r="D12" s="12">
        <v>436</v>
      </c>
      <c r="E12" s="12">
        <v>512</v>
      </c>
      <c r="F12" s="12">
        <v>415</v>
      </c>
      <c r="G12" s="12">
        <v>555</v>
      </c>
      <c r="H12" s="12">
        <v>547</v>
      </c>
      <c r="I12" s="12">
        <v>614</v>
      </c>
      <c r="J12" s="12">
        <v>67</v>
      </c>
      <c r="K12" s="12">
        <v>419</v>
      </c>
      <c r="L12" s="12">
        <v>612</v>
      </c>
      <c r="M12" s="12">
        <v>317</v>
      </c>
      <c r="N12" s="12">
        <v>365</v>
      </c>
      <c r="O12" s="12">
        <v>249</v>
      </c>
      <c r="P12" s="12">
        <v>583</v>
      </c>
      <c r="Q12" s="12">
        <v>502</v>
      </c>
      <c r="R12" s="12">
        <v>167</v>
      </c>
      <c r="S12" s="12">
        <v>495</v>
      </c>
      <c r="T12" s="12">
        <v>527</v>
      </c>
      <c r="U12" s="12">
        <v>190</v>
      </c>
      <c r="V12" s="12">
        <v>450</v>
      </c>
      <c r="W12" s="12">
        <v>254</v>
      </c>
      <c r="X12" s="12">
        <v>415</v>
      </c>
      <c r="Y12" s="12">
        <v>382</v>
      </c>
      <c r="Z12" s="12">
        <v>598</v>
      </c>
      <c r="AA12" s="12">
        <v>581</v>
      </c>
      <c r="AB12" s="12">
        <v>608</v>
      </c>
      <c r="AC12" s="12">
        <v>293</v>
      </c>
      <c r="AD12" s="12">
        <v>452</v>
      </c>
      <c r="AE12" s="12">
        <v>319</v>
      </c>
      <c r="AF12" s="12">
        <v>479</v>
      </c>
    </row>
    <row r="13" spans="1:32" ht="21.5" x14ac:dyDescent="0.35">
      <c r="A13" s="31"/>
      <c r="B13" s="13" t="s">
        <v>1275</v>
      </c>
      <c r="C13" s="14">
        <v>0.42</v>
      </c>
      <c r="D13" s="14">
        <v>0.42</v>
      </c>
      <c r="E13" s="14">
        <v>0.49</v>
      </c>
      <c r="F13" s="14">
        <v>0.41</v>
      </c>
      <c r="G13" s="14">
        <v>0.55000000000000004</v>
      </c>
      <c r="H13" s="14">
        <v>0.44</v>
      </c>
      <c r="I13" s="14">
        <v>0.4</v>
      </c>
      <c r="J13" s="14">
        <v>0.22</v>
      </c>
      <c r="K13" s="14">
        <v>0.41</v>
      </c>
      <c r="L13" s="14">
        <v>0.61</v>
      </c>
      <c r="M13" s="14">
        <v>0.31</v>
      </c>
      <c r="N13" s="14">
        <v>0.36</v>
      </c>
      <c r="O13" s="14">
        <v>0.25</v>
      </c>
      <c r="P13" s="14">
        <v>0.57999999999999996</v>
      </c>
      <c r="Q13" s="14">
        <v>0.48</v>
      </c>
      <c r="R13" s="14">
        <v>0.33</v>
      </c>
      <c r="S13" s="14">
        <v>0.49</v>
      </c>
      <c r="T13" s="14">
        <v>0.52</v>
      </c>
      <c r="U13" s="14">
        <v>0.37</v>
      </c>
      <c r="V13" s="14">
        <v>0.44</v>
      </c>
      <c r="W13" s="14">
        <v>0.51</v>
      </c>
      <c r="X13" s="14">
        <v>0.41</v>
      </c>
      <c r="Y13" s="14">
        <v>0.38</v>
      </c>
      <c r="Z13" s="14">
        <v>0.59</v>
      </c>
      <c r="AA13" s="14">
        <v>0.56000000000000005</v>
      </c>
      <c r="AB13" s="14">
        <v>0.57000000000000006</v>
      </c>
      <c r="AC13" s="14">
        <v>0.28999999999999998</v>
      </c>
      <c r="AD13" s="14">
        <v>0.45</v>
      </c>
      <c r="AE13" s="14">
        <v>0.32</v>
      </c>
      <c r="AF13" s="14">
        <v>0.47</v>
      </c>
    </row>
    <row r="14" spans="1:32" ht="21.5" x14ac:dyDescent="0.35">
      <c r="A14" s="31"/>
      <c r="B14" s="11" t="s">
        <v>1276</v>
      </c>
      <c r="C14" s="12">
        <v>11376</v>
      </c>
      <c r="D14" s="12">
        <v>520</v>
      </c>
      <c r="E14" s="12">
        <v>338</v>
      </c>
      <c r="F14" s="12">
        <v>515</v>
      </c>
      <c r="G14" s="12">
        <v>244</v>
      </c>
      <c r="H14" s="12">
        <v>536</v>
      </c>
      <c r="I14" s="12">
        <v>713</v>
      </c>
      <c r="J14" s="12">
        <v>177</v>
      </c>
      <c r="K14" s="12">
        <v>323</v>
      </c>
      <c r="L14" s="12">
        <v>267</v>
      </c>
      <c r="M14" s="12">
        <v>570</v>
      </c>
      <c r="N14" s="12">
        <v>421</v>
      </c>
      <c r="O14" s="12">
        <v>566</v>
      </c>
      <c r="P14" s="12">
        <v>325</v>
      </c>
      <c r="Q14" s="12">
        <v>432</v>
      </c>
      <c r="R14" s="12">
        <v>235</v>
      </c>
      <c r="S14" s="12">
        <v>278</v>
      </c>
      <c r="T14" s="12">
        <v>220</v>
      </c>
      <c r="U14" s="12">
        <v>206</v>
      </c>
      <c r="V14" s="12">
        <v>462</v>
      </c>
      <c r="W14" s="12">
        <v>109</v>
      </c>
      <c r="X14" s="12">
        <v>483</v>
      </c>
      <c r="Y14" s="12">
        <v>446</v>
      </c>
      <c r="Z14" s="12">
        <v>278</v>
      </c>
      <c r="AA14" s="12">
        <v>205</v>
      </c>
      <c r="AB14" s="12">
        <v>317</v>
      </c>
      <c r="AC14" s="12">
        <v>506</v>
      </c>
      <c r="AD14" s="12">
        <v>405</v>
      </c>
      <c r="AE14" s="12">
        <v>495</v>
      </c>
      <c r="AF14" s="12">
        <v>400</v>
      </c>
    </row>
    <row r="15" spans="1:32" ht="21.5" x14ac:dyDescent="0.35">
      <c r="A15" s="31"/>
      <c r="B15" s="13" t="s">
        <v>1277</v>
      </c>
      <c r="C15" s="14">
        <v>0.43</v>
      </c>
      <c r="D15" s="14">
        <v>0.51</v>
      </c>
      <c r="E15" s="14">
        <v>0.33</v>
      </c>
      <c r="F15" s="14">
        <v>0.51</v>
      </c>
      <c r="G15" s="14">
        <v>0.24</v>
      </c>
      <c r="H15" s="14">
        <v>0.43</v>
      </c>
      <c r="I15" s="14">
        <v>0.47</v>
      </c>
      <c r="J15" s="14">
        <v>0.6</v>
      </c>
      <c r="K15" s="14">
        <v>0.32</v>
      </c>
      <c r="L15" s="14">
        <v>0.27</v>
      </c>
      <c r="M15" s="14">
        <v>0.57000000000000006</v>
      </c>
      <c r="N15" s="14">
        <v>0.42</v>
      </c>
      <c r="O15" s="14">
        <v>0.56000000000000005</v>
      </c>
      <c r="P15" s="14">
        <v>0.33</v>
      </c>
      <c r="Q15" s="14">
        <v>0.42</v>
      </c>
      <c r="R15" s="14">
        <v>0.47</v>
      </c>
      <c r="S15" s="14">
        <v>0.27</v>
      </c>
      <c r="T15" s="14">
        <v>0.22</v>
      </c>
      <c r="U15" s="14">
        <v>0.4</v>
      </c>
      <c r="V15" s="14">
        <v>0.46</v>
      </c>
      <c r="W15" s="14">
        <v>0.21</v>
      </c>
      <c r="X15" s="14">
        <v>0.48</v>
      </c>
      <c r="Y15" s="14">
        <v>0.44</v>
      </c>
      <c r="Z15" s="14">
        <v>0.27</v>
      </c>
      <c r="AA15" s="14">
        <v>0.2</v>
      </c>
      <c r="AB15" s="14">
        <v>0.3</v>
      </c>
      <c r="AC15" s="14">
        <v>0.5</v>
      </c>
      <c r="AD15" s="14">
        <v>0.4</v>
      </c>
      <c r="AE15" s="14">
        <v>0.49</v>
      </c>
      <c r="AF15" s="14">
        <v>0.39</v>
      </c>
    </row>
    <row r="16" spans="1:32" ht="21.5" x14ac:dyDescent="0.35">
      <c r="A16" s="31"/>
      <c r="B16" s="11" t="s">
        <v>1278</v>
      </c>
      <c r="C16" s="12">
        <v>2410</v>
      </c>
      <c r="D16" s="12">
        <v>53</v>
      </c>
      <c r="E16" s="12">
        <v>98</v>
      </c>
      <c r="F16" s="12">
        <v>42</v>
      </c>
      <c r="G16" s="12">
        <v>157</v>
      </c>
      <c r="H16" s="12">
        <v>105</v>
      </c>
      <c r="I16" s="12">
        <v>141</v>
      </c>
      <c r="J16" s="12">
        <v>36</v>
      </c>
      <c r="K16" s="12">
        <v>177</v>
      </c>
      <c r="L16" s="12">
        <v>75</v>
      </c>
      <c r="M16" s="12">
        <v>98</v>
      </c>
      <c r="N16" s="12">
        <v>128</v>
      </c>
      <c r="O16" s="12">
        <v>98</v>
      </c>
      <c r="P16" s="12">
        <v>52</v>
      </c>
      <c r="Q16" s="12">
        <v>61</v>
      </c>
      <c r="R16" s="12">
        <v>70</v>
      </c>
      <c r="S16" s="12">
        <v>117</v>
      </c>
      <c r="T16" s="12">
        <v>197</v>
      </c>
      <c r="U16" s="12">
        <v>89</v>
      </c>
      <c r="V16" s="12">
        <v>80</v>
      </c>
      <c r="W16" s="12">
        <v>94</v>
      </c>
      <c r="X16" s="12">
        <v>97</v>
      </c>
      <c r="Y16" s="12">
        <v>129</v>
      </c>
      <c r="Z16" s="12">
        <v>82</v>
      </c>
      <c r="AA16" s="12">
        <v>130</v>
      </c>
      <c r="AB16" s="12">
        <v>60</v>
      </c>
      <c r="AC16" s="12">
        <v>167</v>
      </c>
      <c r="AD16" s="12">
        <v>102</v>
      </c>
      <c r="AE16" s="12">
        <v>84</v>
      </c>
      <c r="AF16" s="12">
        <v>90</v>
      </c>
    </row>
    <row r="17" spans="1:32" ht="21.5" x14ac:dyDescent="0.35">
      <c r="A17" s="31"/>
      <c r="B17" s="13" t="s">
        <v>1279</v>
      </c>
      <c r="C17" s="14">
        <v>0.09</v>
      </c>
      <c r="D17" s="14">
        <v>0.05</v>
      </c>
      <c r="E17" s="14">
        <v>0.09</v>
      </c>
      <c r="F17" s="14">
        <v>0.04</v>
      </c>
      <c r="G17" s="14">
        <v>0.15</v>
      </c>
      <c r="H17" s="14">
        <v>0.09</v>
      </c>
      <c r="I17" s="14">
        <v>0.09</v>
      </c>
      <c r="J17" s="14">
        <v>0.12</v>
      </c>
      <c r="K17" s="14">
        <v>0.18</v>
      </c>
      <c r="L17" s="14">
        <v>7.0000000000000007E-2</v>
      </c>
      <c r="M17" s="14">
        <v>0.1</v>
      </c>
      <c r="N17" s="14">
        <v>0.13</v>
      </c>
      <c r="O17" s="14">
        <v>0.1</v>
      </c>
      <c r="P17" s="14">
        <v>0.05</v>
      </c>
      <c r="Q17" s="14">
        <v>0.06</v>
      </c>
      <c r="R17" s="14">
        <v>0.14000000000000001</v>
      </c>
      <c r="S17" s="14">
        <v>0.11</v>
      </c>
      <c r="T17" s="14">
        <v>0.19</v>
      </c>
      <c r="U17" s="14">
        <v>0.18</v>
      </c>
      <c r="V17" s="14">
        <v>0.08</v>
      </c>
      <c r="W17" s="14">
        <v>0.19</v>
      </c>
      <c r="X17" s="14">
        <v>0.1</v>
      </c>
      <c r="Y17" s="14">
        <v>0.13</v>
      </c>
      <c r="Z17" s="14">
        <v>0.08</v>
      </c>
      <c r="AA17" s="14">
        <v>0.13</v>
      </c>
      <c r="AB17" s="14">
        <v>0.06</v>
      </c>
      <c r="AC17" s="14">
        <v>0.16</v>
      </c>
      <c r="AD17" s="14">
        <v>0.1</v>
      </c>
      <c r="AE17" s="14">
        <v>0.08</v>
      </c>
      <c r="AF17" s="14">
        <v>0.09</v>
      </c>
    </row>
    <row r="18" spans="1:32" x14ac:dyDescent="0.35">
      <c r="A18" s="31"/>
      <c r="B18" s="11" t="s">
        <v>344</v>
      </c>
      <c r="C18" s="12">
        <v>1513</v>
      </c>
      <c r="D18" s="12">
        <v>16</v>
      </c>
      <c r="E18" s="12">
        <v>91</v>
      </c>
      <c r="F18" s="12">
        <v>46</v>
      </c>
      <c r="G18" s="12">
        <v>62</v>
      </c>
      <c r="H18" s="12">
        <v>44</v>
      </c>
      <c r="I18" s="12">
        <v>62</v>
      </c>
      <c r="J18" s="12">
        <v>18</v>
      </c>
      <c r="K18" s="12">
        <v>91</v>
      </c>
      <c r="L18" s="12">
        <v>51</v>
      </c>
      <c r="M18" s="12">
        <v>19</v>
      </c>
      <c r="N18" s="12">
        <v>86</v>
      </c>
      <c r="O18" s="12">
        <v>87</v>
      </c>
      <c r="P18" s="12">
        <v>43</v>
      </c>
      <c r="Q18" s="12">
        <v>40</v>
      </c>
      <c r="R18" s="12">
        <v>29</v>
      </c>
      <c r="S18" s="12">
        <v>130</v>
      </c>
      <c r="T18" s="12">
        <v>73</v>
      </c>
      <c r="U18" s="12">
        <v>24</v>
      </c>
      <c r="V18" s="12">
        <v>22</v>
      </c>
      <c r="W18" s="12">
        <v>44</v>
      </c>
      <c r="X18" s="12">
        <v>15</v>
      </c>
      <c r="Y18" s="12">
        <v>47</v>
      </c>
      <c r="Z18" s="12">
        <v>62</v>
      </c>
      <c r="AA18" s="12">
        <v>115</v>
      </c>
      <c r="AB18" s="12">
        <v>71</v>
      </c>
      <c r="AC18" s="12">
        <v>46</v>
      </c>
      <c r="AD18" s="12">
        <v>45</v>
      </c>
      <c r="AE18" s="12">
        <v>109</v>
      </c>
      <c r="AF18" s="12">
        <v>50</v>
      </c>
    </row>
    <row r="19" spans="1:32" x14ac:dyDescent="0.35">
      <c r="A19" s="31"/>
      <c r="B19" s="13" t="s">
        <v>357</v>
      </c>
      <c r="C19" s="14">
        <v>0.06</v>
      </c>
      <c r="D19" s="14">
        <v>0.02</v>
      </c>
      <c r="E19" s="14">
        <v>0.09</v>
      </c>
      <c r="F19" s="14">
        <v>0.04</v>
      </c>
      <c r="G19" s="14">
        <v>0.06</v>
      </c>
      <c r="H19" s="14">
        <v>0.04</v>
      </c>
      <c r="I19" s="14">
        <v>0.04</v>
      </c>
      <c r="J19" s="14">
        <v>0.06</v>
      </c>
      <c r="K19" s="14">
        <v>0.09</v>
      </c>
      <c r="L19" s="14">
        <v>0.05</v>
      </c>
      <c r="M19" s="14">
        <v>0.02</v>
      </c>
      <c r="N19" s="14">
        <v>0.09</v>
      </c>
      <c r="O19" s="14">
        <v>0.09</v>
      </c>
      <c r="P19" s="14">
        <v>0.04</v>
      </c>
      <c r="Q19" s="14">
        <v>0.04</v>
      </c>
      <c r="R19" s="14">
        <v>0.06</v>
      </c>
      <c r="S19" s="14">
        <v>0.13</v>
      </c>
      <c r="T19" s="14">
        <v>7.0000000000000007E-2</v>
      </c>
      <c r="U19" s="14">
        <v>0.05</v>
      </c>
      <c r="V19" s="14">
        <v>0.02</v>
      </c>
      <c r="W19" s="14">
        <v>0.09</v>
      </c>
      <c r="X19" s="14">
        <v>0.01</v>
      </c>
      <c r="Y19" s="14">
        <v>0.05</v>
      </c>
      <c r="Z19" s="14">
        <v>0.06</v>
      </c>
      <c r="AA19" s="14">
        <v>0.11</v>
      </c>
      <c r="AB19" s="14">
        <v>7.0000000000000007E-2</v>
      </c>
      <c r="AC19" s="14">
        <v>0.05</v>
      </c>
      <c r="AD19" s="14">
        <v>0.05</v>
      </c>
      <c r="AE19" s="14">
        <v>0.11</v>
      </c>
      <c r="AF19" s="14">
        <v>0.05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1284</v>
      </c>
      <c r="C3" s="30"/>
      <c r="D3" s="30"/>
      <c r="E3" s="30"/>
      <c r="F3" s="30"/>
      <c r="H3" s="30" t="s">
        <v>1285</v>
      </c>
      <c r="I3" s="30"/>
      <c r="J3" s="30"/>
      <c r="K3" s="30"/>
      <c r="L3" s="30"/>
    </row>
    <row r="4" spans="1:32" ht="27" customHeight="1" x14ac:dyDescent="0.35">
      <c r="B4" s="30" t="s">
        <v>1286</v>
      </c>
      <c r="C4" s="30"/>
      <c r="D4" s="30"/>
      <c r="E4" s="30"/>
      <c r="F4" s="30"/>
      <c r="H4" s="30" t="s">
        <v>1287</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1274</v>
      </c>
      <c r="C12" s="12">
        <v>5190</v>
      </c>
      <c r="D12" s="12">
        <v>169</v>
      </c>
      <c r="E12" s="12">
        <v>393</v>
      </c>
      <c r="F12" s="12">
        <v>360</v>
      </c>
      <c r="G12" s="12">
        <v>18</v>
      </c>
      <c r="H12" s="12">
        <v>101</v>
      </c>
      <c r="I12" s="12">
        <v>140</v>
      </c>
      <c r="J12" s="12">
        <v>39</v>
      </c>
      <c r="K12" s="12">
        <v>191</v>
      </c>
      <c r="L12" s="12">
        <v>127</v>
      </c>
      <c r="M12" s="12">
        <v>213</v>
      </c>
      <c r="N12" s="12">
        <v>147</v>
      </c>
      <c r="O12" s="12">
        <v>97</v>
      </c>
      <c r="P12" s="12">
        <v>417</v>
      </c>
      <c r="Q12" s="12">
        <v>269</v>
      </c>
      <c r="R12" s="12">
        <v>109</v>
      </c>
      <c r="S12" s="12">
        <v>168</v>
      </c>
      <c r="T12" s="12">
        <v>212</v>
      </c>
      <c r="U12" s="12">
        <v>41</v>
      </c>
      <c r="V12" s="12">
        <v>405</v>
      </c>
      <c r="W12" s="12">
        <v>70</v>
      </c>
      <c r="X12" s="12">
        <v>62</v>
      </c>
      <c r="Y12" s="12">
        <v>167</v>
      </c>
      <c r="Z12" s="12">
        <v>417</v>
      </c>
      <c r="AA12" s="12">
        <v>329</v>
      </c>
      <c r="AB12" s="12">
        <v>538</v>
      </c>
      <c r="AC12" s="12">
        <v>100</v>
      </c>
      <c r="AD12" s="12">
        <v>266</v>
      </c>
      <c r="AE12" s="12">
        <v>61</v>
      </c>
      <c r="AF12" s="12">
        <v>50</v>
      </c>
    </row>
    <row r="13" spans="1:32" ht="21.5" x14ac:dyDescent="0.35">
      <c r="A13" s="31"/>
      <c r="B13" s="13" t="s">
        <v>1275</v>
      </c>
      <c r="C13" s="14">
        <v>0.2</v>
      </c>
      <c r="D13" s="14">
        <v>0.17</v>
      </c>
      <c r="E13" s="14">
        <v>0.38</v>
      </c>
      <c r="F13" s="14">
        <v>0.35</v>
      </c>
      <c r="G13" s="14">
        <v>0.02</v>
      </c>
      <c r="H13" s="14">
        <v>0.08</v>
      </c>
      <c r="I13" s="14">
        <v>0.09</v>
      </c>
      <c r="J13" s="14">
        <v>0.13</v>
      </c>
      <c r="K13" s="14">
        <v>0.19</v>
      </c>
      <c r="L13" s="14">
        <v>0.13</v>
      </c>
      <c r="M13" s="14">
        <v>0.21</v>
      </c>
      <c r="N13" s="14">
        <v>0.15</v>
      </c>
      <c r="O13" s="14">
        <v>0.1</v>
      </c>
      <c r="P13" s="14">
        <v>0.41</v>
      </c>
      <c r="Q13" s="14">
        <v>0.26</v>
      </c>
      <c r="R13" s="14">
        <v>0.22</v>
      </c>
      <c r="S13" s="14">
        <v>0.16</v>
      </c>
      <c r="T13" s="14">
        <v>0.21</v>
      </c>
      <c r="U13" s="14">
        <v>0.08</v>
      </c>
      <c r="V13" s="14">
        <v>0.4</v>
      </c>
      <c r="W13" s="14">
        <v>0.14000000000000001</v>
      </c>
      <c r="X13" s="14">
        <v>0.06</v>
      </c>
      <c r="Y13" s="14">
        <v>0.17</v>
      </c>
      <c r="Z13" s="14">
        <v>0.41</v>
      </c>
      <c r="AA13" s="14">
        <v>0.32</v>
      </c>
      <c r="AB13" s="14">
        <v>0.51</v>
      </c>
      <c r="AC13" s="14">
        <v>0.1</v>
      </c>
      <c r="AD13" s="14">
        <v>0.27</v>
      </c>
      <c r="AE13" s="14">
        <v>0.06</v>
      </c>
      <c r="AF13" s="14">
        <v>0.05</v>
      </c>
    </row>
    <row r="14" spans="1:32" ht="21.5" x14ac:dyDescent="0.35">
      <c r="A14" s="31"/>
      <c r="B14" s="11" t="s">
        <v>1276</v>
      </c>
      <c r="C14" s="12">
        <v>17690</v>
      </c>
      <c r="D14" s="12">
        <v>794</v>
      </c>
      <c r="E14" s="12">
        <v>330</v>
      </c>
      <c r="F14" s="12">
        <v>514</v>
      </c>
      <c r="G14" s="12">
        <v>939</v>
      </c>
      <c r="H14" s="12">
        <v>1047</v>
      </c>
      <c r="I14" s="12">
        <v>1281</v>
      </c>
      <c r="J14" s="12">
        <v>234</v>
      </c>
      <c r="K14" s="12">
        <v>524</v>
      </c>
      <c r="L14" s="12">
        <v>786</v>
      </c>
      <c r="M14" s="12">
        <v>648</v>
      </c>
      <c r="N14" s="12">
        <v>667</v>
      </c>
      <c r="O14" s="12">
        <v>727</v>
      </c>
      <c r="P14" s="12">
        <v>469</v>
      </c>
      <c r="Q14" s="12">
        <v>640</v>
      </c>
      <c r="R14" s="12">
        <v>256</v>
      </c>
      <c r="S14" s="12">
        <v>424</v>
      </c>
      <c r="T14" s="12">
        <v>487</v>
      </c>
      <c r="U14" s="12">
        <v>392</v>
      </c>
      <c r="V14" s="12">
        <v>477</v>
      </c>
      <c r="W14" s="12">
        <v>244</v>
      </c>
      <c r="X14" s="12">
        <v>925</v>
      </c>
      <c r="Y14" s="12">
        <v>673</v>
      </c>
      <c r="Z14" s="12">
        <v>429</v>
      </c>
      <c r="AA14" s="12">
        <v>566</v>
      </c>
      <c r="AB14" s="12">
        <v>331</v>
      </c>
      <c r="AC14" s="12">
        <v>747</v>
      </c>
      <c r="AD14" s="12">
        <v>554</v>
      </c>
      <c r="AE14" s="12">
        <v>867</v>
      </c>
      <c r="AF14" s="12">
        <v>940</v>
      </c>
    </row>
    <row r="15" spans="1:32" ht="21.5" x14ac:dyDescent="0.35">
      <c r="A15" s="31"/>
      <c r="B15" s="13" t="s">
        <v>1277</v>
      </c>
      <c r="C15" s="14">
        <v>0.67</v>
      </c>
      <c r="D15" s="14">
        <v>0.77</v>
      </c>
      <c r="E15" s="14">
        <v>0.32</v>
      </c>
      <c r="F15" s="14">
        <v>0.51</v>
      </c>
      <c r="G15" s="14">
        <v>0.92</v>
      </c>
      <c r="H15" s="14">
        <v>0.85</v>
      </c>
      <c r="I15" s="14">
        <v>0.84</v>
      </c>
      <c r="J15" s="14">
        <v>0.79</v>
      </c>
      <c r="K15" s="14">
        <v>0.52</v>
      </c>
      <c r="L15" s="14">
        <v>0.78</v>
      </c>
      <c r="M15" s="14">
        <v>0.65</v>
      </c>
      <c r="N15" s="14">
        <v>0.67</v>
      </c>
      <c r="O15" s="14">
        <v>0.73</v>
      </c>
      <c r="P15" s="14">
        <v>0.47</v>
      </c>
      <c r="Q15" s="14">
        <v>0.62</v>
      </c>
      <c r="R15" s="14">
        <v>0.51</v>
      </c>
      <c r="S15" s="14">
        <v>0.42</v>
      </c>
      <c r="T15" s="14">
        <v>0.48</v>
      </c>
      <c r="U15" s="14">
        <v>0.77</v>
      </c>
      <c r="V15" s="14">
        <v>0.47</v>
      </c>
      <c r="W15" s="14">
        <v>0.49</v>
      </c>
      <c r="X15" s="14">
        <v>0.92</v>
      </c>
      <c r="Y15" s="14">
        <v>0.67</v>
      </c>
      <c r="Z15" s="14">
        <v>0.42</v>
      </c>
      <c r="AA15" s="14">
        <v>0.55000000000000004</v>
      </c>
      <c r="AB15" s="14">
        <v>0.31</v>
      </c>
      <c r="AC15" s="14">
        <v>0.74</v>
      </c>
      <c r="AD15" s="14">
        <v>0.55000000000000004</v>
      </c>
      <c r="AE15" s="14">
        <v>0.86</v>
      </c>
      <c r="AF15" s="14">
        <v>0.92</v>
      </c>
    </row>
    <row r="16" spans="1:32" ht="21.5" x14ac:dyDescent="0.35">
      <c r="A16" s="31"/>
      <c r="B16" s="11" t="s">
        <v>1278</v>
      </c>
      <c r="C16" s="12">
        <v>1375</v>
      </c>
      <c r="D16" s="12">
        <v>45</v>
      </c>
      <c r="E16" s="12">
        <v>108</v>
      </c>
      <c r="F16" s="12">
        <v>50</v>
      </c>
      <c r="G16" s="12">
        <v>43</v>
      </c>
      <c r="H16" s="12">
        <v>40</v>
      </c>
      <c r="I16" s="12">
        <v>53</v>
      </c>
      <c r="J16" s="12">
        <v>13</v>
      </c>
      <c r="K16" s="12">
        <v>110</v>
      </c>
      <c r="L16" s="12">
        <v>29</v>
      </c>
      <c r="M16" s="12">
        <v>60</v>
      </c>
      <c r="N16" s="12">
        <v>67</v>
      </c>
      <c r="O16" s="12">
        <v>53</v>
      </c>
      <c r="P16" s="12">
        <v>50</v>
      </c>
      <c r="Q16" s="12">
        <v>50</v>
      </c>
      <c r="R16" s="12">
        <v>41</v>
      </c>
      <c r="S16" s="12">
        <v>130</v>
      </c>
      <c r="T16" s="12">
        <v>150</v>
      </c>
      <c r="U16" s="12">
        <v>24</v>
      </c>
      <c r="V16" s="12">
        <v>62</v>
      </c>
      <c r="W16" s="12">
        <v>48</v>
      </c>
      <c r="X16" s="12">
        <v>12</v>
      </c>
      <c r="Y16" s="12">
        <v>66</v>
      </c>
      <c r="Z16" s="12">
        <v>84</v>
      </c>
      <c r="AA16" s="12">
        <v>38</v>
      </c>
      <c r="AB16" s="12">
        <v>66</v>
      </c>
      <c r="AC16" s="12">
        <v>85</v>
      </c>
      <c r="AD16" s="12">
        <v>95</v>
      </c>
      <c r="AE16" s="12">
        <v>12</v>
      </c>
      <c r="AF16" s="12">
        <v>13</v>
      </c>
    </row>
    <row r="17" spans="1:32" ht="21.5" x14ac:dyDescent="0.35">
      <c r="A17" s="31"/>
      <c r="B17" s="13" t="s">
        <v>1279</v>
      </c>
      <c r="C17" s="14">
        <v>0.05</v>
      </c>
      <c r="D17" s="14">
        <v>0.04</v>
      </c>
      <c r="E17" s="14">
        <v>0.1</v>
      </c>
      <c r="F17" s="14">
        <v>0.05</v>
      </c>
      <c r="G17" s="14">
        <v>0.04</v>
      </c>
      <c r="H17" s="14">
        <v>0.03</v>
      </c>
      <c r="I17" s="14">
        <v>0.03</v>
      </c>
      <c r="J17" s="14">
        <v>0.04</v>
      </c>
      <c r="K17" s="14">
        <v>0.11</v>
      </c>
      <c r="L17" s="14">
        <v>0.03</v>
      </c>
      <c r="M17" s="14">
        <v>0.06</v>
      </c>
      <c r="N17" s="14">
        <v>0.06</v>
      </c>
      <c r="O17" s="14">
        <v>0.05</v>
      </c>
      <c r="P17" s="14">
        <v>0.05</v>
      </c>
      <c r="Q17" s="14">
        <v>0.05</v>
      </c>
      <c r="R17" s="14">
        <v>0.08</v>
      </c>
      <c r="S17" s="14">
        <v>0.13</v>
      </c>
      <c r="T17" s="14">
        <v>0.15</v>
      </c>
      <c r="U17" s="14">
        <v>0.05</v>
      </c>
      <c r="V17" s="14">
        <v>0.06</v>
      </c>
      <c r="W17" s="14">
        <v>0.09</v>
      </c>
      <c r="X17" s="14">
        <v>0.01</v>
      </c>
      <c r="Y17" s="14">
        <v>0.06</v>
      </c>
      <c r="Z17" s="14">
        <v>0.08</v>
      </c>
      <c r="AA17" s="14">
        <v>0.04</v>
      </c>
      <c r="AB17" s="14">
        <v>0.06</v>
      </c>
      <c r="AC17" s="14">
        <v>0.08</v>
      </c>
      <c r="AD17" s="14">
        <v>0.09</v>
      </c>
      <c r="AE17" s="14">
        <v>0.01</v>
      </c>
      <c r="AF17" s="14">
        <v>0.01</v>
      </c>
    </row>
    <row r="18" spans="1:32" x14ac:dyDescent="0.35">
      <c r="A18" s="31"/>
      <c r="B18" s="11" t="s">
        <v>344</v>
      </c>
      <c r="C18" s="12">
        <v>2156</v>
      </c>
      <c r="D18" s="12">
        <v>17</v>
      </c>
      <c r="E18" s="12">
        <v>208</v>
      </c>
      <c r="F18" s="12">
        <v>94</v>
      </c>
      <c r="G18" s="12">
        <v>17</v>
      </c>
      <c r="H18" s="12">
        <v>45</v>
      </c>
      <c r="I18" s="12">
        <v>57</v>
      </c>
      <c r="J18" s="12">
        <v>12</v>
      </c>
      <c r="K18" s="12">
        <v>184</v>
      </c>
      <c r="L18" s="12">
        <v>62</v>
      </c>
      <c r="M18" s="12">
        <v>84</v>
      </c>
      <c r="N18" s="12">
        <v>119</v>
      </c>
      <c r="O18" s="12">
        <v>123</v>
      </c>
      <c r="P18" s="12">
        <v>68</v>
      </c>
      <c r="Q18" s="12">
        <v>77</v>
      </c>
      <c r="R18" s="12">
        <v>95</v>
      </c>
      <c r="S18" s="12">
        <v>299</v>
      </c>
      <c r="T18" s="12">
        <v>168</v>
      </c>
      <c r="U18" s="12">
        <v>51</v>
      </c>
      <c r="V18" s="12">
        <v>71</v>
      </c>
      <c r="W18" s="12">
        <v>139</v>
      </c>
      <c r="X18" s="12">
        <v>10</v>
      </c>
      <c r="Y18" s="12">
        <v>98</v>
      </c>
      <c r="Z18" s="12">
        <v>89</v>
      </c>
      <c r="AA18" s="12">
        <v>97</v>
      </c>
      <c r="AB18" s="12">
        <v>121</v>
      </c>
      <c r="AC18" s="12">
        <v>81</v>
      </c>
      <c r="AD18" s="12">
        <v>90</v>
      </c>
      <c r="AE18" s="12">
        <v>67</v>
      </c>
      <c r="AF18" s="12">
        <v>17</v>
      </c>
    </row>
    <row r="19" spans="1:32" x14ac:dyDescent="0.35">
      <c r="A19" s="31"/>
      <c r="B19" s="13" t="s">
        <v>357</v>
      </c>
      <c r="C19" s="14">
        <v>0.08</v>
      </c>
      <c r="D19" s="14">
        <v>0.02</v>
      </c>
      <c r="E19" s="14">
        <v>0.2</v>
      </c>
      <c r="F19" s="14">
        <v>0.09</v>
      </c>
      <c r="G19" s="14">
        <v>0.02</v>
      </c>
      <c r="H19" s="14">
        <v>0.04</v>
      </c>
      <c r="I19" s="14">
        <v>0.04</v>
      </c>
      <c r="J19" s="14">
        <v>0.04</v>
      </c>
      <c r="K19" s="14">
        <v>0.18</v>
      </c>
      <c r="L19" s="14">
        <v>0.06</v>
      </c>
      <c r="M19" s="14">
        <v>0.08</v>
      </c>
      <c r="N19" s="14">
        <v>0.12</v>
      </c>
      <c r="O19" s="14">
        <v>0.12</v>
      </c>
      <c r="P19" s="14">
        <v>7.0000000000000007E-2</v>
      </c>
      <c r="Q19" s="14">
        <v>7.0000000000000007E-2</v>
      </c>
      <c r="R19" s="14">
        <v>0.19</v>
      </c>
      <c r="S19" s="14">
        <v>0.28999999999999998</v>
      </c>
      <c r="T19" s="14">
        <v>0.16</v>
      </c>
      <c r="U19" s="14">
        <v>0.1</v>
      </c>
      <c r="V19" s="14">
        <v>7.0000000000000007E-2</v>
      </c>
      <c r="W19" s="14">
        <v>0.28000000000000003</v>
      </c>
      <c r="X19" s="14">
        <v>0.01</v>
      </c>
      <c r="Y19" s="14">
        <v>0.1</v>
      </c>
      <c r="Z19" s="14">
        <v>0.09</v>
      </c>
      <c r="AA19" s="14">
        <v>0.09</v>
      </c>
      <c r="AB19" s="14">
        <v>0.12</v>
      </c>
      <c r="AC19" s="14">
        <v>0.08</v>
      </c>
      <c r="AD19" s="14">
        <v>0.09</v>
      </c>
      <c r="AE19" s="14">
        <v>7.0000000000000007E-2</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1288</v>
      </c>
      <c r="C3" s="30"/>
      <c r="D3" s="30"/>
      <c r="E3" s="30"/>
      <c r="F3" s="30"/>
      <c r="H3" s="30" t="s">
        <v>1289</v>
      </c>
      <c r="I3" s="30"/>
      <c r="J3" s="30"/>
      <c r="K3" s="30"/>
      <c r="L3" s="30"/>
    </row>
    <row r="4" spans="1:32" ht="27" customHeight="1" x14ac:dyDescent="0.35">
      <c r="B4" s="30" t="s">
        <v>1290</v>
      </c>
      <c r="C4" s="30"/>
      <c r="D4" s="30"/>
      <c r="E4" s="30"/>
      <c r="F4" s="30"/>
      <c r="H4" s="30" t="s">
        <v>1291</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x14ac:dyDescent="0.35">
      <c r="A12" s="31"/>
      <c r="B12" s="11" t="s">
        <v>1274</v>
      </c>
      <c r="C12" s="12">
        <v>20455</v>
      </c>
      <c r="D12" s="12">
        <v>800</v>
      </c>
      <c r="E12" s="12">
        <v>696</v>
      </c>
      <c r="F12" s="12">
        <v>863</v>
      </c>
      <c r="G12" s="12">
        <v>910</v>
      </c>
      <c r="H12" s="12">
        <v>995</v>
      </c>
      <c r="I12" s="12">
        <v>1205</v>
      </c>
      <c r="J12" s="12">
        <v>210</v>
      </c>
      <c r="K12" s="12">
        <v>753</v>
      </c>
      <c r="L12" s="12">
        <v>897</v>
      </c>
      <c r="M12" s="12">
        <v>829</v>
      </c>
      <c r="N12" s="12">
        <v>826</v>
      </c>
      <c r="O12" s="12">
        <v>735</v>
      </c>
      <c r="P12" s="12">
        <v>757</v>
      </c>
      <c r="Q12" s="12">
        <v>758</v>
      </c>
      <c r="R12" s="12">
        <v>419</v>
      </c>
      <c r="S12" s="12">
        <v>839</v>
      </c>
      <c r="T12" s="12">
        <v>837</v>
      </c>
      <c r="U12" s="12">
        <v>432</v>
      </c>
      <c r="V12" s="12">
        <v>711</v>
      </c>
      <c r="W12" s="12">
        <v>442</v>
      </c>
      <c r="X12" s="12">
        <v>850</v>
      </c>
      <c r="Y12" s="12">
        <v>739</v>
      </c>
      <c r="Z12" s="12">
        <v>766</v>
      </c>
      <c r="AA12" s="12">
        <v>804</v>
      </c>
      <c r="AB12" s="12">
        <v>744</v>
      </c>
      <c r="AC12" s="12">
        <v>923</v>
      </c>
      <c r="AD12" s="12">
        <v>838</v>
      </c>
      <c r="AE12" s="12">
        <v>710</v>
      </c>
      <c r="AF12" s="12">
        <v>879</v>
      </c>
    </row>
    <row r="13" spans="1:32" ht="21.5" x14ac:dyDescent="0.35">
      <c r="A13" s="31"/>
      <c r="B13" s="13" t="s">
        <v>1275</v>
      </c>
      <c r="C13" s="14">
        <v>0.78</v>
      </c>
      <c r="D13" s="14">
        <v>0.78</v>
      </c>
      <c r="E13" s="14">
        <v>0.67</v>
      </c>
      <c r="F13" s="14">
        <v>0.85</v>
      </c>
      <c r="G13" s="14">
        <v>0.89</v>
      </c>
      <c r="H13" s="14">
        <v>0.81</v>
      </c>
      <c r="I13" s="14">
        <v>0.79</v>
      </c>
      <c r="J13" s="14">
        <v>0.71</v>
      </c>
      <c r="K13" s="14">
        <v>0.75</v>
      </c>
      <c r="L13" s="14">
        <v>0.89</v>
      </c>
      <c r="M13" s="14">
        <v>0.83000000000000007</v>
      </c>
      <c r="N13" s="14">
        <v>0.83000000000000007</v>
      </c>
      <c r="O13" s="14">
        <v>0.74</v>
      </c>
      <c r="P13" s="14">
        <v>0.75</v>
      </c>
      <c r="Q13" s="14">
        <v>0.73</v>
      </c>
      <c r="R13" s="14">
        <v>0.84</v>
      </c>
      <c r="S13" s="14">
        <v>0.82000000000000006</v>
      </c>
      <c r="T13" s="14">
        <v>0.82000000000000006</v>
      </c>
      <c r="U13" s="14">
        <v>0.85</v>
      </c>
      <c r="V13" s="14">
        <v>0.70000000000000007</v>
      </c>
      <c r="W13" s="14">
        <v>0.88</v>
      </c>
      <c r="X13" s="14">
        <v>0.84</v>
      </c>
      <c r="Y13" s="14">
        <v>0.74</v>
      </c>
      <c r="Z13" s="14">
        <v>0.75</v>
      </c>
      <c r="AA13" s="14">
        <v>0.78</v>
      </c>
      <c r="AB13" s="14">
        <v>0.70000000000000007</v>
      </c>
      <c r="AC13" s="14">
        <v>0.91</v>
      </c>
      <c r="AD13" s="14">
        <v>0.84</v>
      </c>
      <c r="AE13" s="14">
        <v>0.71</v>
      </c>
      <c r="AF13" s="14">
        <v>0.86</v>
      </c>
    </row>
    <row r="14" spans="1:32" ht="21.5" x14ac:dyDescent="0.35">
      <c r="A14" s="31"/>
      <c r="B14" s="11" t="s">
        <v>1276</v>
      </c>
      <c r="C14" s="12">
        <v>2928</v>
      </c>
      <c r="D14" s="12">
        <v>165</v>
      </c>
      <c r="E14" s="12">
        <v>130</v>
      </c>
      <c r="F14" s="12">
        <v>103</v>
      </c>
      <c r="G14" s="12">
        <v>39</v>
      </c>
      <c r="H14" s="12">
        <v>114</v>
      </c>
      <c r="I14" s="12">
        <v>157</v>
      </c>
      <c r="J14" s="12">
        <v>43</v>
      </c>
      <c r="K14" s="12">
        <v>88</v>
      </c>
      <c r="L14" s="12">
        <v>41</v>
      </c>
      <c r="M14" s="12">
        <v>104</v>
      </c>
      <c r="N14" s="12">
        <v>73</v>
      </c>
      <c r="O14" s="12">
        <v>101</v>
      </c>
      <c r="P14" s="12">
        <v>157</v>
      </c>
      <c r="Q14" s="12">
        <v>170</v>
      </c>
      <c r="R14" s="12">
        <v>37</v>
      </c>
      <c r="S14" s="12">
        <v>55</v>
      </c>
      <c r="T14" s="12">
        <v>44</v>
      </c>
      <c r="U14" s="12">
        <v>26</v>
      </c>
      <c r="V14" s="12">
        <v>164</v>
      </c>
      <c r="W14" s="12">
        <v>18</v>
      </c>
      <c r="X14" s="12">
        <v>66</v>
      </c>
      <c r="Y14" s="12">
        <v>105</v>
      </c>
      <c r="Z14" s="12">
        <v>127</v>
      </c>
      <c r="AA14" s="12">
        <v>69</v>
      </c>
      <c r="AB14" s="12">
        <v>207</v>
      </c>
      <c r="AC14" s="12">
        <v>36</v>
      </c>
      <c r="AD14" s="12">
        <v>107</v>
      </c>
      <c r="AE14" s="12">
        <v>80</v>
      </c>
      <c r="AF14" s="12">
        <v>83</v>
      </c>
    </row>
    <row r="15" spans="1:32" ht="21.5" x14ac:dyDescent="0.35">
      <c r="A15" s="31"/>
      <c r="B15" s="13" t="s">
        <v>1277</v>
      </c>
      <c r="C15" s="14">
        <v>0.11</v>
      </c>
      <c r="D15" s="14">
        <v>0.16</v>
      </c>
      <c r="E15" s="14">
        <v>0.12</v>
      </c>
      <c r="F15" s="14">
        <v>0.1</v>
      </c>
      <c r="G15" s="14">
        <v>0.04</v>
      </c>
      <c r="H15" s="14">
        <v>0.09</v>
      </c>
      <c r="I15" s="14">
        <v>0.1</v>
      </c>
      <c r="J15" s="14">
        <v>0.14000000000000001</v>
      </c>
      <c r="K15" s="14">
        <v>0.09</v>
      </c>
      <c r="L15" s="14">
        <v>0.04</v>
      </c>
      <c r="M15" s="14">
        <v>0.1</v>
      </c>
      <c r="N15" s="14">
        <v>7.0000000000000007E-2</v>
      </c>
      <c r="O15" s="14">
        <v>0.1</v>
      </c>
      <c r="P15" s="14">
        <v>0.16</v>
      </c>
      <c r="Q15" s="14">
        <v>0.17</v>
      </c>
      <c r="R15" s="14">
        <v>7.0000000000000007E-2</v>
      </c>
      <c r="S15" s="14">
        <v>0.05</v>
      </c>
      <c r="T15" s="14">
        <v>0.04</v>
      </c>
      <c r="U15" s="14">
        <v>0.05</v>
      </c>
      <c r="V15" s="14">
        <v>0.16</v>
      </c>
      <c r="W15" s="14">
        <v>0.04</v>
      </c>
      <c r="X15" s="14">
        <v>7.0000000000000007E-2</v>
      </c>
      <c r="Y15" s="14">
        <v>0.1</v>
      </c>
      <c r="Z15" s="14">
        <v>0.12</v>
      </c>
      <c r="AA15" s="14">
        <v>7.0000000000000007E-2</v>
      </c>
      <c r="AB15" s="14">
        <v>0.2</v>
      </c>
      <c r="AC15" s="14">
        <v>0.03</v>
      </c>
      <c r="AD15" s="14">
        <v>0.11</v>
      </c>
      <c r="AE15" s="14">
        <v>0.08</v>
      </c>
      <c r="AF15" s="14">
        <v>0.08</v>
      </c>
    </row>
    <row r="16" spans="1:32" ht="21.5" x14ac:dyDescent="0.35">
      <c r="A16" s="31"/>
      <c r="B16" s="11" t="s">
        <v>1278</v>
      </c>
      <c r="C16" s="12">
        <v>2694</v>
      </c>
      <c r="D16" s="12">
        <v>57</v>
      </c>
      <c r="E16" s="12">
        <v>172</v>
      </c>
      <c r="F16" s="12">
        <v>43</v>
      </c>
      <c r="G16" s="12">
        <v>63</v>
      </c>
      <c r="H16" s="12">
        <v>116</v>
      </c>
      <c r="I16" s="12">
        <v>154</v>
      </c>
      <c r="J16" s="12">
        <v>38</v>
      </c>
      <c r="K16" s="12">
        <v>125</v>
      </c>
      <c r="L16" s="12">
        <v>57</v>
      </c>
      <c r="M16" s="12">
        <v>62</v>
      </c>
      <c r="N16" s="12">
        <v>87</v>
      </c>
      <c r="O16" s="12">
        <v>150</v>
      </c>
      <c r="P16" s="12">
        <v>76</v>
      </c>
      <c r="Q16" s="12">
        <v>96</v>
      </c>
      <c r="R16" s="12">
        <v>42</v>
      </c>
      <c r="S16" s="12">
        <v>112</v>
      </c>
      <c r="T16" s="12">
        <v>127</v>
      </c>
      <c r="U16" s="12">
        <v>41</v>
      </c>
      <c r="V16" s="12">
        <v>129</v>
      </c>
      <c r="W16" s="12">
        <v>40</v>
      </c>
      <c r="X16" s="12">
        <v>85</v>
      </c>
      <c r="Y16" s="12">
        <v>142</v>
      </c>
      <c r="Z16" s="12">
        <v>111</v>
      </c>
      <c r="AA16" s="12">
        <v>141</v>
      </c>
      <c r="AB16" s="12">
        <v>77</v>
      </c>
      <c r="AC16" s="12">
        <v>47</v>
      </c>
      <c r="AD16" s="12">
        <v>54</v>
      </c>
      <c r="AE16" s="12">
        <v>183</v>
      </c>
      <c r="AF16" s="12">
        <v>55</v>
      </c>
    </row>
    <row r="17" spans="1:32" ht="21.5" x14ac:dyDescent="0.35">
      <c r="A17" s="31"/>
      <c r="B17" s="13" t="s">
        <v>1279</v>
      </c>
      <c r="C17" s="14">
        <v>0.1</v>
      </c>
      <c r="D17" s="14">
        <v>0.06</v>
      </c>
      <c r="E17" s="14">
        <v>0.17</v>
      </c>
      <c r="F17" s="14">
        <v>0.04</v>
      </c>
      <c r="G17" s="14">
        <v>0.06</v>
      </c>
      <c r="H17" s="14">
        <v>0.09</v>
      </c>
      <c r="I17" s="14">
        <v>0.1</v>
      </c>
      <c r="J17" s="14">
        <v>0.13</v>
      </c>
      <c r="K17" s="14">
        <v>0.12</v>
      </c>
      <c r="L17" s="14">
        <v>0.06</v>
      </c>
      <c r="M17" s="14">
        <v>0.06</v>
      </c>
      <c r="N17" s="14">
        <v>0.09</v>
      </c>
      <c r="O17" s="14">
        <v>0.15</v>
      </c>
      <c r="P17" s="14">
        <v>0.08</v>
      </c>
      <c r="Q17" s="14">
        <v>0.09</v>
      </c>
      <c r="R17" s="14">
        <v>0.08</v>
      </c>
      <c r="S17" s="14">
        <v>0.11</v>
      </c>
      <c r="T17" s="14">
        <v>0.13</v>
      </c>
      <c r="U17" s="14">
        <v>0.08</v>
      </c>
      <c r="V17" s="14">
        <v>0.13</v>
      </c>
      <c r="W17" s="14">
        <v>0.08</v>
      </c>
      <c r="X17" s="14">
        <v>0.08</v>
      </c>
      <c r="Y17" s="14">
        <v>0.14000000000000001</v>
      </c>
      <c r="Z17" s="14">
        <v>0.11</v>
      </c>
      <c r="AA17" s="14">
        <v>0.13</v>
      </c>
      <c r="AB17" s="14">
        <v>7.0000000000000007E-2</v>
      </c>
      <c r="AC17" s="14">
        <v>0.05</v>
      </c>
      <c r="AD17" s="14">
        <v>0.05</v>
      </c>
      <c r="AE17" s="14">
        <v>0.18</v>
      </c>
      <c r="AF17" s="14">
        <v>0.06</v>
      </c>
    </row>
    <row r="18" spans="1:32" x14ac:dyDescent="0.35">
      <c r="A18" s="31"/>
      <c r="B18" s="11" t="s">
        <v>344</v>
      </c>
      <c r="C18" s="12">
        <v>333</v>
      </c>
      <c r="D18" s="12">
        <v>2</v>
      </c>
      <c r="E18" s="12">
        <v>40</v>
      </c>
      <c r="F18" s="12">
        <v>10</v>
      </c>
      <c r="G18" s="12">
        <v>6</v>
      </c>
      <c r="H18" s="12">
        <v>7</v>
      </c>
      <c r="I18" s="12">
        <v>13</v>
      </c>
      <c r="J18" s="12">
        <v>6</v>
      </c>
      <c r="K18" s="12">
        <v>42</v>
      </c>
      <c r="L18" s="12">
        <v>8</v>
      </c>
      <c r="M18" s="12">
        <v>9</v>
      </c>
      <c r="N18" s="12">
        <v>14</v>
      </c>
      <c r="O18" s="12">
        <v>14</v>
      </c>
      <c r="P18" s="12">
        <v>14</v>
      </c>
      <c r="Q18" s="12">
        <v>12</v>
      </c>
      <c r="R18" s="12">
        <v>3</v>
      </c>
      <c r="S18" s="12">
        <v>15</v>
      </c>
      <c r="T18" s="12">
        <v>9</v>
      </c>
      <c r="U18" s="12">
        <v>10</v>
      </c>
      <c r="V18" s="12">
        <v>10</v>
      </c>
      <c r="W18" s="12">
        <v>1</v>
      </c>
      <c r="X18" s="12">
        <v>9</v>
      </c>
      <c r="Y18" s="12">
        <v>17</v>
      </c>
      <c r="Z18" s="12">
        <v>15</v>
      </c>
      <c r="AA18" s="12">
        <v>17</v>
      </c>
      <c r="AB18" s="12">
        <v>28</v>
      </c>
      <c r="AC18" s="12">
        <v>7</v>
      </c>
      <c r="AD18" s="12">
        <v>5</v>
      </c>
      <c r="AE18" s="12">
        <v>34</v>
      </c>
      <c r="AF18" s="12">
        <v>3</v>
      </c>
    </row>
    <row r="19" spans="1:32" x14ac:dyDescent="0.35">
      <c r="A19" s="31"/>
      <c r="B19" s="13" t="s">
        <v>357</v>
      </c>
      <c r="C19" s="14">
        <v>0.01</v>
      </c>
      <c r="D19" s="15" t="s">
        <v>333</v>
      </c>
      <c r="E19" s="14">
        <v>0.04</v>
      </c>
      <c r="F19" s="14">
        <v>0.01</v>
      </c>
      <c r="G19" s="14">
        <v>0.01</v>
      </c>
      <c r="H19" s="14">
        <v>0.01</v>
      </c>
      <c r="I19" s="14">
        <v>0.01</v>
      </c>
      <c r="J19" s="14">
        <v>0.02</v>
      </c>
      <c r="K19" s="14">
        <v>0.04</v>
      </c>
      <c r="L19" s="14">
        <v>0.01</v>
      </c>
      <c r="M19" s="14">
        <v>0.01</v>
      </c>
      <c r="N19" s="14">
        <v>0.01</v>
      </c>
      <c r="O19" s="14">
        <v>0.01</v>
      </c>
      <c r="P19" s="14">
        <v>0.01</v>
      </c>
      <c r="Q19" s="14">
        <v>0.01</v>
      </c>
      <c r="R19" s="14">
        <v>0.01</v>
      </c>
      <c r="S19" s="14">
        <v>0.02</v>
      </c>
      <c r="T19" s="14">
        <v>0.01</v>
      </c>
      <c r="U19" s="14">
        <v>0.02</v>
      </c>
      <c r="V19" s="14">
        <v>0.01</v>
      </c>
      <c r="W19" s="15" t="s">
        <v>333</v>
      </c>
      <c r="X19" s="14">
        <v>0.01</v>
      </c>
      <c r="Y19" s="14">
        <v>0.02</v>
      </c>
      <c r="Z19" s="14">
        <v>0.02</v>
      </c>
      <c r="AA19" s="14">
        <v>0.02</v>
      </c>
      <c r="AB19" s="14">
        <v>0.03</v>
      </c>
      <c r="AC19" s="14">
        <v>0.01</v>
      </c>
      <c r="AD19" s="15" t="s">
        <v>333</v>
      </c>
      <c r="AE19" s="14">
        <v>0.03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1292</v>
      </c>
      <c r="C3" s="30"/>
      <c r="D3" s="30"/>
      <c r="E3" s="30"/>
      <c r="F3" s="30"/>
      <c r="H3" s="30" t="s">
        <v>1293</v>
      </c>
      <c r="I3" s="30"/>
      <c r="J3" s="30"/>
      <c r="K3" s="30"/>
      <c r="L3" s="30"/>
    </row>
    <row r="4" spans="1:32" ht="27" customHeight="1" x14ac:dyDescent="0.35">
      <c r="B4" s="30" t="s">
        <v>1294</v>
      </c>
      <c r="C4" s="30"/>
      <c r="D4" s="30"/>
      <c r="E4" s="30"/>
      <c r="F4" s="30"/>
      <c r="H4" s="30" t="s">
        <v>1295</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1296</v>
      </c>
      <c r="C12" s="12">
        <v>6428</v>
      </c>
      <c r="D12" s="12">
        <v>178</v>
      </c>
      <c r="E12" s="12">
        <v>281</v>
      </c>
      <c r="F12" s="12">
        <v>211</v>
      </c>
      <c r="G12" s="12">
        <v>332</v>
      </c>
      <c r="H12" s="12">
        <v>451</v>
      </c>
      <c r="I12" s="12">
        <v>555</v>
      </c>
      <c r="J12" s="12">
        <v>104</v>
      </c>
      <c r="K12" s="12">
        <v>203</v>
      </c>
      <c r="L12" s="12">
        <v>256</v>
      </c>
      <c r="M12" s="12">
        <v>427</v>
      </c>
      <c r="N12" s="12">
        <v>178</v>
      </c>
      <c r="O12" s="12">
        <v>173</v>
      </c>
      <c r="P12" s="12">
        <v>171</v>
      </c>
      <c r="Q12" s="12">
        <v>230</v>
      </c>
      <c r="R12" s="12">
        <v>102</v>
      </c>
      <c r="S12" s="12">
        <v>183</v>
      </c>
      <c r="T12" s="12">
        <v>165</v>
      </c>
      <c r="U12" s="12">
        <v>125</v>
      </c>
      <c r="V12" s="12">
        <v>160</v>
      </c>
      <c r="W12" s="12">
        <v>126</v>
      </c>
      <c r="X12" s="12">
        <v>429</v>
      </c>
      <c r="Y12" s="12">
        <v>306</v>
      </c>
      <c r="Z12" s="12">
        <v>140</v>
      </c>
      <c r="AA12" s="12">
        <v>134</v>
      </c>
      <c r="AB12" s="12">
        <v>202</v>
      </c>
      <c r="AC12" s="12">
        <v>117</v>
      </c>
      <c r="AD12" s="12">
        <v>247</v>
      </c>
      <c r="AE12" s="12">
        <v>307</v>
      </c>
      <c r="AF12" s="12">
        <v>396</v>
      </c>
    </row>
    <row r="13" spans="1:32" x14ac:dyDescent="0.35">
      <c r="A13" s="31"/>
      <c r="B13" s="13" t="s">
        <v>1297</v>
      </c>
      <c r="C13" s="14">
        <v>0.25</v>
      </c>
      <c r="D13" s="14">
        <v>0.17</v>
      </c>
      <c r="E13" s="14">
        <v>0.27</v>
      </c>
      <c r="F13" s="14">
        <v>0.21</v>
      </c>
      <c r="G13" s="14">
        <v>0.32</v>
      </c>
      <c r="H13" s="14">
        <v>0.37</v>
      </c>
      <c r="I13" s="14">
        <v>0.36</v>
      </c>
      <c r="J13" s="14">
        <v>0.35</v>
      </c>
      <c r="K13" s="14">
        <v>0.2</v>
      </c>
      <c r="L13" s="14">
        <v>0.26</v>
      </c>
      <c r="M13" s="14">
        <v>0.42</v>
      </c>
      <c r="N13" s="14">
        <v>0.18</v>
      </c>
      <c r="O13" s="14">
        <v>0.17</v>
      </c>
      <c r="P13" s="14">
        <v>0.17</v>
      </c>
      <c r="Q13" s="14">
        <v>0.22</v>
      </c>
      <c r="R13" s="14">
        <v>0.21</v>
      </c>
      <c r="S13" s="14">
        <v>0.18</v>
      </c>
      <c r="T13" s="14">
        <v>0.16</v>
      </c>
      <c r="U13" s="14">
        <v>0.24</v>
      </c>
      <c r="V13" s="14">
        <v>0.16</v>
      </c>
      <c r="W13" s="14">
        <v>0.25</v>
      </c>
      <c r="X13" s="14">
        <v>0.43</v>
      </c>
      <c r="Y13" s="14">
        <v>0.31</v>
      </c>
      <c r="Z13" s="14">
        <v>0.14000000000000001</v>
      </c>
      <c r="AA13" s="14">
        <v>0.13</v>
      </c>
      <c r="AB13" s="14">
        <v>0.19</v>
      </c>
      <c r="AC13" s="14">
        <v>0.11</v>
      </c>
      <c r="AD13" s="14">
        <v>0.25</v>
      </c>
      <c r="AE13" s="14">
        <v>0.3</v>
      </c>
      <c r="AF13" s="14">
        <v>0.39</v>
      </c>
    </row>
    <row r="14" spans="1:32" x14ac:dyDescent="0.35">
      <c r="A14" s="31"/>
      <c r="B14" s="11" t="s">
        <v>1298</v>
      </c>
      <c r="C14" s="12">
        <v>14847</v>
      </c>
      <c r="D14" s="12">
        <v>591</v>
      </c>
      <c r="E14" s="12">
        <v>595</v>
      </c>
      <c r="F14" s="12">
        <v>583</v>
      </c>
      <c r="G14" s="12">
        <v>566</v>
      </c>
      <c r="H14" s="12">
        <v>707</v>
      </c>
      <c r="I14" s="12">
        <v>868</v>
      </c>
      <c r="J14" s="12">
        <v>161</v>
      </c>
      <c r="K14" s="12">
        <v>588</v>
      </c>
      <c r="L14" s="12">
        <v>512</v>
      </c>
      <c r="M14" s="12">
        <v>459</v>
      </c>
      <c r="N14" s="12">
        <v>472</v>
      </c>
      <c r="O14" s="12">
        <v>538</v>
      </c>
      <c r="P14" s="12">
        <v>627</v>
      </c>
      <c r="Q14" s="12">
        <v>600</v>
      </c>
      <c r="R14" s="12">
        <v>220</v>
      </c>
      <c r="S14" s="12">
        <v>563</v>
      </c>
      <c r="T14" s="12">
        <v>648</v>
      </c>
      <c r="U14" s="12">
        <v>263</v>
      </c>
      <c r="V14" s="12">
        <v>712</v>
      </c>
      <c r="W14" s="12">
        <v>248</v>
      </c>
      <c r="X14" s="12">
        <v>475</v>
      </c>
      <c r="Y14" s="12">
        <v>563</v>
      </c>
      <c r="Z14" s="12">
        <v>703</v>
      </c>
      <c r="AA14" s="12">
        <v>532</v>
      </c>
      <c r="AB14" s="12">
        <v>699</v>
      </c>
      <c r="AC14" s="12">
        <v>664</v>
      </c>
      <c r="AD14" s="12">
        <v>631</v>
      </c>
      <c r="AE14" s="12">
        <v>510</v>
      </c>
      <c r="AF14" s="12">
        <v>512</v>
      </c>
    </row>
    <row r="15" spans="1:32" x14ac:dyDescent="0.35">
      <c r="A15" s="31"/>
      <c r="B15" s="13" t="s">
        <v>1299</v>
      </c>
      <c r="C15" s="14">
        <v>0.56000000000000005</v>
      </c>
      <c r="D15" s="14">
        <v>0.57999999999999996</v>
      </c>
      <c r="E15" s="14">
        <v>0.57000000000000006</v>
      </c>
      <c r="F15" s="14">
        <v>0.57000000000000006</v>
      </c>
      <c r="G15" s="14">
        <v>0.56000000000000005</v>
      </c>
      <c r="H15" s="14">
        <v>0.57000000000000006</v>
      </c>
      <c r="I15" s="14">
        <v>0.57000000000000006</v>
      </c>
      <c r="J15" s="14">
        <v>0.54</v>
      </c>
      <c r="K15" s="14">
        <v>0.57999999999999996</v>
      </c>
      <c r="L15" s="14">
        <v>0.51</v>
      </c>
      <c r="M15" s="14">
        <v>0.46</v>
      </c>
      <c r="N15" s="14">
        <v>0.47</v>
      </c>
      <c r="O15" s="14">
        <v>0.54</v>
      </c>
      <c r="P15" s="14">
        <v>0.63</v>
      </c>
      <c r="Q15" s="14">
        <v>0.57999999999999996</v>
      </c>
      <c r="R15" s="14">
        <v>0.44</v>
      </c>
      <c r="S15" s="14">
        <v>0.55000000000000004</v>
      </c>
      <c r="T15" s="14">
        <v>0.64</v>
      </c>
      <c r="U15" s="14">
        <v>0.52</v>
      </c>
      <c r="V15" s="14">
        <v>0.70000000000000007</v>
      </c>
      <c r="W15" s="14">
        <v>0.5</v>
      </c>
      <c r="X15" s="14">
        <v>0.47</v>
      </c>
      <c r="Y15" s="14">
        <v>0.56000000000000005</v>
      </c>
      <c r="Z15" s="14">
        <v>0.69000000000000006</v>
      </c>
      <c r="AA15" s="14">
        <v>0.52</v>
      </c>
      <c r="AB15" s="14">
        <v>0.66</v>
      </c>
      <c r="AC15" s="14">
        <v>0.66</v>
      </c>
      <c r="AD15" s="14">
        <v>0.63</v>
      </c>
      <c r="AE15" s="14">
        <v>0.51</v>
      </c>
      <c r="AF15" s="14">
        <v>0.5</v>
      </c>
    </row>
    <row r="16" spans="1:32" x14ac:dyDescent="0.35">
      <c r="A16" s="31"/>
      <c r="B16" s="11" t="s">
        <v>685</v>
      </c>
      <c r="C16" s="12">
        <v>5101</v>
      </c>
      <c r="D16" s="12">
        <v>255</v>
      </c>
      <c r="E16" s="12">
        <v>158</v>
      </c>
      <c r="F16" s="12">
        <v>223</v>
      </c>
      <c r="G16" s="12">
        <v>119</v>
      </c>
      <c r="H16" s="12">
        <v>73</v>
      </c>
      <c r="I16" s="12">
        <v>106</v>
      </c>
      <c r="J16" s="12">
        <v>32</v>
      </c>
      <c r="K16" s="12">
        <v>214</v>
      </c>
      <c r="L16" s="12">
        <v>235</v>
      </c>
      <c r="M16" s="12">
        <v>117</v>
      </c>
      <c r="N16" s="12">
        <v>349</v>
      </c>
      <c r="O16" s="12">
        <v>289</v>
      </c>
      <c r="P16" s="12">
        <v>205</v>
      </c>
      <c r="Q16" s="12">
        <v>205</v>
      </c>
      <c r="R16" s="12">
        <v>177</v>
      </c>
      <c r="S16" s="12">
        <v>273</v>
      </c>
      <c r="T16" s="12">
        <v>204</v>
      </c>
      <c r="U16" s="12">
        <v>121</v>
      </c>
      <c r="V16" s="12">
        <v>142</v>
      </c>
      <c r="W16" s="12">
        <v>127</v>
      </c>
      <c r="X16" s="12">
        <v>106</v>
      </c>
      <c r="Y16" s="12">
        <v>131</v>
      </c>
      <c r="Z16" s="12">
        <v>168</v>
      </c>
      <c r="AA16" s="12">
        <v>363</v>
      </c>
      <c r="AB16" s="12">
        <v>155</v>
      </c>
      <c r="AC16" s="12">
        <v>232</v>
      </c>
      <c r="AD16" s="12">
        <v>125</v>
      </c>
      <c r="AE16" s="12">
        <v>188</v>
      </c>
      <c r="AF16" s="12">
        <v>111</v>
      </c>
    </row>
    <row r="17" spans="1:32" x14ac:dyDescent="0.35">
      <c r="A17" s="31"/>
      <c r="B17" s="13" t="s">
        <v>686</v>
      </c>
      <c r="C17" s="14">
        <v>0.19</v>
      </c>
      <c r="D17" s="14">
        <v>0.25</v>
      </c>
      <c r="E17" s="14">
        <v>0.15</v>
      </c>
      <c r="F17" s="14">
        <v>0.22</v>
      </c>
      <c r="G17" s="14">
        <v>0.12</v>
      </c>
      <c r="H17" s="14">
        <v>0.06</v>
      </c>
      <c r="I17" s="14">
        <v>7.0000000000000007E-2</v>
      </c>
      <c r="J17" s="14">
        <v>0.11</v>
      </c>
      <c r="K17" s="14">
        <v>0.21</v>
      </c>
      <c r="L17" s="14">
        <v>0.23</v>
      </c>
      <c r="M17" s="14">
        <v>0.12</v>
      </c>
      <c r="N17" s="14">
        <v>0.35</v>
      </c>
      <c r="O17" s="14">
        <v>0.28999999999999998</v>
      </c>
      <c r="P17" s="14">
        <v>0.2</v>
      </c>
      <c r="Q17" s="14">
        <v>0.2</v>
      </c>
      <c r="R17" s="14">
        <v>0.35</v>
      </c>
      <c r="S17" s="14">
        <v>0.27</v>
      </c>
      <c r="T17" s="14">
        <v>0.2</v>
      </c>
      <c r="U17" s="14">
        <v>0.24</v>
      </c>
      <c r="V17" s="14">
        <v>0.14000000000000001</v>
      </c>
      <c r="W17" s="14">
        <v>0.25</v>
      </c>
      <c r="X17" s="14">
        <v>0.1</v>
      </c>
      <c r="Y17" s="14">
        <v>0.13</v>
      </c>
      <c r="Z17" s="14">
        <v>0.16</v>
      </c>
      <c r="AA17" s="14">
        <v>0.35</v>
      </c>
      <c r="AB17" s="14">
        <v>0.15</v>
      </c>
      <c r="AC17" s="14">
        <v>0.23</v>
      </c>
      <c r="AD17" s="14">
        <v>0.12</v>
      </c>
      <c r="AE17" s="14">
        <v>0.19</v>
      </c>
      <c r="AF17" s="14">
        <v>0.11</v>
      </c>
    </row>
    <row r="18" spans="1:32" x14ac:dyDescent="0.35">
      <c r="A18" s="31"/>
      <c r="B18" s="11" t="s">
        <v>344</v>
      </c>
      <c r="C18" s="12">
        <v>34</v>
      </c>
      <c r="D18" s="12">
        <v>2</v>
      </c>
      <c r="E18" s="12">
        <v>5</v>
      </c>
      <c r="F18" s="12">
        <v>1</v>
      </c>
      <c r="G18" s="12">
        <v>0</v>
      </c>
      <c r="H18" s="12">
        <v>1</v>
      </c>
      <c r="I18" s="12">
        <v>2</v>
      </c>
      <c r="J18" s="12">
        <v>1</v>
      </c>
      <c r="K18" s="12">
        <v>4</v>
      </c>
      <c r="L18" s="12">
        <v>1</v>
      </c>
      <c r="M18" s="12">
        <v>0</v>
      </c>
      <c r="N18" s="12">
        <v>1</v>
      </c>
      <c r="O18" s="12">
        <v>0</v>
      </c>
      <c r="P18" s="12">
        <v>1</v>
      </c>
      <c r="Q18" s="12">
        <v>0</v>
      </c>
      <c r="R18" s="12">
        <v>2</v>
      </c>
      <c r="S18" s="12">
        <v>2</v>
      </c>
      <c r="T18" s="12">
        <v>0</v>
      </c>
      <c r="U18" s="12">
        <v>0</v>
      </c>
      <c r="V18" s="12">
        <v>0</v>
      </c>
      <c r="W18" s="12">
        <v>0</v>
      </c>
      <c r="X18" s="12">
        <v>0</v>
      </c>
      <c r="Y18" s="12">
        <v>4</v>
      </c>
      <c r="Z18" s="12">
        <v>8</v>
      </c>
      <c r="AA18" s="12">
        <v>1</v>
      </c>
      <c r="AB18" s="12">
        <v>0</v>
      </c>
      <c r="AC18" s="12">
        <v>0</v>
      </c>
      <c r="AD18" s="12">
        <v>0</v>
      </c>
      <c r="AE18" s="12">
        <v>2</v>
      </c>
      <c r="AF18" s="12">
        <v>1</v>
      </c>
    </row>
    <row r="19" spans="1:32" x14ac:dyDescent="0.35">
      <c r="A19" s="31"/>
      <c r="B19" s="13" t="s">
        <v>357</v>
      </c>
      <c r="C19" s="15" t="s">
        <v>333</v>
      </c>
      <c r="D19" s="15" t="s">
        <v>333</v>
      </c>
      <c r="E19" s="14">
        <v>0.01</v>
      </c>
      <c r="F19" s="15" t="s">
        <v>333</v>
      </c>
      <c r="G19" s="15" t="s">
        <v>333</v>
      </c>
      <c r="H19" s="15" t="s">
        <v>333</v>
      </c>
      <c r="I19" s="15" t="s">
        <v>333</v>
      </c>
      <c r="J19" s="15" t="s">
        <v>333</v>
      </c>
      <c r="K19" s="14">
        <v>0.01</v>
      </c>
      <c r="L19" s="15" t="s">
        <v>333</v>
      </c>
      <c r="M19" s="15" t="s">
        <v>333</v>
      </c>
      <c r="N19" s="15" t="s">
        <v>333</v>
      </c>
      <c r="O19" s="15" t="s">
        <v>333</v>
      </c>
      <c r="P19" s="15" t="s">
        <v>333</v>
      </c>
      <c r="Q19" s="15" t="s">
        <v>333</v>
      </c>
      <c r="R19" s="15" t="s">
        <v>333</v>
      </c>
      <c r="S19" s="15" t="s">
        <v>333</v>
      </c>
      <c r="T19" s="15" t="s">
        <v>333</v>
      </c>
      <c r="U19" s="15" t="s">
        <v>333</v>
      </c>
      <c r="V19" s="15" t="s">
        <v>333</v>
      </c>
      <c r="W19" s="15" t="s">
        <v>333</v>
      </c>
      <c r="X19" s="15" t="s">
        <v>333</v>
      </c>
      <c r="Y19" s="15" t="s">
        <v>333</v>
      </c>
      <c r="Z19" s="14">
        <v>0.01</v>
      </c>
      <c r="AA19" s="15" t="s">
        <v>333</v>
      </c>
      <c r="AB19" s="15" t="s">
        <v>333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1300</v>
      </c>
      <c r="C3" s="30"/>
      <c r="D3" s="30"/>
      <c r="E3" s="30"/>
      <c r="F3" s="30"/>
      <c r="H3" s="30" t="s">
        <v>1301</v>
      </c>
      <c r="I3" s="30"/>
      <c r="J3" s="30"/>
      <c r="K3" s="30"/>
      <c r="L3" s="30"/>
    </row>
    <row r="4" spans="1:32" ht="27" customHeight="1" x14ac:dyDescent="0.35">
      <c r="B4" s="30" t="s">
        <v>1302</v>
      </c>
      <c r="C4" s="30"/>
      <c r="D4" s="30"/>
      <c r="E4" s="30"/>
      <c r="F4" s="30"/>
      <c r="H4" s="30" t="s">
        <v>1303</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HYPERLINK("#Content!A139","&lt;&lt;Back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1296</v>
      </c>
      <c r="C12" s="12">
        <v>3870</v>
      </c>
      <c r="D12" s="12">
        <v>126</v>
      </c>
      <c r="E12" s="12">
        <v>163</v>
      </c>
      <c r="F12" s="12">
        <v>114</v>
      </c>
      <c r="G12" s="12">
        <v>208</v>
      </c>
      <c r="H12" s="12">
        <v>286</v>
      </c>
      <c r="I12" s="12">
        <v>331</v>
      </c>
      <c r="J12" s="12">
        <v>45</v>
      </c>
      <c r="K12" s="12">
        <v>136</v>
      </c>
      <c r="L12" s="12">
        <v>184</v>
      </c>
      <c r="M12" s="12">
        <v>233</v>
      </c>
      <c r="N12" s="12">
        <v>121</v>
      </c>
      <c r="O12" s="12">
        <v>94</v>
      </c>
      <c r="P12" s="12">
        <v>132</v>
      </c>
      <c r="Q12" s="12">
        <v>117</v>
      </c>
      <c r="R12" s="12">
        <v>83</v>
      </c>
      <c r="S12" s="12">
        <v>138</v>
      </c>
      <c r="T12" s="12">
        <v>161</v>
      </c>
      <c r="U12" s="12">
        <v>129</v>
      </c>
      <c r="V12" s="12">
        <v>117</v>
      </c>
      <c r="W12" s="12">
        <v>63</v>
      </c>
      <c r="X12" s="12">
        <v>241</v>
      </c>
      <c r="Y12" s="12">
        <v>243</v>
      </c>
      <c r="Z12" s="12">
        <v>89</v>
      </c>
      <c r="AA12" s="12">
        <v>67</v>
      </c>
      <c r="AB12" s="12">
        <v>165</v>
      </c>
      <c r="AC12" s="12">
        <v>63</v>
      </c>
      <c r="AD12" s="12">
        <v>174</v>
      </c>
      <c r="AE12" s="12">
        <v>155</v>
      </c>
      <c r="AF12" s="12">
        <v>220</v>
      </c>
    </row>
    <row r="13" spans="1:32" x14ac:dyDescent="0.35">
      <c r="A13" s="31"/>
      <c r="B13" s="13" t="s">
        <v>1297</v>
      </c>
      <c r="C13" s="14">
        <v>0.15</v>
      </c>
      <c r="D13" s="14">
        <v>0.12</v>
      </c>
      <c r="E13" s="14">
        <v>0.16</v>
      </c>
      <c r="F13" s="14">
        <v>0.11</v>
      </c>
      <c r="G13" s="14">
        <v>0.2</v>
      </c>
      <c r="H13" s="14">
        <v>0.23</v>
      </c>
      <c r="I13" s="14">
        <v>0.22</v>
      </c>
      <c r="J13" s="14">
        <v>0.15</v>
      </c>
      <c r="K13" s="14">
        <v>0.13</v>
      </c>
      <c r="L13" s="14">
        <v>0.18</v>
      </c>
      <c r="M13" s="14">
        <v>0.23</v>
      </c>
      <c r="N13" s="14">
        <v>0.12</v>
      </c>
      <c r="O13" s="14">
        <v>0.09</v>
      </c>
      <c r="P13" s="14">
        <v>0.13</v>
      </c>
      <c r="Q13" s="14">
        <v>0.11</v>
      </c>
      <c r="R13" s="14">
        <v>0.17</v>
      </c>
      <c r="S13" s="14">
        <v>0.14000000000000001</v>
      </c>
      <c r="T13" s="14">
        <v>0.16</v>
      </c>
      <c r="U13" s="14">
        <v>0.25</v>
      </c>
      <c r="V13" s="14">
        <v>0.12</v>
      </c>
      <c r="W13" s="14">
        <v>0.13</v>
      </c>
      <c r="X13" s="14">
        <v>0.24</v>
      </c>
      <c r="Y13" s="14">
        <v>0.24</v>
      </c>
      <c r="Z13" s="14">
        <v>0.09</v>
      </c>
      <c r="AA13" s="14">
        <v>0.06</v>
      </c>
      <c r="AB13" s="14">
        <v>0.16</v>
      </c>
      <c r="AC13" s="14">
        <v>0.06</v>
      </c>
      <c r="AD13" s="14">
        <v>0.18</v>
      </c>
      <c r="AE13" s="14">
        <v>0.15</v>
      </c>
      <c r="AF13" s="14">
        <v>0.22</v>
      </c>
    </row>
    <row r="14" spans="1:32" x14ac:dyDescent="0.35">
      <c r="A14" s="31"/>
      <c r="B14" s="11" t="s">
        <v>1298</v>
      </c>
      <c r="C14" s="12">
        <v>14686</v>
      </c>
      <c r="D14" s="12">
        <v>560</v>
      </c>
      <c r="E14" s="12">
        <v>629</v>
      </c>
      <c r="F14" s="12">
        <v>580</v>
      </c>
      <c r="G14" s="12">
        <v>599</v>
      </c>
      <c r="H14" s="12">
        <v>743</v>
      </c>
      <c r="I14" s="12">
        <v>920</v>
      </c>
      <c r="J14" s="12">
        <v>177</v>
      </c>
      <c r="K14" s="12">
        <v>552</v>
      </c>
      <c r="L14" s="12">
        <v>477</v>
      </c>
      <c r="M14" s="12">
        <v>571</v>
      </c>
      <c r="N14" s="12">
        <v>424</v>
      </c>
      <c r="O14" s="12">
        <v>460</v>
      </c>
      <c r="P14" s="12">
        <v>577</v>
      </c>
      <c r="Q14" s="12">
        <v>631</v>
      </c>
      <c r="R14" s="12">
        <v>212</v>
      </c>
      <c r="S14" s="12">
        <v>529</v>
      </c>
      <c r="T14" s="12">
        <v>604</v>
      </c>
      <c r="U14" s="12">
        <v>285</v>
      </c>
      <c r="V14" s="12">
        <v>704</v>
      </c>
      <c r="W14" s="12">
        <v>244</v>
      </c>
      <c r="X14" s="12">
        <v>535</v>
      </c>
      <c r="Y14" s="12">
        <v>554</v>
      </c>
      <c r="Z14" s="12">
        <v>687</v>
      </c>
      <c r="AA14" s="12">
        <v>490</v>
      </c>
      <c r="AB14" s="12">
        <v>607</v>
      </c>
      <c r="AC14" s="12">
        <v>615</v>
      </c>
      <c r="AD14" s="12">
        <v>646</v>
      </c>
      <c r="AE14" s="12">
        <v>572</v>
      </c>
      <c r="AF14" s="12">
        <v>612</v>
      </c>
    </row>
    <row r="15" spans="1:32" x14ac:dyDescent="0.35">
      <c r="A15" s="31"/>
      <c r="B15" s="13" t="s">
        <v>1299</v>
      </c>
      <c r="C15" s="14">
        <v>0.56000000000000005</v>
      </c>
      <c r="D15" s="14">
        <v>0.55000000000000004</v>
      </c>
      <c r="E15" s="14">
        <v>0.6</v>
      </c>
      <c r="F15" s="14">
        <v>0.57000000000000006</v>
      </c>
      <c r="G15" s="14">
        <v>0.59</v>
      </c>
      <c r="H15" s="14">
        <v>0.61</v>
      </c>
      <c r="I15" s="14">
        <v>0.6</v>
      </c>
      <c r="J15" s="14">
        <v>0.6</v>
      </c>
      <c r="K15" s="14">
        <v>0.55000000000000004</v>
      </c>
      <c r="L15" s="14">
        <v>0.48</v>
      </c>
      <c r="M15" s="14">
        <v>0.57000000000000006</v>
      </c>
      <c r="N15" s="14">
        <v>0.42</v>
      </c>
      <c r="O15" s="14">
        <v>0.46</v>
      </c>
      <c r="P15" s="14">
        <v>0.57999999999999996</v>
      </c>
      <c r="Q15" s="14">
        <v>0.61</v>
      </c>
      <c r="R15" s="14">
        <v>0.42</v>
      </c>
      <c r="S15" s="14">
        <v>0.52</v>
      </c>
      <c r="T15" s="14">
        <v>0.59</v>
      </c>
      <c r="U15" s="14">
        <v>0.56000000000000005</v>
      </c>
      <c r="V15" s="14">
        <v>0.69000000000000006</v>
      </c>
      <c r="W15" s="14">
        <v>0.49</v>
      </c>
      <c r="X15" s="14">
        <v>0.53</v>
      </c>
      <c r="Y15" s="14">
        <v>0.55000000000000004</v>
      </c>
      <c r="Z15" s="14">
        <v>0.67</v>
      </c>
      <c r="AA15" s="14">
        <v>0.48</v>
      </c>
      <c r="AB15" s="14">
        <v>0.57000000000000006</v>
      </c>
      <c r="AC15" s="14">
        <v>0.61</v>
      </c>
      <c r="AD15" s="14">
        <v>0.64</v>
      </c>
      <c r="AE15" s="14">
        <v>0.57000000000000006</v>
      </c>
      <c r="AF15" s="14">
        <v>0.6</v>
      </c>
    </row>
    <row r="16" spans="1:32" x14ac:dyDescent="0.35">
      <c r="A16" s="31"/>
      <c r="B16" s="11" t="s">
        <v>685</v>
      </c>
      <c r="C16" s="12">
        <v>7810</v>
      </c>
      <c r="D16" s="12">
        <v>335</v>
      </c>
      <c r="E16" s="12">
        <v>238</v>
      </c>
      <c r="F16" s="12">
        <v>324</v>
      </c>
      <c r="G16" s="12">
        <v>209</v>
      </c>
      <c r="H16" s="12">
        <v>201</v>
      </c>
      <c r="I16" s="12">
        <v>276</v>
      </c>
      <c r="J16" s="12">
        <v>75</v>
      </c>
      <c r="K16" s="12">
        <v>315</v>
      </c>
      <c r="L16" s="12">
        <v>342</v>
      </c>
      <c r="M16" s="12">
        <v>199</v>
      </c>
      <c r="N16" s="12">
        <v>455</v>
      </c>
      <c r="O16" s="12">
        <v>446</v>
      </c>
      <c r="P16" s="12">
        <v>295</v>
      </c>
      <c r="Q16" s="12">
        <v>288</v>
      </c>
      <c r="R16" s="12">
        <v>204</v>
      </c>
      <c r="S16" s="12">
        <v>351</v>
      </c>
      <c r="T16" s="12">
        <v>251</v>
      </c>
      <c r="U16" s="12">
        <v>95</v>
      </c>
      <c r="V16" s="12">
        <v>193</v>
      </c>
      <c r="W16" s="12">
        <v>193</v>
      </c>
      <c r="X16" s="12">
        <v>232</v>
      </c>
      <c r="Y16" s="12">
        <v>202</v>
      </c>
      <c r="Z16" s="12">
        <v>237</v>
      </c>
      <c r="AA16" s="12">
        <v>471</v>
      </c>
      <c r="AB16" s="12">
        <v>281</v>
      </c>
      <c r="AC16" s="12">
        <v>335</v>
      </c>
      <c r="AD16" s="12">
        <v>184</v>
      </c>
      <c r="AE16" s="12">
        <v>276</v>
      </c>
      <c r="AF16" s="12">
        <v>187</v>
      </c>
    </row>
    <row r="17" spans="1:32" x14ac:dyDescent="0.35">
      <c r="A17" s="31"/>
      <c r="B17" s="13" t="s">
        <v>686</v>
      </c>
      <c r="C17" s="14">
        <v>0.28999999999999998</v>
      </c>
      <c r="D17" s="14">
        <v>0.33</v>
      </c>
      <c r="E17" s="14">
        <v>0.23</v>
      </c>
      <c r="F17" s="14">
        <v>0.32</v>
      </c>
      <c r="G17" s="14">
        <v>0.21</v>
      </c>
      <c r="H17" s="14">
        <v>0.16</v>
      </c>
      <c r="I17" s="14">
        <v>0.18</v>
      </c>
      <c r="J17" s="14">
        <v>0.25</v>
      </c>
      <c r="K17" s="14">
        <v>0.31</v>
      </c>
      <c r="L17" s="14">
        <v>0.34</v>
      </c>
      <c r="M17" s="14">
        <v>0.2</v>
      </c>
      <c r="N17" s="14">
        <v>0.46</v>
      </c>
      <c r="O17" s="14">
        <v>0.45</v>
      </c>
      <c r="P17" s="14">
        <v>0.28999999999999998</v>
      </c>
      <c r="Q17" s="14">
        <v>0.28000000000000003</v>
      </c>
      <c r="R17" s="14">
        <v>0.41</v>
      </c>
      <c r="S17" s="14">
        <v>0.34</v>
      </c>
      <c r="T17" s="14">
        <v>0.25</v>
      </c>
      <c r="U17" s="14">
        <v>0.19</v>
      </c>
      <c r="V17" s="14">
        <v>0.19</v>
      </c>
      <c r="W17" s="14">
        <v>0.38</v>
      </c>
      <c r="X17" s="14">
        <v>0.23</v>
      </c>
      <c r="Y17" s="14">
        <v>0.2</v>
      </c>
      <c r="Z17" s="14">
        <v>0.23</v>
      </c>
      <c r="AA17" s="14">
        <v>0.46</v>
      </c>
      <c r="AB17" s="14">
        <v>0.27</v>
      </c>
      <c r="AC17" s="14">
        <v>0.33</v>
      </c>
      <c r="AD17" s="14">
        <v>0.18</v>
      </c>
      <c r="AE17" s="14">
        <v>0.28000000000000003</v>
      </c>
      <c r="AF17" s="14">
        <v>0.18</v>
      </c>
    </row>
    <row r="18" spans="1:32" x14ac:dyDescent="0.35">
      <c r="A18" s="31"/>
      <c r="B18" s="11" t="s">
        <v>344</v>
      </c>
      <c r="C18" s="12">
        <v>43</v>
      </c>
      <c r="D18" s="12">
        <v>4</v>
      </c>
      <c r="E18" s="12">
        <v>9</v>
      </c>
      <c r="F18" s="12">
        <v>0</v>
      </c>
      <c r="G18" s="12">
        <v>1</v>
      </c>
      <c r="H18" s="12">
        <v>3</v>
      </c>
      <c r="I18" s="12">
        <v>3</v>
      </c>
      <c r="J18" s="12">
        <v>0</v>
      </c>
      <c r="K18" s="12">
        <v>6</v>
      </c>
      <c r="L18" s="12">
        <v>1</v>
      </c>
      <c r="M18" s="12">
        <v>1</v>
      </c>
      <c r="N18" s="12">
        <v>0</v>
      </c>
      <c r="O18" s="12">
        <v>0</v>
      </c>
      <c r="P18" s="12">
        <v>0</v>
      </c>
      <c r="Q18" s="12">
        <v>0</v>
      </c>
      <c r="R18" s="12">
        <v>2</v>
      </c>
      <c r="S18" s="12">
        <v>4</v>
      </c>
      <c r="T18" s="12">
        <v>2</v>
      </c>
      <c r="U18" s="12">
        <v>0</v>
      </c>
      <c r="V18" s="12">
        <v>0</v>
      </c>
      <c r="W18" s="12">
        <v>1</v>
      </c>
      <c r="X18" s="12">
        <v>2</v>
      </c>
      <c r="Y18" s="12">
        <v>4</v>
      </c>
      <c r="Z18" s="12">
        <v>7</v>
      </c>
      <c r="AA18" s="12">
        <v>2</v>
      </c>
      <c r="AB18" s="12">
        <v>3</v>
      </c>
      <c r="AC18" s="12">
        <v>0</v>
      </c>
      <c r="AD18" s="12">
        <v>0</v>
      </c>
      <c r="AE18" s="12">
        <v>4</v>
      </c>
      <c r="AF18" s="12">
        <v>1</v>
      </c>
    </row>
    <row r="19" spans="1:32" x14ac:dyDescent="0.35">
      <c r="A19" s="31"/>
      <c r="B19" s="13" t="s">
        <v>357</v>
      </c>
      <c r="C19" s="15" t="s">
        <v>333</v>
      </c>
      <c r="D19" s="15" t="s">
        <v>333</v>
      </c>
      <c r="E19" s="14">
        <v>0.01</v>
      </c>
      <c r="F19" s="15" t="s">
        <v>333</v>
      </c>
      <c r="G19" s="15" t="s">
        <v>333</v>
      </c>
      <c r="H19" s="15" t="s">
        <v>333</v>
      </c>
      <c r="I19" s="15" t="s">
        <v>333</v>
      </c>
      <c r="J19" s="15" t="s">
        <v>333</v>
      </c>
      <c r="K19" s="14">
        <v>0.01</v>
      </c>
      <c r="L19" s="15" t="s">
        <v>333</v>
      </c>
      <c r="M19" s="15" t="s">
        <v>333</v>
      </c>
      <c r="N19" s="15" t="s">
        <v>333</v>
      </c>
      <c r="O19" s="15" t="s">
        <v>333</v>
      </c>
      <c r="P19" s="15" t="s">
        <v>333</v>
      </c>
      <c r="Q19" s="15" t="s">
        <v>333</v>
      </c>
      <c r="R19" s="15" t="s">
        <v>333</v>
      </c>
      <c r="S19" s="15" t="s">
        <v>333</v>
      </c>
      <c r="T19" s="15" t="s">
        <v>333</v>
      </c>
      <c r="U19" s="15" t="s">
        <v>333</v>
      </c>
      <c r="V19" s="15" t="s">
        <v>333</v>
      </c>
      <c r="W19" s="15" t="s">
        <v>333</v>
      </c>
      <c r="X19" s="15" t="s">
        <v>333</v>
      </c>
      <c r="Y19" s="14">
        <v>0.01</v>
      </c>
      <c r="Z19" s="14">
        <v>0.01</v>
      </c>
      <c r="AA19" s="15" t="s">
        <v>333</v>
      </c>
      <c r="AB19" s="15" t="s">
        <v>333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1304</v>
      </c>
      <c r="C3" s="30"/>
      <c r="D3" s="30"/>
      <c r="E3" s="30"/>
      <c r="F3" s="30"/>
      <c r="H3" s="30" t="s">
        <v>1305</v>
      </c>
      <c r="I3" s="30"/>
      <c r="J3" s="30"/>
      <c r="K3" s="30"/>
      <c r="L3" s="30"/>
    </row>
    <row r="4" spans="1:32" ht="27" customHeight="1" x14ac:dyDescent="0.35">
      <c r="B4" s="30" t="s">
        <v>1306</v>
      </c>
      <c r="C4" s="30"/>
      <c r="D4" s="30"/>
      <c r="E4" s="30"/>
      <c r="F4" s="30"/>
      <c r="H4" s="30" t="s">
        <v>1307</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HYPERLINK("#Content!A140","&lt;&lt;Back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1296</v>
      </c>
      <c r="C12" s="12">
        <v>5569</v>
      </c>
      <c r="D12" s="12">
        <v>182</v>
      </c>
      <c r="E12" s="12">
        <v>337</v>
      </c>
      <c r="F12" s="12">
        <v>173</v>
      </c>
      <c r="G12" s="12">
        <v>211</v>
      </c>
      <c r="H12" s="12">
        <v>372</v>
      </c>
      <c r="I12" s="12">
        <v>488</v>
      </c>
      <c r="J12" s="12">
        <v>115</v>
      </c>
      <c r="K12" s="12">
        <v>198</v>
      </c>
      <c r="L12" s="12">
        <v>246</v>
      </c>
      <c r="M12" s="12">
        <v>366</v>
      </c>
      <c r="N12" s="12">
        <v>180</v>
      </c>
      <c r="O12" s="12">
        <v>132</v>
      </c>
      <c r="P12" s="12">
        <v>291</v>
      </c>
      <c r="Q12" s="12">
        <v>191</v>
      </c>
      <c r="R12" s="12">
        <v>122</v>
      </c>
      <c r="S12" s="12">
        <v>216</v>
      </c>
      <c r="T12" s="12">
        <v>195</v>
      </c>
      <c r="U12" s="12">
        <v>107</v>
      </c>
      <c r="V12" s="12">
        <v>159</v>
      </c>
      <c r="W12" s="12">
        <v>107</v>
      </c>
      <c r="X12" s="12">
        <v>265</v>
      </c>
      <c r="Y12" s="12">
        <v>270</v>
      </c>
      <c r="Z12" s="12">
        <v>148</v>
      </c>
      <c r="AA12" s="12">
        <v>103</v>
      </c>
      <c r="AB12" s="12">
        <v>229</v>
      </c>
      <c r="AC12" s="12">
        <v>127</v>
      </c>
      <c r="AD12" s="12">
        <v>176</v>
      </c>
      <c r="AE12" s="12">
        <v>256</v>
      </c>
      <c r="AF12" s="12">
        <v>225</v>
      </c>
    </row>
    <row r="13" spans="1:32" x14ac:dyDescent="0.35">
      <c r="A13" s="31"/>
      <c r="B13" s="13" t="s">
        <v>1297</v>
      </c>
      <c r="C13" s="14">
        <v>0.21</v>
      </c>
      <c r="D13" s="14">
        <v>0.18</v>
      </c>
      <c r="E13" s="14">
        <v>0.32</v>
      </c>
      <c r="F13" s="14">
        <v>0.17</v>
      </c>
      <c r="G13" s="14">
        <v>0.21</v>
      </c>
      <c r="H13" s="14">
        <v>0.3</v>
      </c>
      <c r="I13" s="14">
        <v>0.32</v>
      </c>
      <c r="J13" s="14">
        <v>0.39</v>
      </c>
      <c r="K13" s="14">
        <v>0.2</v>
      </c>
      <c r="L13" s="14">
        <v>0.25</v>
      </c>
      <c r="M13" s="14">
        <v>0.36</v>
      </c>
      <c r="N13" s="14">
        <v>0.18</v>
      </c>
      <c r="O13" s="14">
        <v>0.13</v>
      </c>
      <c r="P13" s="14">
        <v>0.28999999999999998</v>
      </c>
      <c r="Q13" s="14">
        <v>0.19</v>
      </c>
      <c r="R13" s="14">
        <v>0.24</v>
      </c>
      <c r="S13" s="14">
        <v>0.21</v>
      </c>
      <c r="T13" s="14">
        <v>0.19</v>
      </c>
      <c r="U13" s="14">
        <v>0.21</v>
      </c>
      <c r="V13" s="14">
        <v>0.16</v>
      </c>
      <c r="W13" s="14">
        <v>0.22</v>
      </c>
      <c r="X13" s="14">
        <v>0.26</v>
      </c>
      <c r="Y13" s="14">
        <v>0.27</v>
      </c>
      <c r="Z13" s="14">
        <v>0.15</v>
      </c>
      <c r="AA13" s="14">
        <v>0.1</v>
      </c>
      <c r="AB13" s="14">
        <v>0.22</v>
      </c>
      <c r="AC13" s="14">
        <v>0.12</v>
      </c>
      <c r="AD13" s="14">
        <v>0.18</v>
      </c>
      <c r="AE13" s="14">
        <v>0.25</v>
      </c>
      <c r="AF13" s="14">
        <v>0.22</v>
      </c>
    </row>
    <row r="14" spans="1:32" x14ac:dyDescent="0.35">
      <c r="A14" s="31"/>
      <c r="B14" s="11" t="s">
        <v>1298</v>
      </c>
      <c r="C14" s="12">
        <v>14579</v>
      </c>
      <c r="D14" s="12">
        <v>590</v>
      </c>
      <c r="E14" s="12">
        <v>564</v>
      </c>
      <c r="F14" s="12">
        <v>619</v>
      </c>
      <c r="G14" s="12">
        <v>575</v>
      </c>
      <c r="H14" s="12">
        <v>711</v>
      </c>
      <c r="I14" s="12">
        <v>863</v>
      </c>
      <c r="J14" s="12">
        <v>152</v>
      </c>
      <c r="K14" s="12">
        <v>565</v>
      </c>
      <c r="L14" s="12">
        <v>512</v>
      </c>
      <c r="M14" s="12">
        <v>471</v>
      </c>
      <c r="N14" s="12">
        <v>463</v>
      </c>
      <c r="O14" s="12">
        <v>483</v>
      </c>
      <c r="P14" s="12">
        <v>557</v>
      </c>
      <c r="Q14" s="12">
        <v>613</v>
      </c>
      <c r="R14" s="12">
        <v>226</v>
      </c>
      <c r="S14" s="12">
        <v>579</v>
      </c>
      <c r="T14" s="12">
        <v>602</v>
      </c>
      <c r="U14" s="12">
        <v>229</v>
      </c>
      <c r="V14" s="12">
        <v>701</v>
      </c>
      <c r="W14" s="12">
        <v>292</v>
      </c>
      <c r="X14" s="12">
        <v>534</v>
      </c>
      <c r="Y14" s="12">
        <v>509</v>
      </c>
      <c r="Z14" s="12">
        <v>668</v>
      </c>
      <c r="AA14" s="12">
        <v>484</v>
      </c>
      <c r="AB14" s="12">
        <v>642</v>
      </c>
      <c r="AC14" s="12">
        <v>675</v>
      </c>
      <c r="AD14" s="12">
        <v>667</v>
      </c>
      <c r="AE14" s="12">
        <v>563</v>
      </c>
      <c r="AF14" s="12">
        <v>605</v>
      </c>
    </row>
    <row r="15" spans="1:32" x14ac:dyDescent="0.35">
      <c r="A15" s="31"/>
      <c r="B15" s="13" t="s">
        <v>1299</v>
      </c>
      <c r="C15" s="14">
        <v>0.55000000000000004</v>
      </c>
      <c r="D15" s="14">
        <v>0.57999999999999996</v>
      </c>
      <c r="E15" s="14">
        <v>0.54</v>
      </c>
      <c r="F15" s="14">
        <v>0.61</v>
      </c>
      <c r="G15" s="14">
        <v>0.56000000000000005</v>
      </c>
      <c r="H15" s="14">
        <v>0.57999999999999996</v>
      </c>
      <c r="I15" s="14">
        <v>0.56000000000000005</v>
      </c>
      <c r="J15" s="14">
        <v>0.51</v>
      </c>
      <c r="K15" s="14">
        <v>0.56000000000000005</v>
      </c>
      <c r="L15" s="14">
        <v>0.51</v>
      </c>
      <c r="M15" s="14">
        <v>0.47</v>
      </c>
      <c r="N15" s="14">
        <v>0.46</v>
      </c>
      <c r="O15" s="14">
        <v>0.48</v>
      </c>
      <c r="P15" s="14">
        <v>0.55000000000000004</v>
      </c>
      <c r="Q15" s="14">
        <v>0.59</v>
      </c>
      <c r="R15" s="14">
        <v>0.45</v>
      </c>
      <c r="S15" s="14">
        <v>0.57000000000000006</v>
      </c>
      <c r="T15" s="14">
        <v>0.59</v>
      </c>
      <c r="U15" s="14">
        <v>0.45</v>
      </c>
      <c r="V15" s="14">
        <v>0.69000000000000006</v>
      </c>
      <c r="W15" s="14">
        <v>0.57999999999999996</v>
      </c>
      <c r="X15" s="14">
        <v>0.53</v>
      </c>
      <c r="Y15" s="14">
        <v>0.51</v>
      </c>
      <c r="Z15" s="14">
        <v>0.66</v>
      </c>
      <c r="AA15" s="14">
        <v>0.47</v>
      </c>
      <c r="AB15" s="14">
        <v>0.61</v>
      </c>
      <c r="AC15" s="14">
        <v>0.67</v>
      </c>
      <c r="AD15" s="14">
        <v>0.66</v>
      </c>
      <c r="AE15" s="14">
        <v>0.56000000000000005</v>
      </c>
      <c r="AF15" s="14">
        <v>0.59</v>
      </c>
    </row>
    <row r="16" spans="1:32" x14ac:dyDescent="0.35">
      <c r="A16" s="31"/>
      <c r="B16" s="11" t="s">
        <v>685</v>
      </c>
      <c r="C16" s="12">
        <v>6224</v>
      </c>
      <c r="D16" s="12">
        <v>249</v>
      </c>
      <c r="E16" s="12">
        <v>133</v>
      </c>
      <c r="F16" s="12">
        <v>227</v>
      </c>
      <c r="G16" s="12">
        <v>231</v>
      </c>
      <c r="H16" s="12">
        <v>148</v>
      </c>
      <c r="I16" s="12">
        <v>178</v>
      </c>
      <c r="J16" s="12">
        <v>30</v>
      </c>
      <c r="K16" s="12">
        <v>235</v>
      </c>
      <c r="L16" s="12">
        <v>245</v>
      </c>
      <c r="M16" s="12">
        <v>167</v>
      </c>
      <c r="N16" s="12">
        <v>357</v>
      </c>
      <c r="O16" s="12">
        <v>386</v>
      </c>
      <c r="P16" s="12">
        <v>156</v>
      </c>
      <c r="Q16" s="12">
        <v>230</v>
      </c>
      <c r="R16" s="12">
        <v>152</v>
      </c>
      <c r="S16" s="12">
        <v>226</v>
      </c>
      <c r="T16" s="12">
        <v>219</v>
      </c>
      <c r="U16" s="12">
        <v>173</v>
      </c>
      <c r="V16" s="12">
        <v>154</v>
      </c>
      <c r="W16" s="12">
        <v>101</v>
      </c>
      <c r="X16" s="12">
        <v>208</v>
      </c>
      <c r="Y16" s="12">
        <v>220</v>
      </c>
      <c r="Z16" s="12">
        <v>198</v>
      </c>
      <c r="AA16" s="12">
        <v>441</v>
      </c>
      <c r="AB16" s="12">
        <v>182</v>
      </c>
      <c r="AC16" s="12">
        <v>211</v>
      </c>
      <c r="AD16" s="12">
        <v>160</v>
      </c>
      <c r="AE16" s="12">
        <v>186</v>
      </c>
      <c r="AF16" s="12">
        <v>189</v>
      </c>
    </row>
    <row r="17" spans="1:32" x14ac:dyDescent="0.35">
      <c r="A17" s="31"/>
      <c r="B17" s="13" t="s">
        <v>686</v>
      </c>
      <c r="C17" s="14">
        <v>0.24</v>
      </c>
      <c r="D17" s="14">
        <v>0.24</v>
      </c>
      <c r="E17" s="14">
        <v>0.13</v>
      </c>
      <c r="F17" s="14">
        <v>0.22</v>
      </c>
      <c r="G17" s="14">
        <v>0.23</v>
      </c>
      <c r="H17" s="14">
        <v>0.12</v>
      </c>
      <c r="I17" s="14">
        <v>0.12</v>
      </c>
      <c r="J17" s="14">
        <v>0.1</v>
      </c>
      <c r="K17" s="14">
        <v>0.23</v>
      </c>
      <c r="L17" s="14">
        <v>0.24</v>
      </c>
      <c r="M17" s="14">
        <v>0.17</v>
      </c>
      <c r="N17" s="14">
        <v>0.36</v>
      </c>
      <c r="O17" s="14">
        <v>0.39</v>
      </c>
      <c r="P17" s="14">
        <v>0.16</v>
      </c>
      <c r="Q17" s="14">
        <v>0.22</v>
      </c>
      <c r="R17" s="14">
        <v>0.3</v>
      </c>
      <c r="S17" s="14">
        <v>0.22</v>
      </c>
      <c r="T17" s="14">
        <v>0.22</v>
      </c>
      <c r="U17" s="14">
        <v>0.34</v>
      </c>
      <c r="V17" s="14">
        <v>0.15</v>
      </c>
      <c r="W17" s="14">
        <v>0.2</v>
      </c>
      <c r="X17" s="14">
        <v>0.21</v>
      </c>
      <c r="Y17" s="14">
        <v>0.22</v>
      </c>
      <c r="Z17" s="14">
        <v>0.19</v>
      </c>
      <c r="AA17" s="14">
        <v>0.43</v>
      </c>
      <c r="AB17" s="14">
        <v>0.17</v>
      </c>
      <c r="AC17" s="14">
        <v>0.21</v>
      </c>
      <c r="AD17" s="14">
        <v>0.16</v>
      </c>
      <c r="AE17" s="14">
        <v>0.19</v>
      </c>
      <c r="AF17" s="14">
        <v>0.19</v>
      </c>
    </row>
    <row r="18" spans="1:32" x14ac:dyDescent="0.35">
      <c r="A18" s="31"/>
      <c r="B18" s="11" t="s">
        <v>344</v>
      </c>
      <c r="C18" s="12">
        <v>39</v>
      </c>
      <c r="D18" s="12">
        <v>4</v>
      </c>
      <c r="E18" s="12">
        <v>6</v>
      </c>
      <c r="F18" s="12">
        <v>0</v>
      </c>
      <c r="G18" s="12">
        <v>0</v>
      </c>
      <c r="H18" s="12">
        <v>1</v>
      </c>
      <c r="I18" s="12">
        <v>2</v>
      </c>
      <c r="J18" s="12">
        <v>1</v>
      </c>
      <c r="K18" s="12">
        <v>11</v>
      </c>
      <c r="L18" s="12">
        <v>1</v>
      </c>
      <c r="M18" s="12">
        <v>0</v>
      </c>
      <c r="N18" s="12">
        <v>0</v>
      </c>
      <c r="O18" s="12">
        <v>0</v>
      </c>
      <c r="P18" s="12">
        <v>0</v>
      </c>
      <c r="Q18" s="12">
        <v>1</v>
      </c>
      <c r="R18" s="12">
        <v>2</v>
      </c>
      <c r="S18" s="12">
        <v>0</v>
      </c>
      <c r="T18" s="12">
        <v>1</v>
      </c>
      <c r="U18" s="12">
        <v>0</v>
      </c>
      <c r="V18" s="12">
        <v>0</v>
      </c>
      <c r="W18" s="12">
        <v>1</v>
      </c>
      <c r="X18" s="12">
        <v>4</v>
      </c>
      <c r="Y18" s="12">
        <v>4</v>
      </c>
      <c r="Z18" s="12">
        <v>5</v>
      </c>
      <c r="AA18" s="12">
        <v>2</v>
      </c>
      <c r="AB18" s="12">
        <v>3</v>
      </c>
      <c r="AC18" s="12">
        <v>0</v>
      </c>
      <c r="AD18" s="12">
        <v>1</v>
      </c>
      <c r="AE18" s="12">
        <v>2</v>
      </c>
      <c r="AF18" s="12">
        <v>1</v>
      </c>
    </row>
    <row r="19" spans="1:32" x14ac:dyDescent="0.35">
      <c r="A19" s="31"/>
      <c r="B19" s="13" t="s">
        <v>357</v>
      </c>
      <c r="C19" s="15" t="s">
        <v>333</v>
      </c>
      <c r="D19" s="15" t="s">
        <v>333</v>
      </c>
      <c r="E19" s="14">
        <v>0.01</v>
      </c>
      <c r="F19" s="15" t="s">
        <v>333</v>
      </c>
      <c r="G19" s="15" t="s">
        <v>333</v>
      </c>
      <c r="H19" s="15" t="s">
        <v>333</v>
      </c>
      <c r="I19" s="15" t="s">
        <v>333</v>
      </c>
      <c r="J19" s="15" t="s">
        <v>333</v>
      </c>
      <c r="K19" s="14">
        <v>0.01</v>
      </c>
      <c r="L19" s="15" t="s">
        <v>333</v>
      </c>
      <c r="M19" s="15" t="s">
        <v>333</v>
      </c>
      <c r="N19" s="15" t="s">
        <v>333</v>
      </c>
      <c r="O19" s="15" t="s">
        <v>333</v>
      </c>
      <c r="P19" s="15" t="s">
        <v>333</v>
      </c>
      <c r="Q19" s="15" t="s">
        <v>333</v>
      </c>
      <c r="R19" s="14">
        <v>0.01</v>
      </c>
      <c r="S19" s="15" t="s">
        <v>333</v>
      </c>
      <c r="T19" s="15" t="s">
        <v>333</v>
      </c>
      <c r="U19" s="15" t="s">
        <v>333</v>
      </c>
      <c r="V19" s="15" t="s">
        <v>333</v>
      </c>
      <c r="W19" s="15" t="s">
        <v>333</v>
      </c>
      <c r="X19" s="15" t="s">
        <v>333</v>
      </c>
      <c r="Y19" s="15" t="s">
        <v>333</v>
      </c>
      <c r="Z19" s="15" t="s">
        <v>333</v>
      </c>
      <c r="AA19" s="15" t="s">
        <v>333</v>
      </c>
      <c r="AB19" s="15" t="s">
        <v>333</v>
      </c>
      <c r="AC19" s="15" t="s">
        <v>333</v>
      </c>
      <c r="AD19" s="15" t="s">
        <v>333</v>
      </c>
      <c r="AE19" s="15" t="s">
        <v>333</v>
      </c>
      <c r="AF19" s="15" t="s">
        <v>333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19"/>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279</v>
      </c>
      <c r="C3" s="30"/>
      <c r="D3" s="30"/>
      <c r="E3" s="30"/>
      <c r="F3" s="30"/>
      <c r="H3" s="30" t="s">
        <v>280</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HYPERLINK("#Content!A141","&lt;&lt;Back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1308</v>
      </c>
      <c r="C12" s="12">
        <v>4672</v>
      </c>
      <c r="D12" s="12">
        <v>144</v>
      </c>
      <c r="E12" s="12">
        <v>253</v>
      </c>
      <c r="F12" s="12">
        <v>148</v>
      </c>
      <c r="G12" s="12">
        <v>209</v>
      </c>
      <c r="H12" s="12">
        <v>343</v>
      </c>
      <c r="I12" s="12">
        <v>419</v>
      </c>
      <c r="J12" s="12">
        <v>76</v>
      </c>
      <c r="K12" s="12">
        <v>169</v>
      </c>
      <c r="L12" s="12">
        <v>212</v>
      </c>
      <c r="M12" s="12">
        <v>333</v>
      </c>
      <c r="N12" s="12">
        <v>149</v>
      </c>
      <c r="O12" s="12">
        <v>108</v>
      </c>
      <c r="P12" s="12">
        <v>166</v>
      </c>
      <c r="Q12" s="12">
        <v>146</v>
      </c>
      <c r="R12" s="12">
        <v>95</v>
      </c>
      <c r="S12" s="12">
        <v>154</v>
      </c>
      <c r="T12" s="12">
        <v>155</v>
      </c>
      <c r="U12" s="12">
        <v>109</v>
      </c>
      <c r="V12" s="12">
        <v>129</v>
      </c>
      <c r="W12" s="12">
        <v>85</v>
      </c>
      <c r="X12" s="12">
        <v>274</v>
      </c>
      <c r="Y12" s="12">
        <v>249</v>
      </c>
      <c r="Z12" s="12">
        <v>101</v>
      </c>
      <c r="AA12" s="12">
        <v>88</v>
      </c>
      <c r="AB12" s="12">
        <v>163</v>
      </c>
      <c r="AC12" s="12">
        <v>81</v>
      </c>
      <c r="AD12" s="12">
        <v>184</v>
      </c>
      <c r="AE12" s="12">
        <v>216</v>
      </c>
      <c r="AF12" s="12">
        <v>267</v>
      </c>
    </row>
    <row r="13" spans="1:32" x14ac:dyDescent="0.35">
      <c r="A13" s="31"/>
      <c r="B13" s="13" t="s">
        <v>1308</v>
      </c>
      <c r="C13" s="14">
        <v>0.18</v>
      </c>
      <c r="D13" s="14">
        <v>0.14000000000000001</v>
      </c>
      <c r="E13" s="14">
        <v>0.24</v>
      </c>
      <c r="F13" s="14">
        <v>0.15</v>
      </c>
      <c r="G13" s="14">
        <v>0.2</v>
      </c>
      <c r="H13" s="14">
        <v>0.28000000000000003</v>
      </c>
      <c r="I13" s="14">
        <v>0.27</v>
      </c>
      <c r="J13" s="14">
        <v>0.25</v>
      </c>
      <c r="K13" s="14">
        <v>0.17</v>
      </c>
      <c r="L13" s="14">
        <v>0.21</v>
      </c>
      <c r="M13" s="14">
        <v>0.33</v>
      </c>
      <c r="N13" s="14">
        <v>0.15</v>
      </c>
      <c r="O13" s="14">
        <v>0.11</v>
      </c>
      <c r="P13" s="14">
        <v>0.17</v>
      </c>
      <c r="Q13" s="14">
        <v>0.14000000000000001</v>
      </c>
      <c r="R13" s="14">
        <v>0.19</v>
      </c>
      <c r="S13" s="14">
        <v>0.15</v>
      </c>
      <c r="T13" s="14">
        <v>0.15</v>
      </c>
      <c r="U13" s="14">
        <v>0.21</v>
      </c>
      <c r="V13" s="14">
        <v>0.13</v>
      </c>
      <c r="W13" s="14">
        <v>0.17</v>
      </c>
      <c r="X13" s="14">
        <v>0.27</v>
      </c>
      <c r="Y13" s="14">
        <v>0.25</v>
      </c>
      <c r="Z13" s="14">
        <v>0.1</v>
      </c>
      <c r="AA13" s="14">
        <v>0.09</v>
      </c>
      <c r="AB13" s="14">
        <v>0.15</v>
      </c>
      <c r="AC13" s="14">
        <v>0.08</v>
      </c>
      <c r="AD13" s="14">
        <v>0.18</v>
      </c>
      <c r="AE13" s="14">
        <v>0.21</v>
      </c>
      <c r="AF13" s="14">
        <v>0.26</v>
      </c>
    </row>
    <row r="14" spans="1:32" x14ac:dyDescent="0.35">
      <c r="A14" s="31"/>
      <c r="B14" s="11" t="s">
        <v>1309</v>
      </c>
      <c r="C14" s="12">
        <v>13006</v>
      </c>
      <c r="D14" s="12">
        <v>487</v>
      </c>
      <c r="E14" s="12">
        <v>544</v>
      </c>
      <c r="F14" s="12">
        <v>522</v>
      </c>
      <c r="G14" s="12">
        <v>516</v>
      </c>
      <c r="H14" s="12">
        <v>655</v>
      </c>
      <c r="I14" s="12">
        <v>810</v>
      </c>
      <c r="J14" s="12">
        <v>154</v>
      </c>
      <c r="K14" s="12">
        <v>481</v>
      </c>
      <c r="L14" s="12">
        <v>427</v>
      </c>
      <c r="M14" s="12">
        <v>461</v>
      </c>
      <c r="N14" s="12">
        <v>393</v>
      </c>
      <c r="O14" s="12">
        <v>385</v>
      </c>
      <c r="P14" s="12">
        <v>542</v>
      </c>
      <c r="Q14" s="12">
        <v>553</v>
      </c>
      <c r="R14" s="12">
        <v>188</v>
      </c>
      <c r="S14" s="12">
        <v>502</v>
      </c>
      <c r="T14" s="12">
        <v>580</v>
      </c>
      <c r="U14" s="12">
        <v>217</v>
      </c>
      <c r="V14" s="12">
        <v>660</v>
      </c>
      <c r="W14" s="12">
        <v>211</v>
      </c>
      <c r="X14" s="12">
        <v>456</v>
      </c>
      <c r="Y14" s="12">
        <v>488</v>
      </c>
      <c r="Z14" s="12">
        <v>651</v>
      </c>
      <c r="AA14" s="12">
        <v>427</v>
      </c>
      <c r="AB14" s="12">
        <v>570</v>
      </c>
      <c r="AC14" s="12">
        <v>582</v>
      </c>
      <c r="AD14" s="12">
        <v>597</v>
      </c>
      <c r="AE14" s="12">
        <v>478</v>
      </c>
      <c r="AF14" s="12">
        <v>496</v>
      </c>
    </row>
    <row r="15" spans="1:32" x14ac:dyDescent="0.35">
      <c r="A15" s="31"/>
      <c r="B15" s="13" t="s">
        <v>1309</v>
      </c>
      <c r="C15" s="14">
        <v>0.49</v>
      </c>
      <c r="D15" s="14">
        <v>0.47</v>
      </c>
      <c r="E15" s="14">
        <v>0.52</v>
      </c>
      <c r="F15" s="14">
        <v>0.51</v>
      </c>
      <c r="G15" s="14">
        <v>0.51</v>
      </c>
      <c r="H15" s="14">
        <v>0.53</v>
      </c>
      <c r="I15" s="14">
        <v>0.53</v>
      </c>
      <c r="J15" s="14">
        <v>0.52</v>
      </c>
      <c r="K15" s="14">
        <v>0.48</v>
      </c>
      <c r="L15" s="14">
        <v>0.43</v>
      </c>
      <c r="M15" s="14">
        <v>0.46</v>
      </c>
      <c r="N15" s="14">
        <v>0.39</v>
      </c>
      <c r="O15" s="14">
        <v>0.38</v>
      </c>
      <c r="P15" s="14">
        <v>0.54</v>
      </c>
      <c r="Q15" s="14">
        <v>0.53</v>
      </c>
      <c r="R15" s="14">
        <v>0.38</v>
      </c>
      <c r="S15" s="14">
        <v>0.49</v>
      </c>
      <c r="T15" s="14">
        <v>0.57000000000000006</v>
      </c>
      <c r="U15" s="14">
        <v>0.43</v>
      </c>
      <c r="V15" s="14">
        <v>0.65</v>
      </c>
      <c r="W15" s="14">
        <v>0.42</v>
      </c>
      <c r="X15" s="14">
        <v>0.45</v>
      </c>
      <c r="Y15" s="14">
        <v>0.49</v>
      </c>
      <c r="Z15" s="14">
        <v>0.64</v>
      </c>
      <c r="AA15" s="14">
        <v>0.41</v>
      </c>
      <c r="AB15" s="14">
        <v>0.54</v>
      </c>
      <c r="AC15" s="14">
        <v>0.57000000000000006</v>
      </c>
      <c r="AD15" s="14">
        <v>0.59</v>
      </c>
      <c r="AE15" s="14">
        <v>0.48</v>
      </c>
      <c r="AF15" s="14">
        <v>0.49</v>
      </c>
    </row>
    <row r="16" spans="1:32" x14ac:dyDescent="0.35">
      <c r="A16" s="31"/>
      <c r="B16" s="11" t="s">
        <v>333</v>
      </c>
      <c r="C16" s="12">
        <v>4877</v>
      </c>
      <c r="D16" s="12">
        <v>224</v>
      </c>
      <c r="E16" s="12">
        <v>121</v>
      </c>
      <c r="F16" s="12">
        <v>178</v>
      </c>
      <c r="G16" s="12">
        <v>230</v>
      </c>
      <c r="H16" s="12">
        <v>199</v>
      </c>
      <c r="I16" s="12">
        <v>248</v>
      </c>
      <c r="J16" s="12">
        <v>49</v>
      </c>
      <c r="K16" s="12">
        <v>201</v>
      </c>
      <c r="L16" s="12">
        <v>183</v>
      </c>
      <c r="M16" s="12">
        <v>112</v>
      </c>
      <c r="N16" s="12">
        <v>151</v>
      </c>
      <c r="O16" s="12">
        <v>278</v>
      </c>
      <c r="P16" s="12">
        <v>165</v>
      </c>
      <c r="Q16" s="12">
        <v>194</v>
      </c>
      <c r="R16" s="12">
        <v>76</v>
      </c>
      <c r="S16" s="12">
        <v>179</v>
      </c>
      <c r="T16" s="12">
        <v>124</v>
      </c>
      <c r="U16" s="12">
        <v>115</v>
      </c>
      <c r="V16" s="12">
        <v>130</v>
      </c>
      <c r="W16" s="12">
        <v>134</v>
      </c>
      <c r="X16" s="12">
        <v>218</v>
      </c>
      <c r="Y16" s="12">
        <v>171</v>
      </c>
      <c r="Z16" s="12">
        <v>127</v>
      </c>
      <c r="AA16" s="12">
        <v>174</v>
      </c>
      <c r="AB16" s="12">
        <v>222</v>
      </c>
      <c r="AC16" s="12">
        <v>191</v>
      </c>
      <c r="AD16" s="12">
        <v>137</v>
      </c>
      <c r="AE16" s="12">
        <v>199</v>
      </c>
      <c r="AF16" s="12">
        <v>206</v>
      </c>
    </row>
    <row r="17" spans="1:32" x14ac:dyDescent="0.35">
      <c r="A17" s="31"/>
      <c r="B17" s="13" t="s">
        <v>333</v>
      </c>
      <c r="C17" s="14">
        <v>0.18</v>
      </c>
      <c r="D17" s="14">
        <v>0.22</v>
      </c>
      <c r="E17" s="14">
        <v>0.12</v>
      </c>
      <c r="F17" s="14">
        <v>0.17</v>
      </c>
      <c r="G17" s="14">
        <v>0.23</v>
      </c>
      <c r="H17" s="14">
        <v>0.16</v>
      </c>
      <c r="I17" s="14">
        <v>0.16</v>
      </c>
      <c r="J17" s="14">
        <v>0.17</v>
      </c>
      <c r="K17" s="14">
        <v>0.2</v>
      </c>
      <c r="L17" s="14">
        <v>0.18</v>
      </c>
      <c r="M17" s="14">
        <v>0.11</v>
      </c>
      <c r="N17" s="14">
        <v>0.15</v>
      </c>
      <c r="O17" s="14">
        <v>0.28000000000000003</v>
      </c>
      <c r="P17" s="14">
        <v>0.16</v>
      </c>
      <c r="Q17" s="14">
        <v>0.19</v>
      </c>
      <c r="R17" s="14">
        <v>0.15</v>
      </c>
      <c r="S17" s="14">
        <v>0.18</v>
      </c>
      <c r="T17" s="14">
        <v>0.12</v>
      </c>
      <c r="U17" s="14">
        <v>0.23</v>
      </c>
      <c r="V17" s="14">
        <v>0.13</v>
      </c>
      <c r="W17" s="14">
        <v>0.27</v>
      </c>
      <c r="X17" s="14">
        <v>0.22</v>
      </c>
      <c r="Y17" s="14">
        <v>0.17</v>
      </c>
      <c r="Z17" s="14">
        <v>0.12</v>
      </c>
      <c r="AA17" s="14">
        <v>0.17</v>
      </c>
      <c r="AB17" s="14">
        <v>0.21</v>
      </c>
      <c r="AC17" s="14">
        <v>0.19</v>
      </c>
      <c r="AD17" s="14">
        <v>0.14000000000000001</v>
      </c>
      <c r="AE17" s="14">
        <v>0.2</v>
      </c>
      <c r="AF17" s="14">
        <v>0.2</v>
      </c>
    </row>
    <row r="18" spans="1:32" x14ac:dyDescent="0.35">
      <c r="A18" s="31"/>
      <c r="B18" s="11" t="s">
        <v>1310</v>
      </c>
      <c r="C18" s="12">
        <v>3855</v>
      </c>
      <c r="D18" s="12">
        <v>170</v>
      </c>
      <c r="E18" s="12">
        <v>121</v>
      </c>
      <c r="F18" s="12">
        <v>170</v>
      </c>
      <c r="G18" s="12">
        <v>63</v>
      </c>
      <c r="H18" s="12">
        <v>35</v>
      </c>
      <c r="I18" s="12">
        <v>53</v>
      </c>
      <c r="J18" s="12">
        <v>18</v>
      </c>
      <c r="K18" s="12">
        <v>157</v>
      </c>
      <c r="L18" s="12">
        <v>181</v>
      </c>
      <c r="M18" s="12">
        <v>98</v>
      </c>
      <c r="N18" s="12">
        <v>308</v>
      </c>
      <c r="O18" s="12">
        <v>229</v>
      </c>
      <c r="P18" s="12">
        <v>131</v>
      </c>
      <c r="Q18" s="12">
        <v>141</v>
      </c>
      <c r="R18" s="12">
        <v>142</v>
      </c>
      <c r="S18" s="12">
        <v>187</v>
      </c>
      <c r="T18" s="12">
        <v>158</v>
      </c>
      <c r="U18" s="12">
        <v>68</v>
      </c>
      <c r="V18" s="12">
        <v>95</v>
      </c>
      <c r="W18" s="12">
        <v>70</v>
      </c>
      <c r="X18" s="12">
        <v>63</v>
      </c>
      <c r="Y18" s="12">
        <v>96</v>
      </c>
      <c r="Z18" s="12">
        <v>140</v>
      </c>
      <c r="AA18" s="12">
        <v>341</v>
      </c>
      <c r="AB18" s="12">
        <v>101</v>
      </c>
      <c r="AC18" s="12">
        <v>159</v>
      </c>
      <c r="AD18" s="12">
        <v>86</v>
      </c>
      <c r="AE18" s="12">
        <v>114</v>
      </c>
      <c r="AF18" s="12">
        <v>51</v>
      </c>
    </row>
    <row r="19" spans="1:32" x14ac:dyDescent="0.35">
      <c r="A19" s="31"/>
      <c r="B19" s="13" t="s">
        <v>1310</v>
      </c>
      <c r="C19" s="14">
        <v>0.15</v>
      </c>
      <c r="D19" s="14">
        <v>0.17</v>
      </c>
      <c r="E19" s="14">
        <v>0.12</v>
      </c>
      <c r="F19" s="14">
        <v>0.17</v>
      </c>
      <c r="G19" s="14">
        <v>0.06</v>
      </c>
      <c r="H19" s="14">
        <v>0.03</v>
      </c>
      <c r="I19" s="14">
        <v>0.04</v>
      </c>
      <c r="J19" s="14">
        <v>0.06</v>
      </c>
      <c r="K19" s="14">
        <v>0.15</v>
      </c>
      <c r="L19" s="14">
        <v>0.18</v>
      </c>
      <c r="M19" s="14">
        <v>0.1</v>
      </c>
      <c r="N19" s="14">
        <v>0.31</v>
      </c>
      <c r="O19" s="14">
        <v>0.23</v>
      </c>
      <c r="P19" s="14">
        <v>0.13</v>
      </c>
      <c r="Q19" s="14">
        <v>0.14000000000000001</v>
      </c>
      <c r="R19" s="14">
        <v>0.28000000000000003</v>
      </c>
      <c r="S19" s="14">
        <v>0.18</v>
      </c>
      <c r="T19" s="14">
        <v>0.16</v>
      </c>
      <c r="U19" s="14">
        <v>0.13</v>
      </c>
      <c r="V19" s="14">
        <v>0.09</v>
      </c>
      <c r="W19" s="14">
        <v>0.14000000000000001</v>
      </c>
      <c r="X19" s="14">
        <v>0.06</v>
      </c>
      <c r="Y19" s="14">
        <v>0.09</v>
      </c>
      <c r="Z19" s="14">
        <v>0.14000000000000001</v>
      </c>
      <c r="AA19" s="14">
        <v>0.33</v>
      </c>
      <c r="AB19" s="14">
        <v>0.1</v>
      </c>
      <c r="AC19" s="14">
        <v>0.16</v>
      </c>
      <c r="AD19" s="14">
        <v>0.09</v>
      </c>
      <c r="AE19" s="14">
        <v>0.11</v>
      </c>
      <c r="AF19" s="14">
        <v>0.05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36" customHeight="1" x14ac:dyDescent="0.35">
      <c r="B3" s="30" t="s">
        <v>281</v>
      </c>
      <c r="C3" s="30"/>
      <c r="D3" s="30"/>
      <c r="E3" s="30"/>
      <c r="F3" s="30"/>
      <c r="H3" s="30" t="s">
        <v>282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HYPERLINK("#Content!A142","&lt;&lt;Back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1016</v>
      </c>
      <c r="C12" s="12">
        <v>2075</v>
      </c>
      <c r="D12" s="12">
        <v>61</v>
      </c>
      <c r="E12" s="12">
        <v>38</v>
      </c>
      <c r="F12" s="12">
        <v>53</v>
      </c>
      <c r="G12" s="12">
        <v>517</v>
      </c>
      <c r="H12" s="12">
        <v>161</v>
      </c>
      <c r="I12" s="12">
        <v>181</v>
      </c>
      <c r="J12" s="12">
        <v>20</v>
      </c>
      <c r="K12" s="12">
        <v>47</v>
      </c>
      <c r="L12" s="12">
        <v>233</v>
      </c>
      <c r="M12" s="12">
        <v>21</v>
      </c>
      <c r="N12" s="12">
        <v>57</v>
      </c>
      <c r="O12" s="12">
        <v>44</v>
      </c>
      <c r="P12" s="12">
        <v>49</v>
      </c>
      <c r="Q12" s="12">
        <v>29</v>
      </c>
      <c r="R12" s="12">
        <v>20</v>
      </c>
      <c r="S12" s="12">
        <v>80</v>
      </c>
      <c r="T12" s="12">
        <v>66</v>
      </c>
      <c r="U12" s="12">
        <v>138</v>
      </c>
      <c r="V12" s="12">
        <v>37</v>
      </c>
      <c r="W12" s="12">
        <v>83</v>
      </c>
      <c r="X12" s="12">
        <v>128</v>
      </c>
      <c r="Y12" s="12">
        <v>193</v>
      </c>
      <c r="Z12" s="12">
        <v>38</v>
      </c>
      <c r="AA12" s="12">
        <v>31</v>
      </c>
      <c r="AB12" s="12">
        <v>36</v>
      </c>
      <c r="AC12" s="12">
        <v>31</v>
      </c>
      <c r="AD12" s="12">
        <v>51</v>
      </c>
      <c r="AE12" s="12">
        <v>214</v>
      </c>
      <c r="AF12" s="12">
        <v>289</v>
      </c>
    </row>
    <row r="13" spans="1:32" x14ac:dyDescent="0.35">
      <c r="A13" s="31"/>
      <c r="B13" s="13" t="s">
        <v>1017</v>
      </c>
      <c r="C13" s="14">
        <v>0.08</v>
      </c>
      <c r="D13" s="14">
        <v>0.06</v>
      </c>
      <c r="E13" s="14">
        <v>0.03</v>
      </c>
      <c r="F13" s="14">
        <v>0.05</v>
      </c>
      <c r="G13" s="14">
        <v>0.51</v>
      </c>
      <c r="H13" s="14">
        <v>0.13</v>
      </c>
      <c r="I13" s="14">
        <v>0.12</v>
      </c>
      <c r="J13" s="14">
        <v>7.0000000000000007E-2</v>
      </c>
      <c r="K13" s="14">
        <v>0.05</v>
      </c>
      <c r="L13" s="14">
        <v>0.23</v>
      </c>
      <c r="M13" s="14">
        <v>0.02</v>
      </c>
      <c r="N13" s="14">
        <v>0.06</v>
      </c>
      <c r="O13" s="14">
        <v>0.04</v>
      </c>
      <c r="P13" s="14">
        <v>0.05</v>
      </c>
      <c r="Q13" s="14">
        <v>0.03</v>
      </c>
      <c r="R13" s="14">
        <v>0.04</v>
      </c>
      <c r="S13" s="14">
        <v>0.08</v>
      </c>
      <c r="T13" s="14">
        <v>0.06</v>
      </c>
      <c r="U13" s="14">
        <v>0.27</v>
      </c>
      <c r="V13" s="14">
        <v>0.04</v>
      </c>
      <c r="W13" s="14">
        <v>0.17</v>
      </c>
      <c r="X13" s="14">
        <v>0.13</v>
      </c>
      <c r="Y13" s="14">
        <v>0.19</v>
      </c>
      <c r="Z13" s="14">
        <v>0.04</v>
      </c>
      <c r="AA13" s="14">
        <v>0.03</v>
      </c>
      <c r="AB13" s="14">
        <v>0.03</v>
      </c>
      <c r="AC13" s="14">
        <v>0.03</v>
      </c>
      <c r="AD13" s="14">
        <v>0.05</v>
      </c>
      <c r="AE13" s="14">
        <v>0.21</v>
      </c>
      <c r="AF13" s="14">
        <v>0.28000000000000003</v>
      </c>
    </row>
    <row r="14" spans="1:32" x14ac:dyDescent="0.35">
      <c r="A14" s="31"/>
      <c r="B14" s="11" t="s">
        <v>1018</v>
      </c>
      <c r="C14" s="12">
        <v>13901</v>
      </c>
      <c r="D14" s="12">
        <v>648</v>
      </c>
      <c r="E14" s="12">
        <v>422</v>
      </c>
      <c r="F14" s="12">
        <v>622</v>
      </c>
      <c r="G14" s="12">
        <v>445</v>
      </c>
      <c r="H14" s="12">
        <v>739</v>
      </c>
      <c r="I14" s="12">
        <v>839</v>
      </c>
      <c r="J14" s="12">
        <v>100</v>
      </c>
      <c r="K14" s="12">
        <v>512</v>
      </c>
      <c r="L14" s="12">
        <v>597</v>
      </c>
      <c r="M14" s="12">
        <v>281</v>
      </c>
      <c r="N14" s="12">
        <v>394</v>
      </c>
      <c r="O14" s="12">
        <v>495</v>
      </c>
      <c r="P14" s="12">
        <v>421</v>
      </c>
      <c r="Q14" s="12">
        <v>544</v>
      </c>
      <c r="R14" s="12">
        <v>159</v>
      </c>
      <c r="S14" s="12">
        <v>572</v>
      </c>
      <c r="T14" s="12">
        <v>537</v>
      </c>
      <c r="U14" s="12">
        <v>320</v>
      </c>
      <c r="V14" s="12">
        <v>425</v>
      </c>
      <c r="W14" s="12">
        <v>222</v>
      </c>
      <c r="X14" s="12">
        <v>627</v>
      </c>
      <c r="Y14" s="12">
        <v>485</v>
      </c>
      <c r="Z14" s="12">
        <v>779</v>
      </c>
      <c r="AA14" s="12">
        <v>677</v>
      </c>
      <c r="AB14" s="12">
        <v>441</v>
      </c>
      <c r="AC14" s="12">
        <v>522</v>
      </c>
      <c r="AD14" s="12">
        <v>420</v>
      </c>
      <c r="AE14" s="12">
        <v>623</v>
      </c>
      <c r="AF14" s="12">
        <v>596</v>
      </c>
    </row>
    <row r="15" spans="1:32" x14ac:dyDescent="0.35">
      <c r="A15" s="31"/>
      <c r="B15" s="13" t="s">
        <v>1019</v>
      </c>
      <c r="C15" s="14">
        <v>0.53</v>
      </c>
      <c r="D15" s="14">
        <v>0.63</v>
      </c>
      <c r="E15" s="14">
        <v>0.41</v>
      </c>
      <c r="F15" s="14">
        <v>0.61</v>
      </c>
      <c r="G15" s="14">
        <v>0.44</v>
      </c>
      <c r="H15" s="14">
        <v>0.6</v>
      </c>
      <c r="I15" s="14">
        <v>0.55000000000000004</v>
      </c>
      <c r="J15" s="14">
        <v>0.33</v>
      </c>
      <c r="K15" s="14">
        <v>0.51</v>
      </c>
      <c r="L15" s="14">
        <v>0.6</v>
      </c>
      <c r="M15" s="14">
        <v>0.28000000000000003</v>
      </c>
      <c r="N15" s="14">
        <v>0.39</v>
      </c>
      <c r="O15" s="14">
        <v>0.5</v>
      </c>
      <c r="P15" s="14">
        <v>0.42</v>
      </c>
      <c r="Q15" s="14">
        <v>0.53</v>
      </c>
      <c r="R15" s="14">
        <v>0.32</v>
      </c>
      <c r="S15" s="14">
        <v>0.56000000000000005</v>
      </c>
      <c r="T15" s="14">
        <v>0.53</v>
      </c>
      <c r="U15" s="14">
        <v>0.63</v>
      </c>
      <c r="V15" s="14">
        <v>0.42</v>
      </c>
      <c r="W15" s="14">
        <v>0.44</v>
      </c>
      <c r="X15" s="14">
        <v>0.62</v>
      </c>
      <c r="Y15" s="14">
        <v>0.49</v>
      </c>
      <c r="Z15" s="14">
        <v>0.76</v>
      </c>
      <c r="AA15" s="14">
        <v>0.66</v>
      </c>
      <c r="AB15" s="14">
        <v>0.42</v>
      </c>
      <c r="AC15" s="14">
        <v>0.52</v>
      </c>
      <c r="AD15" s="14">
        <v>0.42</v>
      </c>
      <c r="AE15" s="14">
        <v>0.62</v>
      </c>
      <c r="AF15" s="14">
        <v>0.59</v>
      </c>
    </row>
    <row r="16" spans="1:32" x14ac:dyDescent="0.35">
      <c r="A16" s="31"/>
      <c r="B16" s="11" t="s">
        <v>1020</v>
      </c>
      <c r="C16" s="12">
        <v>7640</v>
      </c>
      <c r="D16" s="12">
        <v>246</v>
      </c>
      <c r="E16" s="12">
        <v>340</v>
      </c>
      <c r="F16" s="12">
        <v>266</v>
      </c>
      <c r="G16" s="12">
        <v>36</v>
      </c>
      <c r="H16" s="12">
        <v>254</v>
      </c>
      <c r="I16" s="12">
        <v>382</v>
      </c>
      <c r="J16" s="12">
        <v>127</v>
      </c>
      <c r="K16" s="12">
        <v>311</v>
      </c>
      <c r="L16" s="12">
        <v>124</v>
      </c>
      <c r="M16" s="12">
        <v>419</v>
      </c>
      <c r="N16" s="12">
        <v>391</v>
      </c>
      <c r="O16" s="12">
        <v>319</v>
      </c>
      <c r="P16" s="12">
        <v>433</v>
      </c>
      <c r="Q16" s="12">
        <v>377</v>
      </c>
      <c r="R16" s="12">
        <v>230</v>
      </c>
      <c r="S16" s="12">
        <v>264</v>
      </c>
      <c r="T16" s="12">
        <v>314</v>
      </c>
      <c r="U16" s="12">
        <v>34</v>
      </c>
      <c r="V16" s="12">
        <v>376</v>
      </c>
      <c r="W16" s="12">
        <v>116</v>
      </c>
      <c r="X16" s="12">
        <v>209</v>
      </c>
      <c r="Y16" s="12">
        <v>212</v>
      </c>
      <c r="Z16" s="12">
        <v>153</v>
      </c>
      <c r="AA16" s="12">
        <v>234</v>
      </c>
      <c r="AB16" s="12">
        <v>417</v>
      </c>
      <c r="AC16" s="12">
        <v>349</v>
      </c>
      <c r="AD16" s="12">
        <v>418</v>
      </c>
      <c r="AE16" s="12">
        <v>125</v>
      </c>
      <c r="AF16" s="12">
        <v>108</v>
      </c>
    </row>
    <row r="17" spans="1:32" x14ac:dyDescent="0.35">
      <c r="A17" s="31"/>
      <c r="B17" s="13" t="s">
        <v>1021</v>
      </c>
      <c r="C17" s="14">
        <v>0.28999999999999998</v>
      </c>
      <c r="D17" s="14">
        <v>0.24</v>
      </c>
      <c r="E17" s="14">
        <v>0.33</v>
      </c>
      <c r="F17" s="14">
        <v>0.26</v>
      </c>
      <c r="G17" s="14">
        <v>0.03</v>
      </c>
      <c r="H17" s="14">
        <v>0.21</v>
      </c>
      <c r="I17" s="14">
        <v>0.25</v>
      </c>
      <c r="J17" s="14">
        <v>0.43</v>
      </c>
      <c r="K17" s="14">
        <v>0.31</v>
      </c>
      <c r="L17" s="14">
        <v>0.12</v>
      </c>
      <c r="M17" s="14">
        <v>0.42</v>
      </c>
      <c r="N17" s="14">
        <v>0.39</v>
      </c>
      <c r="O17" s="14">
        <v>0.32</v>
      </c>
      <c r="P17" s="14">
        <v>0.43</v>
      </c>
      <c r="Q17" s="14">
        <v>0.36</v>
      </c>
      <c r="R17" s="14">
        <v>0.46</v>
      </c>
      <c r="S17" s="14">
        <v>0.26</v>
      </c>
      <c r="T17" s="14">
        <v>0.31</v>
      </c>
      <c r="U17" s="14">
        <v>7.0000000000000007E-2</v>
      </c>
      <c r="V17" s="14">
        <v>0.37</v>
      </c>
      <c r="W17" s="14">
        <v>0.23</v>
      </c>
      <c r="X17" s="14">
        <v>0.21</v>
      </c>
      <c r="Y17" s="14">
        <v>0.21</v>
      </c>
      <c r="Z17" s="14">
        <v>0.15</v>
      </c>
      <c r="AA17" s="14">
        <v>0.23</v>
      </c>
      <c r="AB17" s="14">
        <v>0.4</v>
      </c>
      <c r="AC17" s="14">
        <v>0.34</v>
      </c>
      <c r="AD17" s="14">
        <v>0.42</v>
      </c>
      <c r="AE17" s="14">
        <v>0.13</v>
      </c>
      <c r="AF17" s="14">
        <v>0.11</v>
      </c>
    </row>
    <row r="18" spans="1:32" x14ac:dyDescent="0.35">
      <c r="A18" s="31"/>
      <c r="B18" s="11" t="s">
        <v>1022</v>
      </c>
      <c r="C18" s="12">
        <v>2404</v>
      </c>
      <c r="D18" s="12">
        <v>65</v>
      </c>
      <c r="E18" s="12">
        <v>228</v>
      </c>
      <c r="F18" s="12">
        <v>65</v>
      </c>
      <c r="G18" s="12">
        <v>11</v>
      </c>
      <c r="H18" s="12">
        <v>71</v>
      </c>
      <c r="I18" s="12">
        <v>117</v>
      </c>
      <c r="J18" s="12">
        <v>47</v>
      </c>
      <c r="K18" s="12">
        <v>105</v>
      </c>
      <c r="L18" s="12">
        <v>35</v>
      </c>
      <c r="M18" s="12">
        <v>280</v>
      </c>
      <c r="N18" s="12">
        <v>125</v>
      </c>
      <c r="O18" s="12">
        <v>123</v>
      </c>
      <c r="P18" s="12">
        <v>76</v>
      </c>
      <c r="Q18" s="12">
        <v>83</v>
      </c>
      <c r="R18" s="12">
        <v>92</v>
      </c>
      <c r="S18" s="12">
        <v>73</v>
      </c>
      <c r="T18" s="12">
        <v>40</v>
      </c>
      <c r="U18" s="12">
        <v>11</v>
      </c>
      <c r="V18" s="12">
        <v>166</v>
      </c>
      <c r="W18" s="12">
        <v>73</v>
      </c>
      <c r="X18" s="12">
        <v>46</v>
      </c>
      <c r="Y18" s="12">
        <v>91</v>
      </c>
      <c r="Z18" s="12">
        <v>18</v>
      </c>
      <c r="AA18" s="12">
        <v>62</v>
      </c>
      <c r="AB18" s="12">
        <v>149</v>
      </c>
      <c r="AC18" s="12">
        <v>94</v>
      </c>
      <c r="AD18" s="12">
        <v>112</v>
      </c>
      <c r="AE18" s="12">
        <v>13</v>
      </c>
      <c r="AF18" s="12">
        <v>24</v>
      </c>
    </row>
    <row r="19" spans="1:32" x14ac:dyDescent="0.35">
      <c r="A19" s="31"/>
      <c r="B19" s="13" t="s">
        <v>1023</v>
      </c>
      <c r="C19" s="14">
        <v>0.09</v>
      </c>
      <c r="D19" s="14">
        <v>0.06</v>
      </c>
      <c r="E19" s="14">
        <v>0.22</v>
      </c>
      <c r="F19" s="14">
        <v>7.0000000000000007E-2</v>
      </c>
      <c r="G19" s="14">
        <v>0.01</v>
      </c>
      <c r="H19" s="14">
        <v>0.06</v>
      </c>
      <c r="I19" s="14">
        <v>7.0000000000000007E-2</v>
      </c>
      <c r="J19" s="14">
        <v>0.16</v>
      </c>
      <c r="K19" s="14">
        <v>0.1</v>
      </c>
      <c r="L19" s="14">
        <v>0.03</v>
      </c>
      <c r="M19" s="14">
        <v>0.28000000000000003</v>
      </c>
      <c r="N19" s="14">
        <v>0.13</v>
      </c>
      <c r="O19" s="14">
        <v>0.12</v>
      </c>
      <c r="P19" s="14">
        <v>0.08</v>
      </c>
      <c r="Q19" s="14">
        <v>0.08</v>
      </c>
      <c r="R19" s="14">
        <v>0.18</v>
      </c>
      <c r="S19" s="14">
        <v>7.0000000000000007E-2</v>
      </c>
      <c r="T19" s="14">
        <v>0.04</v>
      </c>
      <c r="U19" s="14">
        <v>0.02</v>
      </c>
      <c r="V19" s="14">
        <v>0.16</v>
      </c>
      <c r="W19" s="14">
        <v>0.15</v>
      </c>
      <c r="X19" s="14">
        <v>0.04</v>
      </c>
      <c r="Y19" s="14">
        <v>0.09</v>
      </c>
      <c r="Z19" s="14">
        <v>0.02</v>
      </c>
      <c r="AA19" s="14">
        <v>0.06</v>
      </c>
      <c r="AB19" s="14">
        <v>0.14000000000000001</v>
      </c>
      <c r="AC19" s="14">
        <v>0.09</v>
      </c>
      <c r="AD19" s="14">
        <v>0.11</v>
      </c>
      <c r="AE19" s="14">
        <v>0.01</v>
      </c>
      <c r="AF19" s="14">
        <v>0.02</v>
      </c>
    </row>
    <row r="20" spans="1:32" x14ac:dyDescent="0.35">
      <c r="A20" s="31"/>
      <c r="B20" s="11" t="s">
        <v>344</v>
      </c>
      <c r="C20" s="12">
        <v>391</v>
      </c>
      <c r="D20" s="12">
        <v>6</v>
      </c>
      <c r="E20" s="12">
        <v>11</v>
      </c>
      <c r="F20" s="12">
        <v>11</v>
      </c>
      <c r="G20" s="12">
        <v>7</v>
      </c>
      <c r="H20" s="12">
        <v>7</v>
      </c>
      <c r="I20" s="12">
        <v>11</v>
      </c>
      <c r="J20" s="12">
        <v>4</v>
      </c>
      <c r="K20" s="12">
        <v>34</v>
      </c>
      <c r="L20" s="12">
        <v>15</v>
      </c>
      <c r="M20" s="12">
        <v>3</v>
      </c>
      <c r="N20" s="12">
        <v>33</v>
      </c>
      <c r="O20" s="12">
        <v>19</v>
      </c>
      <c r="P20" s="12">
        <v>25</v>
      </c>
      <c r="Q20" s="12">
        <v>2</v>
      </c>
      <c r="R20" s="12">
        <v>0</v>
      </c>
      <c r="S20" s="12">
        <v>32</v>
      </c>
      <c r="T20" s="12">
        <v>60</v>
      </c>
      <c r="U20" s="12">
        <v>5</v>
      </c>
      <c r="V20" s="12">
        <v>9</v>
      </c>
      <c r="W20" s="12">
        <v>6</v>
      </c>
      <c r="X20" s="12">
        <v>1</v>
      </c>
      <c r="Y20" s="12">
        <v>22</v>
      </c>
      <c r="Z20" s="12">
        <v>31</v>
      </c>
      <c r="AA20" s="12">
        <v>25</v>
      </c>
      <c r="AB20" s="12">
        <v>13</v>
      </c>
      <c r="AC20" s="12">
        <v>17</v>
      </c>
      <c r="AD20" s="12">
        <v>3</v>
      </c>
      <c r="AE20" s="12">
        <v>32</v>
      </c>
      <c r="AF20" s="12">
        <v>3</v>
      </c>
    </row>
    <row r="21" spans="1:32" x14ac:dyDescent="0.35">
      <c r="A21" s="31"/>
      <c r="B21" s="13" t="s">
        <v>357</v>
      </c>
      <c r="C21" s="14">
        <v>0.01</v>
      </c>
      <c r="D21" s="14">
        <v>0.01</v>
      </c>
      <c r="E21" s="14">
        <v>0.01</v>
      </c>
      <c r="F21" s="14">
        <v>0.01</v>
      </c>
      <c r="G21" s="14">
        <v>0.01</v>
      </c>
      <c r="H21" s="15" t="s">
        <v>333</v>
      </c>
      <c r="I21" s="14">
        <v>0.01</v>
      </c>
      <c r="J21" s="14">
        <v>0.01</v>
      </c>
      <c r="K21" s="14">
        <v>0.03</v>
      </c>
      <c r="L21" s="14">
        <v>0.02</v>
      </c>
      <c r="M21" s="15" t="s">
        <v>333</v>
      </c>
      <c r="N21" s="14">
        <v>0.03</v>
      </c>
      <c r="O21" s="14">
        <v>0.02</v>
      </c>
      <c r="P21" s="14">
        <v>0.02</v>
      </c>
      <c r="Q21" s="15" t="s">
        <v>333</v>
      </c>
      <c r="R21" s="15" t="s">
        <v>333</v>
      </c>
      <c r="S21" s="14">
        <v>0.03</v>
      </c>
      <c r="T21" s="14">
        <v>0.06</v>
      </c>
      <c r="U21" s="14">
        <v>0.01</v>
      </c>
      <c r="V21" s="14">
        <v>0.01</v>
      </c>
      <c r="W21" s="14">
        <v>0.01</v>
      </c>
      <c r="X21" s="15" t="s">
        <v>333</v>
      </c>
      <c r="Y21" s="14">
        <v>0.02</v>
      </c>
      <c r="Z21" s="14">
        <v>0.03</v>
      </c>
      <c r="AA21" s="14">
        <v>0.02</v>
      </c>
      <c r="AB21" s="14">
        <v>0.01</v>
      </c>
      <c r="AC21" s="14">
        <v>0.02</v>
      </c>
      <c r="AD21" s="15" t="s">
        <v>333</v>
      </c>
      <c r="AE21" s="14">
        <v>0.03</v>
      </c>
      <c r="AF21" s="15" t="s">
        <v>333</v>
      </c>
    </row>
    <row r="22" spans="1:32" x14ac:dyDescent="0.35">
      <c r="A22" s="31"/>
      <c r="B22" s="11" t="s">
        <v>1024</v>
      </c>
      <c r="C22" s="12">
        <v>15976</v>
      </c>
      <c r="D22" s="12">
        <v>709</v>
      </c>
      <c r="E22" s="12">
        <v>460</v>
      </c>
      <c r="F22" s="12">
        <v>675</v>
      </c>
      <c r="G22" s="12">
        <v>962</v>
      </c>
      <c r="H22" s="12">
        <v>900</v>
      </c>
      <c r="I22" s="12">
        <v>1020</v>
      </c>
      <c r="J22" s="12">
        <v>120</v>
      </c>
      <c r="K22" s="12">
        <v>559</v>
      </c>
      <c r="L22" s="12">
        <v>830</v>
      </c>
      <c r="M22" s="12">
        <v>302</v>
      </c>
      <c r="N22" s="12">
        <v>451</v>
      </c>
      <c r="O22" s="12">
        <v>539</v>
      </c>
      <c r="P22" s="12">
        <v>470</v>
      </c>
      <c r="Q22" s="12">
        <v>573</v>
      </c>
      <c r="R22" s="12">
        <v>179</v>
      </c>
      <c r="S22" s="12">
        <v>652</v>
      </c>
      <c r="T22" s="12">
        <v>603</v>
      </c>
      <c r="U22" s="12">
        <v>458</v>
      </c>
      <c r="V22" s="12">
        <v>462</v>
      </c>
      <c r="W22" s="12">
        <v>305</v>
      </c>
      <c r="X22" s="12">
        <v>755</v>
      </c>
      <c r="Y22" s="12">
        <v>678</v>
      </c>
      <c r="Z22" s="12">
        <v>817</v>
      </c>
      <c r="AA22" s="12">
        <v>708</v>
      </c>
      <c r="AB22" s="12">
        <v>477</v>
      </c>
      <c r="AC22" s="12">
        <v>553</v>
      </c>
      <c r="AD22" s="12">
        <v>471</v>
      </c>
      <c r="AE22" s="12">
        <v>837</v>
      </c>
      <c r="AF22" s="12">
        <v>885</v>
      </c>
    </row>
    <row r="23" spans="1:32" x14ac:dyDescent="0.35">
      <c r="A23" s="31"/>
      <c r="B23" s="13" t="s">
        <v>1025</v>
      </c>
      <c r="C23" s="14">
        <v>0.61</v>
      </c>
      <c r="D23" s="14">
        <v>0.69000000000000006</v>
      </c>
      <c r="E23" s="14">
        <v>0.44</v>
      </c>
      <c r="F23" s="14">
        <v>0.66</v>
      </c>
      <c r="G23" s="14">
        <v>0.95000000000000007</v>
      </c>
      <c r="H23" s="14">
        <v>0.73</v>
      </c>
      <c r="I23" s="14">
        <v>0.67</v>
      </c>
      <c r="J23" s="14">
        <v>0.4</v>
      </c>
      <c r="K23" s="14">
        <v>0.56000000000000005</v>
      </c>
      <c r="L23" s="14">
        <v>0.83000000000000007</v>
      </c>
      <c r="M23" s="14">
        <v>0.3</v>
      </c>
      <c r="N23" s="14">
        <v>0.45</v>
      </c>
      <c r="O23" s="14">
        <v>0.54</v>
      </c>
      <c r="P23" s="14">
        <v>0.47</v>
      </c>
      <c r="Q23" s="14">
        <v>0.56000000000000005</v>
      </c>
      <c r="R23" s="14">
        <v>0.36</v>
      </c>
      <c r="S23" s="14">
        <v>0.64</v>
      </c>
      <c r="T23" s="14">
        <v>0.59</v>
      </c>
      <c r="U23" s="14">
        <v>0.9</v>
      </c>
      <c r="V23" s="14">
        <v>0.46</v>
      </c>
      <c r="W23" s="14">
        <v>0.61</v>
      </c>
      <c r="X23" s="14">
        <v>0.75</v>
      </c>
      <c r="Y23" s="14">
        <v>0.68</v>
      </c>
      <c r="Z23" s="14">
        <v>0.8</v>
      </c>
      <c r="AA23" s="14">
        <v>0.69000000000000006</v>
      </c>
      <c r="AB23" s="14">
        <v>0.45</v>
      </c>
      <c r="AC23" s="14">
        <v>0.55000000000000004</v>
      </c>
      <c r="AD23" s="14">
        <v>0.47</v>
      </c>
      <c r="AE23" s="14">
        <v>0.83000000000000007</v>
      </c>
      <c r="AF23" s="14">
        <v>0.87</v>
      </c>
    </row>
    <row r="24" spans="1:32" x14ac:dyDescent="0.35">
      <c r="A24" s="31"/>
      <c r="B24" s="11" t="s">
        <v>1215</v>
      </c>
      <c r="C24" s="12">
        <v>10044</v>
      </c>
      <c r="D24" s="12">
        <v>311</v>
      </c>
      <c r="E24" s="12">
        <v>568</v>
      </c>
      <c r="F24" s="12">
        <v>331</v>
      </c>
      <c r="G24" s="12">
        <v>47</v>
      </c>
      <c r="H24" s="12">
        <v>325</v>
      </c>
      <c r="I24" s="12">
        <v>499</v>
      </c>
      <c r="J24" s="12">
        <v>174</v>
      </c>
      <c r="K24" s="12">
        <v>416</v>
      </c>
      <c r="L24" s="12">
        <v>159</v>
      </c>
      <c r="M24" s="12">
        <v>699</v>
      </c>
      <c r="N24" s="12">
        <v>516</v>
      </c>
      <c r="O24" s="12">
        <v>442</v>
      </c>
      <c r="P24" s="12">
        <v>509</v>
      </c>
      <c r="Q24" s="12">
        <v>460</v>
      </c>
      <c r="R24" s="12">
        <v>322</v>
      </c>
      <c r="S24" s="12">
        <v>337</v>
      </c>
      <c r="T24" s="12">
        <v>354</v>
      </c>
      <c r="U24" s="12">
        <v>45</v>
      </c>
      <c r="V24" s="12">
        <v>542</v>
      </c>
      <c r="W24" s="12">
        <v>189</v>
      </c>
      <c r="X24" s="12">
        <v>255</v>
      </c>
      <c r="Y24" s="12">
        <v>303</v>
      </c>
      <c r="Z24" s="12">
        <v>171</v>
      </c>
      <c r="AA24" s="12">
        <v>296</v>
      </c>
      <c r="AB24" s="12">
        <v>566</v>
      </c>
      <c r="AC24" s="12">
        <v>443</v>
      </c>
      <c r="AD24" s="12">
        <v>530</v>
      </c>
      <c r="AE24" s="12">
        <v>138</v>
      </c>
      <c r="AF24" s="12">
        <v>132</v>
      </c>
    </row>
    <row r="25" spans="1:32" x14ac:dyDescent="0.35">
      <c r="A25" s="31"/>
      <c r="B25" s="13" t="s">
        <v>1216</v>
      </c>
      <c r="C25" s="14">
        <v>0.38</v>
      </c>
      <c r="D25" s="14">
        <v>0.3</v>
      </c>
      <c r="E25" s="14">
        <v>0.55000000000000004</v>
      </c>
      <c r="F25" s="14">
        <v>0.33</v>
      </c>
      <c r="G25" s="14">
        <v>0.04</v>
      </c>
      <c r="H25" s="14">
        <v>0.27</v>
      </c>
      <c r="I25" s="14">
        <v>0.32</v>
      </c>
      <c r="J25" s="14">
        <v>0.59</v>
      </c>
      <c r="K25" s="14">
        <v>0.41</v>
      </c>
      <c r="L25" s="14">
        <v>0.15</v>
      </c>
      <c r="M25" s="14">
        <v>0.70000000000000007</v>
      </c>
      <c r="N25" s="14">
        <v>0.52</v>
      </c>
      <c r="O25" s="14">
        <v>0.44</v>
      </c>
      <c r="P25" s="14">
        <v>0.51</v>
      </c>
      <c r="Q25" s="14">
        <v>0.44</v>
      </c>
      <c r="R25" s="14">
        <v>0.64</v>
      </c>
      <c r="S25" s="14">
        <v>0.33</v>
      </c>
      <c r="T25" s="14">
        <v>0.35</v>
      </c>
      <c r="U25" s="14">
        <v>0.09</v>
      </c>
      <c r="V25" s="14">
        <v>0.53</v>
      </c>
      <c r="W25" s="14">
        <v>0.38</v>
      </c>
      <c r="X25" s="14">
        <v>0.25</v>
      </c>
      <c r="Y25" s="14">
        <v>0.3</v>
      </c>
      <c r="Z25" s="14">
        <v>0.17</v>
      </c>
      <c r="AA25" s="14">
        <v>0.28999999999999998</v>
      </c>
      <c r="AB25" s="14">
        <v>0.54</v>
      </c>
      <c r="AC25" s="14">
        <v>0.43</v>
      </c>
      <c r="AD25" s="14">
        <v>0.53</v>
      </c>
      <c r="AE25" s="14">
        <v>0.14000000000000001</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283</v>
      </c>
      <c r="C3" s="30"/>
      <c r="D3" s="30"/>
      <c r="E3" s="30"/>
      <c r="F3" s="30"/>
      <c r="H3" s="30" t="s">
        <v>284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HYPERLINK("#Content!A143","&lt;&lt;Back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1016</v>
      </c>
      <c r="C12" s="12">
        <v>1227</v>
      </c>
      <c r="D12" s="12">
        <v>42</v>
      </c>
      <c r="E12" s="12">
        <v>134</v>
      </c>
      <c r="F12" s="12">
        <v>59</v>
      </c>
      <c r="G12" s="12">
        <v>163</v>
      </c>
      <c r="H12" s="12">
        <v>70</v>
      </c>
      <c r="I12" s="12">
        <v>79</v>
      </c>
      <c r="J12" s="12">
        <v>9</v>
      </c>
      <c r="K12" s="12">
        <v>43</v>
      </c>
      <c r="L12" s="12">
        <v>190</v>
      </c>
      <c r="M12" s="12">
        <v>14</v>
      </c>
      <c r="N12" s="12">
        <v>42</v>
      </c>
      <c r="O12" s="12">
        <v>23</v>
      </c>
      <c r="P12" s="12">
        <v>58</v>
      </c>
      <c r="Q12" s="12">
        <v>32</v>
      </c>
      <c r="R12" s="12">
        <v>12</v>
      </c>
      <c r="S12" s="12">
        <v>82</v>
      </c>
      <c r="T12" s="12">
        <v>67</v>
      </c>
      <c r="U12" s="12">
        <v>52</v>
      </c>
      <c r="V12" s="12">
        <v>30</v>
      </c>
      <c r="W12" s="12">
        <v>33</v>
      </c>
      <c r="X12" s="12">
        <v>44</v>
      </c>
      <c r="Y12" s="12">
        <v>144</v>
      </c>
      <c r="Z12" s="12">
        <v>37</v>
      </c>
      <c r="AA12" s="12">
        <v>33</v>
      </c>
      <c r="AB12" s="12">
        <v>51</v>
      </c>
      <c r="AC12" s="12">
        <v>26</v>
      </c>
      <c r="AD12" s="12">
        <v>68</v>
      </c>
      <c r="AE12" s="12">
        <v>47</v>
      </c>
      <c r="AF12" s="12">
        <v>66</v>
      </c>
    </row>
    <row r="13" spans="1:32" x14ac:dyDescent="0.35">
      <c r="A13" s="31"/>
      <c r="B13" s="13" t="s">
        <v>1017</v>
      </c>
      <c r="C13" s="14">
        <v>0.05</v>
      </c>
      <c r="D13" s="14">
        <v>0.04</v>
      </c>
      <c r="E13" s="14">
        <v>0.13</v>
      </c>
      <c r="F13" s="14">
        <v>0.06</v>
      </c>
      <c r="G13" s="14">
        <v>0.16</v>
      </c>
      <c r="H13" s="14">
        <v>0.05</v>
      </c>
      <c r="I13" s="14">
        <v>0.05</v>
      </c>
      <c r="J13" s="14">
        <v>0.03</v>
      </c>
      <c r="K13" s="14">
        <v>0.04</v>
      </c>
      <c r="L13" s="14">
        <v>0.19</v>
      </c>
      <c r="M13" s="14">
        <v>0.02</v>
      </c>
      <c r="N13" s="14">
        <v>0.04</v>
      </c>
      <c r="O13" s="14">
        <v>0.02</v>
      </c>
      <c r="P13" s="14">
        <v>0.06</v>
      </c>
      <c r="Q13" s="14">
        <v>0.03</v>
      </c>
      <c r="R13" s="14">
        <v>0.02</v>
      </c>
      <c r="S13" s="14">
        <v>0.08</v>
      </c>
      <c r="T13" s="14">
        <v>7.0000000000000007E-2</v>
      </c>
      <c r="U13" s="14">
        <v>0.1</v>
      </c>
      <c r="V13" s="14">
        <v>0.03</v>
      </c>
      <c r="W13" s="14">
        <v>7.0000000000000007E-2</v>
      </c>
      <c r="X13" s="14">
        <v>0.05</v>
      </c>
      <c r="Y13" s="14">
        <v>0.14000000000000001</v>
      </c>
      <c r="Z13" s="14">
        <v>0.04</v>
      </c>
      <c r="AA13" s="14">
        <v>0.03</v>
      </c>
      <c r="AB13" s="14">
        <v>0.05</v>
      </c>
      <c r="AC13" s="14">
        <v>0.02</v>
      </c>
      <c r="AD13" s="14">
        <v>7.0000000000000007E-2</v>
      </c>
      <c r="AE13" s="14">
        <v>0.05</v>
      </c>
      <c r="AF13" s="14">
        <v>7.0000000000000007E-2</v>
      </c>
    </row>
    <row r="14" spans="1:32" x14ac:dyDescent="0.35">
      <c r="A14" s="31"/>
      <c r="B14" s="11" t="s">
        <v>1018</v>
      </c>
      <c r="C14" s="12">
        <v>13929</v>
      </c>
      <c r="D14" s="12">
        <v>615</v>
      </c>
      <c r="E14" s="12">
        <v>433</v>
      </c>
      <c r="F14" s="12">
        <v>520</v>
      </c>
      <c r="G14" s="12">
        <v>668</v>
      </c>
      <c r="H14" s="12">
        <v>677</v>
      </c>
      <c r="I14" s="12">
        <v>776</v>
      </c>
      <c r="J14" s="12">
        <v>99</v>
      </c>
      <c r="K14" s="12">
        <v>495</v>
      </c>
      <c r="L14" s="12">
        <v>595</v>
      </c>
      <c r="M14" s="12">
        <v>369</v>
      </c>
      <c r="N14" s="12">
        <v>424</v>
      </c>
      <c r="O14" s="12">
        <v>474</v>
      </c>
      <c r="P14" s="12">
        <v>535</v>
      </c>
      <c r="Q14" s="12">
        <v>561</v>
      </c>
      <c r="R14" s="12">
        <v>213</v>
      </c>
      <c r="S14" s="12">
        <v>594</v>
      </c>
      <c r="T14" s="12">
        <v>585</v>
      </c>
      <c r="U14" s="12">
        <v>300</v>
      </c>
      <c r="V14" s="12">
        <v>533</v>
      </c>
      <c r="W14" s="12">
        <v>274</v>
      </c>
      <c r="X14" s="12">
        <v>632</v>
      </c>
      <c r="Y14" s="12">
        <v>441</v>
      </c>
      <c r="Z14" s="12">
        <v>740</v>
      </c>
      <c r="AA14" s="12">
        <v>661</v>
      </c>
      <c r="AB14" s="12">
        <v>525</v>
      </c>
      <c r="AC14" s="12">
        <v>508</v>
      </c>
      <c r="AD14" s="12">
        <v>465</v>
      </c>
      <c r="AE14" s="12">
        <v>586</v>
      </c>
      <c r="AF14" s="12">
        <v>655</v>
      </c>
    </row>
    <row r="15" spans="1:32" x14ac:dyDescent="0.35">
      <c r="A15" s="31"/>
      <c r="B15" s="13" t="s">
        <v>1019</v>
      </c>
      <c r="C15" s="14">
        <v>0.53</v>
      </c>
      <c r="D15" s="14">
        <v>0.6</v>
      </c>
      <c r="E15" s="14">
        <v>0.42</v>
      </c>
      <c r="F15" s="14">
        <v>0.51</v>
      </c>
      <c r="G15" s="14">
        <v>0.66</v>
      </c>
      <c r="H15" s="14">
        <v>0.55000000000000004</v>
      </c>
      <c r="I15" s="14">
        <v>0.51</v>
      </c>
      <c r="J15" s="14">
        <v>0.33</v>
      </c>
      <c r="K15" s="14">
        <v>0.49</v>
      </c>
      <c r="L15" s="14">
        <v>0.59</v>
      </c>
      <c r="M15" s="14">
        <v>0.37</v>
      </c>
      <c r="N15" s="14">
        <v>0.42</v>
      </c>
      <c r="O15" s="14">
        <v>0.47</v>
      </c>
      <c r="P15" s="14">
        <v>0.53</v>
      </c>
      <c r="Q15" s="14">
        <v>0.54</v>
      </c>
      <c r="R15" s="14">
        <v>0.43</v>
      </c>
      <c r="S15" s="14">
        <v>0.57999999999999996</v>
      </c>
      <c r="T15" s="14">
        <v>0.57000000000000006</v>
      </c>
      <c r="U15" s="14">
        <v>0.59</v>
      </c>
      <c r="V15" s="14">
        <v>0.53</v>
      </c>
      <c r="W15" s="14">
        <v>0.55000000000000004</v>
      </c>
      <c r="X15" s="14">
        <v>0.63</v>
      </c>
      <c r="Y15" s="14">
        <v>0.44</v>
      </c>
      <c r="Z15" s="14">
        <v>0.72</v>
      </c>
      <c r="AA15" s="14">
        <v>0.64</v>
      </c>
      <c r="AB15" s="14">
        <v>0.5</v>
      </c>
      <c r="AC15" s="14">
        <v>0.5</v>
      </c>
      <c r="AD15" s="14">
        <v>0.46</v>
      </c>
      <c r="AE15" s="14">
        <v>0.57999999999999996</v>
      </c>
      <c r="AF15" s="14">
        <v>0.64</v>
      </c>
    </row>
    <row r="16" spans="1:32" x14ac:dyDescent="0.35">
      <c r="A16" s="31"/>
      <c r="B16" s="11" t="s">
        <v>1020</v>
      </c>
      <c r="C16" s="12">
        <v>7699</v>
      </c>
      <c r="D16" s="12">
        <v>273</v>
      </c>
      <c r="E16" s="12">
        <v>236</v>
      </c>
      <c r="F16" s="12">
        <v>326</v>
      </c>
      <c r="G16" s="12">
        <v>118</v>
      </c>
      <c r="H16" s="12">
        <v>378</v>
      </c>
      <c r="I16" s="12">
        <v>516</v>
      </c>
      <c r="J16" s="12">
        <v>138</v>
      </c>
      <c r="K16" s="12">
        <v>288</v>
      </c>
      <c r="L16" s="12">
        <v>129</v>
      </c>
      <c r="M16" s="12">
        <v>382</v>
      </c>
      <c r="N16" s="12">
        <v>348</v>
      </c>
      <c r="O16" s="12">
        <v>285</v>
      </c>
      <c r="P16" s="12">
        <v>331</v>
      </c>
      <c r="Q16" s="12">
        <v>345</v>
      </c>
      <c r="R16" s="12">
        <v>182</v>
      </c>
      <c r="S16" s="12">
        <v>186</v>
      </c>
      <c r="T16" s="12">
        <v>205</v>
      </c>
      <c r="U16" s="12">
        <v>115</v>
      </c>
      <c r="V16" s="12">
        <v>320</v>
      </c>
      <c r="W16" s="12">
        <v>108</v>
      </c>
      <c r="X16" s="12">
        <v>255</v>
      </c>
      <c r="Y16" s="12">
        <v>256</v>
      </c>
      <c r="Z16" s="12">
        <v>170</v>
      </c>
      <c r="AA16" s="12">
        <v>202</v>
      </c>
      <c r="AB16" s="12">
        <v>313</v>
      </c>
      <c r="AC16" s="12">
        <v>362</v>
      </c>
      <c r="AD16" s="12">
        <v>312</v>
      </c>
      <c r="AE16" s="12">
        <v>256</v>
      </c>
      <c r="AF16" s="12">
        <v>209</v>
      </c>
    </row>
    <row r="17" spans="1:32" x14ac:dyDescent="0.35">
      <c r="A17" s="31"/>
      <c r="B17" s="13" t="s">
        <v>1021</v>
      </c>
      <c r="C17" s="14">
        <v>0.28999999999999998</v>
      </c>
      <c r="D17" s="14">
        <v>0.27</v>
      </c>
      <c r="E17" s="14">
        <v>0.22</v>
      </c>
      <c r="F17" s="14">
        <v>0.32</v>
      </c>
      <c r="G17" s="14">
        <v>0.12</v>
      </c>
      <c r="H17" s="14">
        <v>0.31</v>
      </c>
      <c r="I17" s="14">
        <v>0.34</v>
      </c>
      <c r="J17" s="14">
        <v>0.46</v>
      </c>
      <c r="K17" s="14">
        <v>0.28999999999999998</v>
      </c>
      <c r="L17" s="14">
        <v>0.13</v>
      </c>
      <c r="M17" s="14">
        <v>0.38</v>
      </c>
      <c r="N17" s="14">
        <v>0.35</v>
      </c>
      <c r="O17" s="14">
        <v>0.28999999999999998</v>
      </c>
      <c r="P17" s="14">
        <v>0.33</v>
      </c>
      <c r="Q17" s="14">
        <v>0.33</v>
      </c>
      <c r="R17" s="14">
        <v>0.36</v>
      </c>
      <c r="S17" s="14">
        <v>0.18</v>
      </c>
      <c r="T17" s="14">
        <v>0.2</v>
      </c>
      <c r="U17" s="14">
        <v>0.23</v>
      </c>
      <c r="V17" s="14">
        <v>0.32</v>
      </c>
      <c r="W17" s="14">
        <v>0.21</v>
      </c>
      <c r="X17" s="14">
        <v>0.25</v>
      </c>
      <c r="Y17" s="14">
        <v>0.26</v>
      </c>
      <c r="Z17" s="14">
        <v>0.17</v>
      </c>
      <c r="AA17" s="14">
        <v>0.2</v>
      </c>
      <c r="AB17" s="14">
        <v>0.28999999999999998</v>
      </c>
      <c r="AC17" s="14">
        <v>0.36</v>
      </c>
      <c r="AD17" s="14">
        <v>0.31</v>
      </c>
      <c r="AE17" s="14">
        <v>0.25</v>
      </c>
      <c r="AF17" s="14">
        <v>0.21</v>
      </c>
    </row>
    <row r="18" spans="1:32" x14ac:dyDescent="0.35">
      <c r="A18" s="31"/>
      <c r="B18" s="11" t="s">
        <v>1022</v>
      </c>
      <c r="C18" s="12">
        <v>2192</v>
      </c>
      <c r="D18" s="12">
        <v>83</v>
      </c>
      <c r="E18" s="12">
        <v>153</v>
      </c>
      <c r="F18" s="12">
        <v>81</v>
      </c>
      <c r="G18" s="12">
        <v>22</v>
      </c>
      <c r="H18" s="12">
        <v>73</v>
      </c>
      <c r="I18" s="12">
        <v>111</v>
      </c>
      <c r="J18" s="12">
        <v>38</v>
      </c>
      <c r="K18" s="12">
        <v>89</v>
      </c>
      <c r="L18" s="12">
        <v>42</v>
      </c>
      <c r="M18" s="12">
        <v>214</v>
      </c>
      <c r="N18" s="12">
        <v>85</v>
      </c>
      <c r="O18" s="12">
        <v>136</v>
      </c>
      <c r="P18" s="12">
        <v>34</v>
      </c>
      <c r="Q18" s="12">
        <v>68</v>
      </c>
      <c r="R18" s="12">
        <v>70</v>
      </c>
      <c r="S18" s="12">
        <v>45</v>
      </c>
      <c r="T18" s="12">
        <v>29</v>
      </c>
      <c r="U18" s="12">
        <v>30</v>
      </c>
      <c r="V18" s="12">
        <v>96</v>
      </c>
      <c r="W18" s="12">
        <v>21</v>
      </c>
      <c r="X18" s="12">
        <v>54</v>
      </c>
      <c r="Y18" s="12">
        <v>126</v>
      </c>
      <c r="Z18" s="12">
        <v>29</v>
      </c>
      <c r="AA18" s="12">
        <v>56</v>
      </c>
      <c r="AB18" s="12">
        <v>116</v>
      </c>
      <c r="AC18" s="12">
        <v>90</v>
      </c>
      <c r="AD18" s="12">
        <v>112</v>
      </c>
      <c r="AE18" s="12">
        <v>32</v>
      </c>
      <c r="AF18" s="12">
        <v>34</v>
      </c>
    </row>
    <row r="19" spans="1:32" x14ac:dyDescent="0.35">
      <c r="A19" s="31"/>
      <c r="B19" s="13" t="s">
        <v>1023</v>
      </c>
      <c r="C19" s="14">
        <v>0.08</v>
      </c>
      <c r="D19" s="14">
        <v>0.08</v>
      </c>
      <c r="E19" s="14">
        <v>0.15</v>
      </c>
      <c r="F19" s="14">
        <v>0.08</v>
      </c>
      <c r="G19" s="14">
        <v>0.02</v>
      </c>
      <c r="H19" s="14">
        <v>0.06</v>
      </c>
      <c r="I19" s="14">
        <v>7.0000000000000007E-2</v>
      </c>
      <c r="J19" s="14">
        <v>0.13</v>
      </c>
      <c r="K19" s="14">
        <v>0.09</v>
      </c>
      <c r="L19" s="14">
        <v>0.04</v>
      </c>
      <c r="M19" s="14">
        <v>0.21</v>
      </c>
      <c r="N19" s="14">
        <v>0.09</v>
      </c>
      <c r="O19" s="14">
        <v>0.14000000000000001</v>
      </c>
      <c r="P19" s="14">
        <v>0.03</v>
      </c>
      <c r="Q19" s="14">
        <v>7.0000000000000007E-2</v>
      </c>
      <c r="R19" s="14">
        <v>0.14000000000000001</v>
      </c>
      <c r="S19" s="14">
        <v>0.05</v>
      </c>
      <c r="T19" s="14">
        <v>0.03</v>
      </c>
      <c r="U19" s="14">
        <v>0.06</v>
      </c>
      <c r="V19" s="14">
        <v>0.09</v>
      </c>
      <c r="W19" s="14">
        <v>0.04</v>
      </c>
      <c r="X19" s="14">
        <v>0.05</v>
      </c>
      <c r="Y19" s="14">
        <v>0.12</v>
      </c>
      <c r="Z19" s="14">
        <v>0.03</v>
      </c>
      <c r="AA19" s="14">
        <v>0.05</v>
      </c>
      <c r="AB19" s="14">
        <v>0.11</v>
      </c>
      <c r="AC19" s="14">
        <v>0.09</v>
      </c>
      <c r="AD19" s="14">
        <v>0.11</v>
      </c>
      <c r="AE19" s="14">
        <v>0.03</v>
      </c>
      <c r="AF19" s="14">
        <v>0.03</v>
      </c>
    </row>
    <row r="20" spans="1:32" x14ac:dyDescent="0.35">
      <c r="A20" s="31"/>
      <c r="B20" s="11" t="s">
        <v>344</v>
      </c>
      <c r="C20" s="12">
        <v>1363</v>
      </c>
      <c r="D20" s="12">
        <v>13</v>
      </c>
      <c r="E20" s="12">
        <v>83</v>
      </c>
      <c r="F20" s="12">
        <v>32</v>
      </c>
      <c r="G20" s="12">
        <v>46</v>
      </c>
      <c r="H20" s="12">
        <v>34</v>
      </c>
      <c r="I20" s="12">
        <v>47</v>
      </c>
      <c r="J20" s="12">
        <v>13</v>
      </c>
      <c r="K20" s="12">
        <v>94</v>
      </c>
      <c r="L20" s="12">
        <v>48</v>
      </c>
      <c r="M20" s="12">
        <v>24</v>
      </c>
      <c r="N20" s="12">
        <v>100</v>
      </c>
      <c r="O20" s="12">
        <v>82</v>
      </c>
      <c r="P20" s="12">
        <v>45</v>
      </c>
      <c r="Q20" s="12">
        <v>29</v>
      </c>
      <c r="R20" s="12">
        <v>24</v>
      </c>
      <c r="S20" s="12">
        <v>115</v>
      </c>
      <c r="T20" s="12">
        <v>131</v>
      </c>
      <c r="U20" s="12">
        <v>12</v>
      </c>
      <c r="V20" s="12">
        <v>36</v>
      </c>
      <c r="W20" s="12">
        <v>65</v>
      </c>
      <c r="X20" s="12">
        <v>24</v>
      </c>
      <c r="Y20" s="12">
        <v>36</v>
      </c>
      <c r="Z20" s="12">
        <v>43</v>
      </c>
      <c r="AA20" s="12">
        <v>78</v>
      </c>
      <c r="AB20" s="12">
        <v>52</v>
      </c>
      <c r="AC20" s="12">
        <v>27</v>
      </c>
      <c r="AD20" s="12">
        <v>47</v>
      </c>
      <c r="AE20" s="12">
        <v>86</v>
      </c>
      <c r="AF20" s="12">
        <v>56</v>
      </c>
    </row>
    <row r="21" spans="1:32" x14ac:dyDescent="0.35">
      <c r="A21" s="31"/>
      <c r="B21" s="13" t="s">
        <v>357</v>
      </c>
      <c r="C21" s="14">
        <v>0.05</v>
      </c>
      <c r="D21" s="14">
        <v>0.01</v>
      </c>
      <c r="E21" s="14">
        <v>0.08</v>
      </c>
      <c r="F21" s="14">
        <v>0.03</v>
      </c>
      <c r="G21" s="14">
        <v>0.04</v>
      </c>
      <c r="H21" s="14">
        <v>0.03</v>
      </c>
      <c r="I21" s="14">
        <v>0.03</v>
      </c>
      <c r="J21" s="14">
        <v>0.05</v>
      </c>
      <c r="K21" s="14">
        <v>0.09</v>
      </c>
      <c r="L21" s="14">
        <v>0.05</v>
      </c>
      <c r="M21" s="14">
        <v>0.02</v>
      </c>
      <c r="N21" s="14">
        <v>0.1</v>
      </c>
      <c r="O21" s="14">
        <v>0.08</v>
      </c>
      <c r="P21" s="14">
        <v>0.05</v>
      </c>
      <c r="Q21" s="14">
        <v>0.03</v>
      </c>
      <c r="R21" s="14">
        <v>0.05</v>
      </c>
      <c r="S21" s="14">
        <v>0.11</v>
      </c>
      <c r="T21" s="14">
        <v>0.13</v>
      </c>
      <c r="U21" s="14">
        <v>0.02</v>
      </c>
      <c r="V21" s="14">
        <v>0.03</v>
      </c>
      <c r="W21" s="14">
        <v>0.13</v>
      </c>
      <c r="X21" s="14">
        <v>0.02</v>
      </c>
      <c r="Y21" s="14">
        <v>0.04</v>
      </c>
      <c r="Z21" s="14">
        <v>0.04</v>
      </c>
      <c r="AA21" s="14">
        <v>0.08</v>
      </c>
      <c r="AB21" s="14">
        <v>0.05</v>
      </c>
      <c r="AC21" s="14">
        <v>0.03</v>
      </c>
      <c r="AD21" s="14">
        <v>0.05</v>
      </c>
      <c r="AE21" s="14">
        <v>0.09</v>
      </c>
      <c r="AF21" s="14">
        <v>0.05</v>
      </c>
    </row>
    <row r="22" spans="1:32" x14ac:dyDescent="0.35">
      <c r="A22" s="31"/>
      <c r="B22" s="11" t="s">
        <v>1024</v>
      </c>
      <c r="C22" s="12">
        <v>15156</v>
      </c>
      <c r="D22" s="12">
        <v>657</v>
      </c>
      <c r="E22" s="12">
        <v>567</v>
      </c>
      <c r="F22" s="12">
        <v>579</v>
      </c>
      <c r="G22" s="12">
        <v>831</v>
      </c>
      <c r="H22" s="12">
        <v>747</v>
      </c>
      <c r="I22" s="12">
        <v>855</v>
      </c>
      <c r="J22" s="12">
        <v>108</v>
      </c>
      <c r="K22" s="12">
        <v>538</v>
      </c>
      <c r="L22" s="12">
        <v>785</v>
      </c>
      <c r="M22" s="12">
        <v>383</v>
      </c>
      <c r="N22" s="12">
        <v>466</v>
      </c>
      <c r="O22" s="12">
        <v>497</v>
      </c>
      <c r="P22" s="12">
        <v>593</v>
      </c>
      <c r="Q22" s="12">
        <v>593</v>
      </c>
      <c r="R22" s="12">
        <v>225</v>
      </c>
      <c r="S22" s="12">
        <v>676</v>
      </c>
      <c r="T22" s="12">
        <v>652</v>
      </c>
      <c r="U22" s="12">
        <v>352</v>
      </c>
      <c r="V22" s="12">
        <v>563</v>
      </c>
      <c r="W22" s="12">
        <v>307</v>
      </c>
      <c r="X22" s="12">
        <v>676</v>
      </c>
      <c r="Y22" s="12">
        <v>585</v>
      </c>
      <c r="Z22" s="12">
        <v>777</v>
      </c>
      <c r="AA22" s="12">
        <v>694</v>
      </c>
      <c r="AB22" s="12">
        <v>576</v>
      </c>
      <c r="AC22" s="12">
        <v>534</v>
      </c>
      <c r="AD22" s="12">
        <v>533</v>
      </c>
      <c r="AE22" s="12">
        <v>633</v>
      </c>
      <c r="AF22" s="12">
        <v>721</v>
      </c>
    </row>
    <row r="23" spans="1:32" x14ac:dyDescent="0.35">
      <c r="A23" s="31"/>
      <c r="B23" s="13" t="s">
        <v>1025</v>
      </c>
      <c r="C23" s="14">
        <v>0.57999999999999996</v>
      </c>
      <c r="D23" s="14">
        <v>0.64</v>
      </c>
      <c r="E23" s="14">
        <v>0.55000000000000004</v>
      </c>
      <c r="F23" s="14">
        <v>0.57000000000000006</v>
      </c>
      <c r="G23" s="14">
        <v>0.82000000000000006</v>
      </c>
      <c r="H23" s="14">
        <v>0.6</v>
      </c>
      <c r="I23" s="14">
        <v>0.56000000000000005</v>
      </c>
      <c r="J23" s="14">
        <v>0.36</v>
      </c>
      <c r="K23" s="14">
        <v>0.53</v>
      </c>
      <c r="L23" s="14">
        <v>0.78</v>
      </c>
      <c r="M23" s="14">
        <v>0.39</v>
      </c>
      <c r="N23" s="14">
        <v>0.46</v>
      </c>
      <c r="O23" s="14">
        <v>0.49</v>
      </c>
      <c r="P23" s="14">
        <v>0.59</v>
      </c>
      <c r="Q23" s="14">
        <v>0.57000000000000006</v>
      </c>
      <c r="R23" s="14">
        <v>0.45</v>
      </c>
      <c r="S23" s="14">
        <v>0.66</v>
      </c>
      <c r="T23" s="14">
        <v>0.64</v>
      </c>
      <c r="U23" s="14">
        <v>0.69000000000000006</v>
      </c>
      <c r="V23" s="14">
        <v>0.56000000000000005</v>
      </c>
      <c r="W23" s="14">
        <v>0.62</v>
      </c>
      <c r="X23" s="14">
        <v>0.68</v>
      </c>
      <c r="Y23" s="14">
        <v>0.57999999999999996</v>
      </c>
      <c r="Z23" s="14">
        <v>0.76</v>
      </c>
      <c r="AA23" s="14">
        <v>0.67</v>
      </c>
      <c r="AB23" s="14">
        <v>0.55000000000000004</v>
      </c>
      <c r="AC23" s="14">
        <v>0.52</v>
      </c>
      <c r="AD23" s="14">
        <v>0.53</v>
      </c>
      <c r="AE23" s="14">
        <v>0.63</v>
      </c>
      <c r="AF23" s="14">
        <v>0.71</v>
      </c>
    </row>
    <row r="24" spans="1:32" x14ac:dyDescent="0.35">
      <c r="A24" s="31"/>
      <c r="B24" s="11" t="s">
        <v>1215</v>
      </c>
      <c r="C24" s="12">
        <v>9891</v>
      </c>
      <c r="D24" s="12">
        <v>356</v>
      </c>
      <c r="E24" s="12">
        <v>389</v>
      </c>
      <c r="F24" s="12">
        <v>407</v>
      </c>
      <c r="G24" s="12">
        <v>140</v>
      </c>
      <c r="H24" s="12">
        <v>451</v>
      </c>
      <c r="I24" s="12">
        <v>627</v>
      </c>
      <c r="J24" s="12">
        <v>176</v>
      </c>
      <c r="K24" s="12">
        <v>377</v>
      </c>
      <c r="L24" s="12">
        <v>171</v>
      </c>
      <c r="M24" s="12">
        <v>596</v>
      </c>
      <c r="N24" s="12">
        <v>433</v>
      </c>
      <c r="O24" s="12">
        <v>421</v>
      </c>
      <c r="P24" s="12">
        <v>365</v>
      </c>
      <c r="Q24" s="12">
        <v>413</v>
      </c>
      <c r="R24" s="12">
        <v>252</v>
      </c>
      <c r="S24" s="12">
        <v>231</v>
      </c>
      <c r="T24" s="12">
        <v>234</v>
      </c>
      <c r="U24" s="12">
        <v>145</v>
      </c>
      <c r="V24" s="12">
        <v>416</v>
      </c>
      <c r="W24" s="12">
        <v>129</v>
      </c>
      <c r="X24" s="12">
        <v>309</v>
      </c>
      <c r="Y24" s="12">
        <v>382</v>
      </c>
      <c r="Z24" s="12">
        <v>199</v>
      </c>
      <c r="AA24" s="12">
        <v>258</v>
      </c>
      <c r="AB24" s="12">
        <v>429</v>
      </c>
      <c r="AC24" s="12">
        <v>452</v>
      </c>
      <c r="AD24" s="12">
        <v>424</v>
      </c>
      <c r="AE24" s="12">
        <v>288</v>
      </c>
      <c r="AF24" s="12">
        <v>243</v>
      </c>
    </row>
    <row r="25" spans="1:32" x14ac:dyDescent="0.35">
      <c r="A25" s="31"/>
      <c r="B25" s="13" t="s">
        <v>1026</v>
      </c>
      <c r="C25" s="14">
        <v>0.37</v>
      </c>
      <c r="D25" s="14">
        <v>0.35</v>
      </c>
      <c r="E25" s="14">
        <v>0.37</v>
      </c>
      <c r="F25" s="14">
        <v>0.4</v>
      </c>
      <c r="G25" s="14">
        <v>0.14000000000000001</v>
      </c>
      <c r="H25" s="14">
        <v>0.37</v>
      </c>
      <c r="I25" s="14">
        <v>0.41</v>
      </c>
      <c r="J25" s="14">
        <v>0.59</v>
      </c>
      <c r="K25" s="14">
        <v>0.38</v>
      </c>
      <c r="L25" s="14">
        <v>0.17</v>
      </c>
      <c r="M25" s="14">
        <v>0.59</v>
      </c>
      <c r="N25" s="14">
        <v>0.44</v>
      </c>
      <c r="O25" s="14">
        <v>0.43</v>
      </c>
      <c r="P25" s="14">
        <v>0.36</v>
      </c>
      <c r="Q25" s="14">
        <v>0.4</v>
      </c>
      <c r="R25" s="14">
        <v>0.5</v>
      </c>
      <c r="S25" s="14">
        <v>0.23</v>
      </c>
      <c r="T25" s="14">
        <v>0.23</v>
      </c>
      <c r="U25" s="14">
        <v>0.28999999999999998</v>
      </c>
      <c r="V25" s="14">
        <v>0.41</v>
      </c>
      <c r="W25" s="14">
        <v>0.25</v>
      </c>
      <c r="X25" s="14">
        <v>0.3</v>
      </c>
      <c r="Y25" s="14">
        <v>0.38</v>
      </c>
      <c r="Z25" s="14">
        <v>0.2</v>
      </c>
      <c r="AA25" s="14">
        <v>0.25</v>
      </c>
      <c r="AB25" s="14">
        <v>0.4</v>
      </c>
      <c r="AC25" s="14">
        <v>0.45</v>
      </c>
      <c r="AD25" s="14">
        <v>0.42</v>
      </c>
      <c r="AE25" s="14">
        <v>0.28000000000000003</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1311</v>
      </c>
      <c r="C3" s="30"/>
      <c r="D3" s="30"/>
      <c r="E3" s="30"/>
      <c r="F3" s="30"/>
      <c r="H3" s="30" t="s">
        <v>1312</v>
      </c>
      <c r="I3" s="30"/>
      <c r="J3" s="30"/>
      <c r="K3" s="30"/>
      <c r="L3" s="30"/>
    </row>
    <row r="4" spans="1:32" ht="27" customHeight="1" x14ac:dyDescent="0.35">
      <c r="B4" s="30" t="s">
        <v>1313</v>
      </c>
      <c r="C4" s="30"/>
      <c r="D4" s="30"/>
      <c r="E4" s="30"/>
      <c r="F4" s="30"/>
      <c r="H4" s="30" t="s">
        <v>1314</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HYPERLINK("#Content!A144","&lt;&lt;Back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3638</v>
      </c>
      <c r="D12" s="12">
        <v>110</v>
      </c>
      <c r="E12" s="12">
        <v>123</v>
      </c>
      <c r="F12" s="12">
        <v>60</v>
      </c>
      <c r="G12" s="12">
        <v>361</v>
      </c>
      <c r="H12" s="12">
        <v>325</v>
      </c>
      <c r="I12" s="12">
        <v>350</v>
      </c>
      <c r="J12" s="12">
        <v>25</v>
      </c>
      <c r="K12" s="12">
        <v>20</v>
      </c>
      <c r="L12" s="12">
        <v>136</v>
      </c>
      <c r="M12" s="12">
        <v>63</v>
      </c>
      <c r="N12" s="12">
        <v>89</v>
      </c>
      <c r="O12" s="12">
        <v>113</v>
      </c>
      <c r="P12" s="12">
        <v>260</v>
      </c>
      <c r="Q12" s="12">
        <v>59</v>
      </c>
      <c r="R12" s="12">
        <v>13</v>
      </c>
      <c r="S12" s="12">
        <v>45</v>
      </c>
      <c r="T12" s="12">
        <v>44</v>
      </c>
      <c r="U12" s="12">
        <v>85</v>
      </c>
      <c r="V12" s="12">
        <v>82</v>
      </c>
      <c r="W12" s="12">
        <v>51</v>
      </c>
      <c r="X12" s="12">
        <v>228</v>
      </c>
      <c r="Y12" s="12">
        <v>290</v>
      </c>
      <c r="Z12" s="12">
        <v>99</v>
      </c>
      <c r="AA12" s="12">
        <v>155</v>
      </c>
      <c r="AB12" s="12">
        <v>87</v>
      </c>
      <c r="AC12" s="12">
        <v>118</v>
      </c>
      <c r="AD12" s="12">
        <v>168</v>
      </c>
      <c r="AE12" s="12">
        <v>161</v>
      </c>
      <c r="AF12" s="12">
        <v>350</v>
      </c>
    </row>
    <row r="13" spans="1:32" x14ac:dyDescent="0.35">
      <c r="A13" s="31"/>
      <c r="B13" s="13" t="s">
        <v>503</v>
      </c>
      <c r="C13" s="14">
        <v>0.14000000000000001</v>
      </c>
      <c r="D13" s="14">
        <v>0.11</v>
      </c>
      <c r="E13" s="14">
        <v>0.12</v>
      </c>
      <c r="F13" s="14">
        <v>0.06</v>
      </c>
      <c r="G13" s="14">
        <v>0.36</v>
      </c>
      <c r="H13" s="14">
        <v>0.26</v>
      </c>
      <c r="I13" s="14">
        <v>0.23</v>
      </c>
      <c r="J13" s="14">
        <v>0.08</v>
      </c>
      <c r="K13" s="14">
        <v>0.02</v>
      </c>
      <c r="L13" s="14">
        <v>0.13</v>
      </c>
      <c r="M13" s="14">
        <v>0.06</v>
      </c>
      <c r="N13" s="14">
        <v>0.09</v>
      </c>
      <c r="O13" s="14">
        <v>0.11</v>
      </c>
      <c r="P13" s="14">
        <v>0.26</v>
      </c>
      <c r="Q13" s="14">
        <v>0.06</v>
      </c>
      <c r="R13" s="14">
        <v>0.03</v>
      </c>
      <c r="S13" s="14">
        <v>0.04</v>
      </c>
      <c r="T13" s="14">
        <v>0.04</v>
      </c>
      <c r="U13" s="14">
        <v>0.17</v>
      </c>
      <c r="V13" s="14">
        <v>0.08</v>
      </c>
      <c r="W13" s="14">
        <v>0.1</v>
      </c>
      <c r="X13" s="14">
        <v>0.23</v>
      </c>
      <c r="Y13" s="14">
        <v>0.28999999999999998</v>
      </c>
      <c r="Z13" s="14">
        <v>0.1</v>
      </c>
      <c r="AA13" s="14">
        <v>0.15</v>
      </c>
      <c r="AB13" s="14">
        <v>0.08</v>
      </c>
      <c r="AC13" s="14">
        <v>0.12</v>
      </c>
      <c r="AD13" s="14">
        <v>0.17</v>
      </c>
      <c r="AE13" s="14">
        <v>0.16</v>
      </c>
      <c r="AF13" s="14">
        <v>0.34</v>
      </c>
    </row>
    <row r="14" spans="1:32" x14ac:dyDescent="0.35">
      <c r="A14" s="31"/>
      <c r="B14" s="11" t="s">
        <v>504</v>
      </c>
      <c r="C14" s="12">
        <v>9711</v>
      </c>
      <c r="D14" s="12">
        <v>443</v>
      </c>
      <c r="E14" s="12">
        <v>377</v>
      </c>
      <c r="F14" s="12">
        <v>319</v>
      </c>
      <c r="G14" s="12">
        <v>409</v>
      </c>
      <c r="H14" s="12">
        <v>490</v>
      </c>
      <c r="I14" s="12">
        <v>569</v>
      </c>
      <c r="J14" s="12">
        <v>80</v>
      </c>
      <c r="K14" s="12">
        <v>154</v>
      </c>
      <c r="L14" s="12">
        <v>423</v>
      </c>
      <c r="M14" s="12">
        <v>235</v>
      </c>
      <c r="N14" s="12">
        <v>351</v>
      </c>
      <c r="O14" s="12">
        <v>369</v>
      </c>
      <c r="P14" s="12">
        <v>428</v>
      </c>
      <c r="Q14" s="12">
        <v>301</v>
      </c>
      <c r="R14" s="12">
        <v>120</v>
      </c>
      <c r="S14" s="12">
        <v>313</v>
      </c>
      <c r="T14" s="12">
        <v>330</v>
      </c>
      <c r="U14" s="12">
        <v>221</v>
      </c>
      <c r="V14" s="12">
        <v>343</v>
      </c>
      <c r="W14" s="12">
        <v>184</v>
      </c>
      <c r="X14" s="12">
        <v>409</v>
      </c>
      <c r="Y14" s="12">
        <v>350</v>
      </c>
      <c r="Z14" s="12">
        <v>506</v>
      </c>
      <c r="AA14" s="12">
        <v>437</v>
      </c>
      <c r="AB14" s="12">
        <v>401</v>
      </c>
      <c r="AC14" s="12">
        <v>302</v>
      </c>
      <c r="AD14" s="12">
        <v>363</v>
      </c>
      <c r="AE14" s="12">
        <v>399</v>
      </c>
      <c r="AF14" s="12">
        <v>426</v>
      </c>
    </row>
    <row r="15" spans="1:32" x14ac:dyDescent="0.35">
      <c r="A15" s="31"/>
      <c r="B15" s="13" t="s">
        <v>505</v>
      </c>
      <c r="C15" s="14">
        <v>0.37</v>
      </c>
      <c r="D15" s="14">
        <v>0.43</v>
      </c>
      <c r="E15" s="14">
        <v>0.36</v>
      </c>
      <c r="F15" s="14">
        <v>0.31</v>
      </c>
      <c r="G15" s="14">
        <v>0.4</v>
      </c>
      <c r="H15" s="14">
        <v>0.4</v>
      </c>
      <c r="I15" s="14">
        <v>0.37</v>
      </c>
      <c r="J15" s="14">
        <v>0.27</v>
      </c>
      <c r="K15" s="14">
        <v>0.15</v>
      </c>
      <c r="L15" s="14">
        <v>0.42</v>
      </c>
      <c r="M15" s="14">
        <v>0.24</v>
      </c>
      <c r="N15" s="14">
        <v>0.35</v>
      </c>
      <c r="O15" s="14">
        <v>0.37</v>
      </c>
      <c r="P15" s="14">
        <v>0.42</v>
      </c>
      <c r="Q15" s="14">
        <v>0.28999999999999998</v>
      </c>
      <c r="R15" s="14">
        <v>0.24</v>
      </c>
      <c r="S15" s="14">
        <v>0.31</v>
      </c>
      <c r="T15" s="14">
        <v>0.33</v>
      </c>
      <c r="U15" s="14">
        <v>0.43</v>
      </c>
      <c r="V15" s="14">
        <v>0.34</v>
      </c>
      <c r="W15" s="14">
        <v>0.37</v>
      </c>
      <c r="X15" s="14">
        <v>0.4</v>
      </c>
      <c r="Y15" s="14">
        <v>0.35</v>
      </c>
      <c r="Z15" s="14">
        <v>0.49</v>
      </c>
      <c r="AA15" s="14">
        <v>0.42</v>
      </c>
      <c r="AB15" s="14">
        <v>0.38</v>
      </c>
      <c r="AC15" s="14">
        <v>0.3</v>
      </c>
      <c r="AD15" s="14">
        <v>0.36</v>
      </c>
      <c r="AE15" s="14">
        <v>0.4</v>
      </c>
      <c r="AF15" s="14">
        <v>0.42</v>
      </c>
    </row>
    <row r="16" spans="1:32" x14ac:dyDescent="0.35">
      <c r="A16" s="31"/>
      <c r="B16" s="11" t="s">
        <v>506</v>
      </c>
      <c r="C16" s="12">
        <v>7534</v>
      </c>
      <c r="D16" s="12">
        <v>317</v>
      </c>
      <c r="E16" s="12">
        <v>286</v>
      </c>
      <c r="F16" s="12">
        <v>345</v>
      </c>
      <c r="G16" s="12">
        <v>168</v>
      </c>
      <c r="H16" s="12">
        <v>244</v>
      </c>
      <c r="I16" s="12">
        <v>363</v>
      </c>
      <c r="J16" s="12">
        <v>119</v>
      </c>
      <c r="K16" s="12">
        <v>341</v>
      </c>
      <c r="L16" s="12">
        <v>288</v>
      </c>
      <c r="M16" s="12">
        <v>365</v>
      </c>
      <c r="N16" s="12">
        <v>284</v>
      </c>
      <c r="O16" s="12">
        <v>276</v>
      </c>
      <c r="P16" s="12">
        <v>169</v>
      </c>
      <c r="Q16" s="12">
        <v>388</v>
      </c>
      <c r="R16" s="12">
        <v>166</v>
      </c>
      <c r="S16" s="12">
        <v>329</v>
      </c>
      <c r="T16" s="12">
        <v>303</v>
      </c>
      <c r="U16" s="12">
        <v>104</v>
      </c>
      <c r="V16" s="12">
        <v>294</v>
      </c>
      <c r="W16" s="12">
        <v>186</v>
      </c>
      <c r="X16" s="12">
        <v>278</v>
      </c>
      <c r="Y16" s="12">
        <v>164</v>
      </c>
      <c r="Z16" s="12">
        <v>316</v>
      </c>
      <c r="AA16" s="12">
        <v>238</v>
      </c>
      <c r="AB16" s="12">
        <v>344</v>
      </c>
      <c r="AC16" s="12">
        <v>328</v>
      </c>
      <c r="AD16" s="12">
        <v>319</v>
      </c>
      <c r="AE16" s="12">
        <v>282</v>
      </c>
      <c r="AF16" s="12">
        <v>151</v>
      </c>
    </row>
    <row r="17" spans="1:32" x14ac:dyDescent="0.35">
      <c r="A17" s="31"/>
      <c r="B17" s="13" t="s">
        <v>507</v>
      </c>
      <c r="C17" s="14">
        <v>0.28999999999999998</v>
      </c>
      <c r="D17" s="14">
        <v>0.31</v>
      </c>
      <c r="E17" s="14">
        <v>0.27</v>
      </c>
      <c r="F17" s="14">
        <v>0.34</v>
      </c>
      <c r="G17" s="14">
        <v>0.16</v>
      </c>
      <c r="H17" s="14">
        <v>0.2</v>
      </c>
      <c r="I17" s="14">
        <v>0.24</v>
      </c>
      <c r="J17" s="14">
        <v>0.4</v>
      </c>
      <c r="K17" s="14">
        <v>0.34</v>
      </c>
      <c r="L17" s="14">
        <v>0.28999999999999998</v>
      </c>
      <c r="M17" s="14">
        <v>0.36</v>
      </c>
      <c r="N17" s="14">
        <v>0.28999999999999998</v>
      </c>
      <c r="O17" s="14">
        <v>0.28000000000000003</v>
      </c>
      <c r="P17" s="14">
        <v>0.17</v>
      </c>
      <c r="Q17" s="14">
        <v>0.37</v>
      </c>
      <c r="R17" s="14">
        <v>0.33</v>
      </c>
      <c r="S17" s="14">
        <v>0.32</v>
      </c>
      <c r="T17" s="14">
        <v>0.3</v>
      </c>
      <c r="U17" s="14">
        <v>0.21</v>
      </c>
      <c r="V17" s="14">
        <v>0.28999999999999998</v>
      </c>
      <c r="W17" s="14">
        <v>0.37</v>
      </c>
      <c r="X17" s="14">
        <v>0.28000000000000003</v>
      </c>
      <c r="Y17" s="14">
        <v>0.16</v>
      </c>
      <c r="Z17" s="14">
        <v>0.31</v>
      </c>
      <c r="AA17" s="14">
        <v>0.23</v>
      </c>
      <c r="AB17" s="14">
        <v>0.33</v>
      </c>
      <c r="AC17" s="14">
        <v>0.32</v>
      </c>
      <c r="AD17" s="14">
        <v>0.32</v>
      </c>
      <c r="AE17" s="14">
        <v>0.28000000000000003</v>
      </c>
      <c r="AF17" s="14">
        <v>0.15</v>
      </c>
    </row>
    <row r="18" spans="1:32" x14ac:dyDescent="0.35">
      <c r="A18" s="31"/>
      <c r="B18" s="11" t="s">
        <v>508</v>
      </c>
      <c r="C18" s="12">
        <v>4874</v>
      </c>
      <c r="D18" s="12">
        <v>145</v>
      </c>
      <c r="E18" s="12">
        <v>195</v>
      </c>
      <c r="F18" s="12">
        <v>274</v>
      </c>
      <c r="G18" s="12">
        <v>61</v>
      </c>
      <c r="H18" s="12">
        <v>142</v>
      </c>
      <c r="I18" s="12">
        <v>206</v>
      </c>
      <c r="J18" s="12">
        <v>64</v>
      </c>
      <c r="K18" s="12">
        <v>424</v>
      </c>
      <c r="L18" s="12">
        <v>139</v>
      </c>
      <c r="M18" s="12">
        <v>320</v>
      </c>
      <c r="N18" s="12">
        <v>233</v>
      </c>
      <c r="O18" s="12">
        <v>216</v>
      </c>
      <c r="P18" s="12">
        <v>88</v>
      </c>
      <c r="Q18" s="12">
        <v>279</v>
      </c>
      <c r="R18" s="12">
        <v>191</v>
      </c>
      <c r="S18" s="12">
        <v>275</v>
      </c>
      <c r="T18" s="12">
        <v>258</v>
      </c>
      <c r="U18" s="12">
        <v>88</v>
      </c>
      <c r="V18" s="12">
        <v>280</v>
      </c>
      <c r="W18" s="12">
        <v>63</v>
      </c>
      <c r="X18" s="12">
        <v>84</v>
      </c>
      <c r="Y18" s="12">
        <v>169</v>
      </c>
      <c r="Z18" s="12">
        <v>78</v>
      </c>
      <c r="AA18" s="12">
        <v>163</v>
      </c>
      <c r="AB18" s="12">
        <v>199</v>
      </c>
      <c r="AC18" s="12">
        <v>234</v>
      </c>
      <c r="AD18" s="12">
        <v>132</v>
      </c>
      <c r="AE18" s="12">
        <v>140</v>
      </c>
      <c r="AF18" s="12">
        <v>80</v>
      </c>
    </row>
    <row r="19" spans="1:32" x14ac:dyDescent="0.35">
      <c r="A19" s="31"/>
      <c r="B19" s="13" t="s">
        <v>509</v>
      </c>
      <c r="C19" s="14">
        <v>0.18</v>
      </c>
      <c r="D19" s="14">
        <v>0.14000000000000001</v>
      </c>
      <c r="E19" s="14">
        <v>0.19</v>
      </c>
      <c r="F19" s="14">
        <v>0.27</v>
      </c>
      <c r="G19" s="14">
        <v>0.06</v>
      </c>
      <c r="H19" s="14">
        <v>0.11</v>
      </c>
      <c r="I19" s="14">
        <v>0.13</v>
      </c>
      <c r="J19" s="14">
        <v>0.21</v>
      </c>
      <c r="K19" s="14">
        <v>0.42</v>
      </c>
      <c r="L19" s="14">
        <v>0.14000000000000001</v>
      </c>
      <c r="M19" s="14">
        <v>0.32</v>
      </c>
      <c r="N19" s="14">
        <v>0.23</v>
      </c>
      <c r="O19" s="14">
        <v>0.22</v>
      </c>
      <c r="P19" s="14">
        <v>0.09</v>
      </c>
      <c r="Q19" s="14">
        <v>0.27</v>
      </c>
      <c r="R19" s="14">
        <v>0.38</v>
      </c>
      <c r="S19" s="14">
        <v>0.27</v>
      </c>
      <c r="T19" s="14">
        <v>0.25</v>
      </c>
      <c r="U19" s="14">
        <v>0.17</v>
      </c>
      <c r="V19" s="14">
        <v>0.28000000000000003</v>
      </c>
      <c r="W19" s="14">
        <v>0.13</v>
      </c>
      <c r="X19" s="14">
        <v>0.08</v>
      </c>
      <c r="Y19" s="14">
        <v>0.17</v>
      </c>
      <c r="Z19" s="14">
        <v>0.08</v>
      </c>
      <c r="AA19" s="14">
        <v>0.16</v>
      </c>
      <c r="AB19" s="14">
        <v>0.19</v>
      </c>
      <c r="AC19" s="14">
        <v>0.23</v>
      </c>
      <c r="AD19" s="14">
        <v>0.13</v>
      </c>
      <c r="AE19" s="14">
        <v>0.14000000000000001</v>
      </c>
      <c r="AF19" s="14">
        <v>0.08</v>
      </c>
    </row>
    <row r="20" spans="1:32" x14ac:dyDescent="0.35">
      <c r="A20" s="31"/>
      <c r="B20" s="11" t="s">
        <v>344</v>
      </c>
      <c r="C20" s="12">
        <v>653</v>
      </c>
      <c r="D20" s="12">
        <v>10</v>
      </c>
      <c r="E20" s="12">
        <v>58</v>
      </c>
      <c r="F20" s="12">
        <v>20</v>
      </c>
      <c r="G20" s="12">
        <v>17</v>
      </c>
      <c r="H20" s="12">
        <v>31</v>
      </c>
      <c r="I20" s="12">
        <v>42</v>
      </c>
      <c r="J20" s="12">
        <v>11</v>
      </c>
      <c r="K20" s="12">
        <v>70</v>
      </c>
      <c r="L20" s="12">
        <v>19</v>
      </c>
      <c r="M20" s="12">
        <v>20</v>
      </c>
      <c r="N20" s="12">
        <v>43</v>
      </c>
      <c r="O20" s="12">
        <v>26</v>
      </c>
      <c r="P20" s="12">
        <v>59</v>
      </c>
      <c r="Q20" s="12">
        <v>8</v>
      </c>
      <c r="R20" s="12">
        <v>10</v>
      </c>
      <c r="S20" s="12">
        <v>60</v>
      </c>
      <c r="T20" s="12">
        <v>82</v>
      </c>
      <c r="U20" s="12">
        <v>12</v>
      </c>
      <c r="V20" s="12">
        <v>14</v>
      </c>
      <c r="W20" s="12">
        <v>17</v>
      </c>
      <c r="X20" s="12">
        <v>11</v>
      </c>
      <c r="Y20" s="12">
        <v>31</v>
      </c>
      <c r="Z20" s="12">
        <v>21</v>
      </c>
      <c r="AA20" s="12">
        <v>37</v>
      </c>
      <c r="AB20" s="12">
        <v>25</v>
      </c>
      <c r="AC20" s="12">
        <v>30</v>
      </c>
      <c r="AD20" s="12">
        <v>21</v>
      </c>
      <c r="AE20" s="12">
        <v>25</v>
      </c>
      <c r="AF20" s="12">
        <v>13</v>
      </c>
    </row>
    <row r="21" spans="1:32" x14ac:dyDescent="0.35">
      <c r="A21" s="31"/>
      <c r="B21" s="13" t="s">
        <v>357</v>
      </c>
      <c r="C21" s="14">
        <v>0.02</v>
      </c>
      <c r="D21" s="14">
        <v>0.01</v>
      </c>
      <c r="E21" s="14">
        <v>0.06</v>
      </c>
      <c r="F21" s="14">
        <v>0.02</v>
      </c>
      <c r="G21" s="14">
        <v>0.02</v>
      </c>
      <c r="H21" s="14">
        <v>0.03</v>
      </c>
      <c r="I21" s="14">
        <v>0.03</v>
      </c>
      <c r="J21" s="14">
        <v>0.04</v>
      </c>
      <c r="K21" s="14">
        <v>7.0000000000000007E-2</v>
      </c>
      <c r="L21" s="14">
        <v>0.02</v>
      </c>
      <c r="M21" s="14">
        <v>0.02</v>
      </c>
      <c r="N21" s="14">
        <v>0.04</v>
      </c>
      <c r="O21" s="14">
        <v>0.02</v>
      </c>
      <c r="P21" s="14">
        <v>0.06</v>
      </c>
      <c r="Q21" s="14">
        <v>0.01</v>
      </c>
      <c r="R21" s="14">
        <v>0.02</v>
      </c>
      <c r="S21" s="14">
        <v>0.06</v>
      </c>
      <c r="T21" s="14">
        <v>0.08</v>
      </c>
      <c r="U21" s="14">
        <v>0.02</v>
      </c>
      <c r="V21" s="14">
        <v>0.01</v>
      </c>
      <c r="W21" s="14">
        <v>0.03</v>
      </c>
      <c r="X21" s="14">
        <v>0.01</v>
      </c>
      <c r="Y21" s="14">
        <v>0.03</v>
      </c>
      <c r="Z21" s="14">
        <v>0.02</v>
      </c>
      <c r="AA21" s="14">
        <v>0.04</v>
      </c>
      <c r="AB21" s="14">
        <v>0.02</v>
      </c>
      <c r="AC21" s="14">
        <v>0.03</v>
      </c>
      <c r="AD21" s="14">
        <v>0.02</v>
      </c>
      <c r="AE21" s="14">
        <v>0.02</v>
      </c>
      <c r="AF21" s="14">
        <v>0.01</v>
      </c>
    </row>
    <row r="22" spans="1:32" x14ac:dyDescent="0.35">
      <c r="A22" s="31"/>
      <c r="B22" s="11" t="s">
        <v>510</v>
      </c>
      <c r="C22" s="12">
        <v>13349</v>
      </c>
      <c r="D22" s="12">
        <v>553</v>
      </c>
      <c r="E22" s="12">
        <v>500</v>
      </c>
      <c r="F22" s="12">
        <v>379</v>
      </c>
      <c r="G22" s="12">
        <v>770</v>
      </c>
      <c r="H22" s="12">
        <v>815</v>
      </c>
      <c r="I22" s="12">
        <v>919</v>
      </c>
      <c r="J22" s="12">
        <v>105</v>
      </c>
      <c r="K22" s="12">
        <v>174</v>
      </c>
      <c r="L22" s="12">
        <v>559</v>
      </c>
      <c r="M22" s="12">
        <v>298</v>
      </c>
      <c r="N22" s="12">
        <v>440</v>
      </c>
      <c r="O22" s="12">
        <v>482</v>
      </c>
      <c r="P22" s="12">
        <v>688</v>
      </c>
      <c r="Q22" s="12">
        <v>360</v>
      </c>
      <c r="R22" s="12">
        <v>133</v>
      </c>
      <c r="S22" s="12">
        <v>358</v>
      </c>
      <c r="T22" s="12">
        <v>374</v>
      </c>
      <c r="U22" s="12">
        <v>306</v>
      </c>
      <c r="V22" s="12">
        <v>425</v>
      </c>
      <c r="W22" s="12">
        <v>235</v>
      </c>
      <c r="X22" s="12">
        <v>637</v>
      </c>
      <c r="Y22" s="12">
        <v>640</v>
      </c>
      <c r="Z22" s="12">
        <v>605</v>
      </c>
      <c r="AA22" s="12">
        <v>592</v>
      </c>
      <c r="AB22" s="12">
        <v>488</v>
      </c>
      <c r="AC22" s="12">
        <v>420</v>
      </c>
      <c r="AD22" s="12">
        <v>531</v>
      </c>
      <c r="AE22" s="12">
        <v>560</v>
      </c>
      <c r="AF22" s="12">
        <v>776</v>
      </c>
    </row>
    <row r="23" spans="1:32" x14ac:dyDescent="0.35">
      <c r="A23" s="31"/>
      <c r="B23" s="13" t="s">
        <v>511</v>
      </c>
      <c r="C23" s="14">
        <v>0.51</v>
      </c>
      <c r="D23" s="14">
        <v>0.54</v>
      </c>
      <c r="E23" s="14">
        <v>0.48</v>
      </c>
      <c r="F23" s="14">
        <v>0.37</v>
      </c>
      <c r="G23" s="14">
        <v>0.76</v>
      </c>
      <c r="H23" s="14">
        <v>0.66</v>
      </c>
      <c r="I23" s="14">
        <v>0.6</v>
      </c>
      <c r="J23" s="14">
        <v>0.35</v>
      </c>
      <c r="K23" s="14">
        <v>0.17</v>
      </c>
      <c r="L23" s="14">
        <v>0.55000000000000004</v>
      </c>
      <c r="M23" s="14">
        <v>0.3</v>
      </c>
      <c r="N23" s="14">
        <v>0.44</v>
      </c>
      <c r="O23" s="14">
        <v>0.48</v>
      </c>
      <c r="P23" s="14">
        <v>0.68</v>
      </c>
      <c r="Q23" s="14">
        <v>0.35</v>
      </c>
      <c r="R23" s="14">
        <v>0.27</v>
      </c>
      <c r="S23" s="14">
        <v>0.35</v>
      </c>
      <c r="T23" s="14">
        <v>0.37</v>
      </c>
      <c r="U23" s="14">
        <v>0.6</v>
      </c>
      <c r="V23" s="14">
        <v>0.42</v>
      </c>
      <c r="W23" s="14">
        <v>0.47</v>
      </c>
      <c r="X23" s="14">
        <v>0.63</v>
      </c>
      <c r="Y23" s="14">
        <v>0.64</v>
      </c>
      <c r="Z23" s="14">
        <v>0.59</v>
      </c>
      <c r="AA23" s="14">
        <v>0.57000000000000006</v>
      </c>
      <c r="AB23" s="14">
        <v>0.46</v>
      </c>
      <c r="AC23" s="14">
        <v>0.42</v>
      </c>
      <c r="AD23" s="14">
        <v>0.53</v>
      </c>
      <c r="AE23" s="14">
        <v>0.56000000000000005</v>
      </c>
      <c r="AF23" s="14">
        <v>0.76</v>
      </c>
    </row>
    <row r="24" spans="1:32" x14ac:dyDescent="0.35">
      <c r="A24" s="31"/>
      <c r="B24" s="11" t="s">
        <v>512</v>
      </c>
      <c r="C24" s="12">
        <v>12408</v>
      </c>
      <c r="D24" s="12">
        <v>462</v>
      </c>
      <c r="E24" s="12">
        <v>481</v>
      </c>
      <c r="F24" s="12">
        <v>619</v>
      </c>
      <c r="G24" s="12">
        <v>229</v>
      </c>
      <c r="H24" s="12">
        <v>386</v>
      </c>
      <c r="I24" s="12">
        <v>569</v>
      </c>
      <c r="J24" s="12">
        <v>183</v>
      </c>
      <c r="K24" s="12">
        <v>765</v>
      </c>
      <c r="L24" s="12">
        <v>427</v>
      </c>
      <c r="M24" s="12">
        <v>685</v>
      </c>
      <c r="N24" s="12">
        <v>517</v>
      </c>
      <c r="O24" s="12">
        <v>492</v>
      </c>
      <c r="P24" s="12">
        <v>257</v>
      </c>
      <c r="Q24" s="12">
        <v>667</v>
      </c>
      <c r="R24" s="12">
        <v>357</v>
      </c>
      <c r="S24" s="12">
        <v>604</v>
      </c>
      <c r="T24" s="12">
        <v>561</v>
      </c>
      <c r="U24" s="12">
        <v>192</v>
      </c>
      <c r="V24" s="12">
        <v>574</v>
      </c>
      <c r="W24" s="12">
        <v>249</v>
      </c>
      <c r="X24" s="12">
        <v>362</v>
      </c>
      <c r="Y24" s="12">
        <v>333</v>
      </c>
      <c r="Z24" s="12">
        <v>394</v>
      </c>
      <c r="AA24" s="12">
        <v>401</v>
      </c>
      <c r="AB24" s="12">
        <v>543</v>
      </c>
      <c r="AC24" s="12">
        <v>562</v>
      </c>
      <c r="AD24" s="12">
        <v>451</v>
      </c>
      <c r="AE24" s="12">
        <v>422</v>
      </c>
      <c r="AF24" s="12">
        <v>231</v>
      </c>
    </row>
    <row r="25" spans="1:32" x14ac:dyDescent="0.35">
      <c r="A25" s="31"/>
      <c r="B25" s="13" t="s">
        <v>513</v>
      </c>
      <c r="C25" s="14">
        <v>0.47</v>
      </c>
      <c r="D25" s="14">
        <v>0.45</v>
      </c>
      <c r="E25" s="14">
        <v>0.46</v>
      </c>
      <c r="F25" s="14">
        <v>0.61</v>
      </c>
      <c r="G25" s="14">
        <v>0.22</v>
      </c>
      <c r="H25" s="14">
        <v>0.31</v>
      </c>
      <c r="I25" s="14">
        <v>0.37</v>
      </c>
      <c r="J25" s="14">
        <v>0.61</v>
      </c>
      <c r="K25" s="14">
        <v>0.76</v>
      </c>
      <c r="L25" s="14">
        <v>0.43</v>
      </c>
      <c r="M25" s="14">
        <v>0.68</v>
      </c>
      <c r="N25" s="14">
        <v>0.52</v>
      </c>
      <c r="O25" s="14">
        <v>0.5</v>
      </c>
      <c r="P25" s="14">
        <v>0.26</v>
      </c>
      <c r="Q25" s="14">
        <v>0.64</v>
      </c>
      <c r="R25" s="14">
        <v>0.71</v>
      </c>
      <c r="S25" s="14">
        <v>0.59</v>
      </c>
      <c r="T25" s="14">
        <v>0.55000000000000004</v>
      </c>
      <c r="U25" s="14">
        <v>0.38</v>
      </c>
      <c r="V25" s="14">
        <v>0.57000000000000006</v>
      </c>
      <c r="W25" s="14">
        <v>0.5</v>
      </c>
      <c r="X25" s="14">
        <v>0.36</v>
      </c>
      <c r="Y25" s="14">
        <v>0.33</v>
      </c>
      <c r="Z25" s="14">
        <v>0.39</v>
      </c>
      <c r="AA25" s="14">
        <v>0.39</v>
      </c>
      <c r="AB25" s="14">
        <v>0.52</v>
      </c>
      <c r="AC25" s="14">
        <v>0.55000000000000004</v>
      </c>
      <c r="AD25" s="14">
        <v>0.45</v>
      </c>
      <c r="AE25" s="14">
        <v>0.42</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1315</v>
      </c>
      <c r="C3" s="30"/>
      <c r="D3" s="30"/>
      <c r="E3" s="30"/>
      <c r="F3" s="30"/>
      <c r="H3" s="30" t="s">
        <v>1316</v>
      </c>
      <c r="I3" s="30"/>
      <c r="J3" s="30"/>
      <c r="K3" s="30"/>
      <c r="L3" s="30"/>
    </row>
    <row r="4" spans="1:32" ht="27" customHeight="1" x14ac:dyDescent="0.35">
      <c r="B4" s="30" t="s">
        <v>1317</v>
      </c>
      <c r="C4" s="30"/>
      <c r="D4" s="30"/>
      <c r="E4" s="30"/>
      <c r="F4" s="30"/>
      <c r="H4" s="30" t="s">
        <v>1318</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HYPERLINK("#Content!A145","&lt;&lt;Back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5834</v>
      </c>
      <c r="D12" s="12">
        <v>173</v>
      </c>
      <c r="E12" s="12">
        <v>138</v>
      </c>
      <c r="F12" s="12">
        <v>145</v>
      </c>
      <c r="G12" s="12">
        <v>655</v>
      </c>
      <c r="H12" s="12">
        <v>460</v>
      </c>
      <c r="I12" s="12">
        <v>512</v>
      </c>
      <c r="J12" s="12">
        <v>53</v>
      </c>
      <c r="K12" s="12">
        <v>36</v>
      </c>
      <c r="L12" s="12">
        <v>216</v>
      </c>
      <c r="M12" s="12">
        <v>76</v>
      </c>
      <c r="N12" s="12">
        <v>130</v>
      </c>
      <c r="O12" s="12">
        <v>214</v>
      </c>
      <c r="P12" s="12">
        <v>343</v>
      </c>
      <c r="Q12" s="12">
        <v>79</v>
      </c>
      <c r="R12" s="12">
        <v>22</v>
      </c>
      <c r="S12" s="12">
        <v>108</v>
      </c>
      <c r="T12" s="12">
        <v>48</v>
      </c>
      <c r="U12" s="12">
        <v>123</v>
      </c>
      <c r="V12" s="12">
        <v>108</v>
      </c>
      <c r="W12" s="12">
        <v>123</v>
      </c>
      <c r="X12" s="12">
        <v>371</v>
      </c>
      <c r="Y12" s="12">
        <v>413</v>
      </c>
      <c r="Z12" s="12">
        <v>198</v>
      </c>
      <c r="AA12" s="12">
        <v>201</v>
      </c>
      <c r="AB12" s="12">
        <v>112</v>
      </c>
      <c r="AC12" s="12">
        <v>201</v>
      </c>
      <c r="AD12" s="12">
        <v>333</v>
      </c>
      <c r="AE12" s="12">
        <v>414</v>
      </c>
      <c r="AF12" s="12">
        <v>664</v>
      </c>
    </row>
    <row r="13" spans="1:32" x14ac:dyDescent="0.35">
      <c r="A13" s="31"/>
      <c r="B13" s="13" t="s">
        <v>503</v>
      </c>
      <c r="C13" s="14">
        <v>0.22</v>
      </c>
      <c r="D13" s="14">
        <v>0.17</v>
      </c>
      <c r="E13" s="14">
        <v>0.13</v>
      </c>
      <c r="F13" s="14">
        <v>0.14000000000000001</v>
      </c>
      <c r="G13" s="14">
        <v>0.65</v>
      </c>
      <c r="H13" s="14">
        <v>0.37</v>
      </c>
      <c r="I13" s="14">
        <v>0.33</v>
      </c>
      <c r="J13" s="14">
        <v>0.18</v>
      </c>
      <c r="K13" s="14">
        <v>0.04</v>
      </c>
      <c r="L13" s="14">
        <v>0.22</v>
      </c>
      <c r="M13" s="14">
        <v>0.08</v>
      </c>
      <c r="N13" s="14">
        <v>0.13</v>
      </c>
      <c r="O13" s="14">
        <v>0.21</v>
      </c>
      <c r="P13" s="14">
        <v>0.34</v>
      </c>
      <c r="Q13" s="14">
        <v>7.0000000000000007E-2</v>
      </c>
      <c r="R13" s="14">
        <v>0.05</v>
      </c>
      <c r="S13" s="14">
        <v>0.11</v>
      </c>
      <c r="T13" s="14">
        <v>0.05</v>
      </c>
      <c r="U13" s="14">
        <v>0.24</v>
      </c>
      <c r="V13" s="14">
        <v>0.11</v>
      </c>
      <c r="W13" s="14">
        <v>0.24</v>
      </c>
      <c r="X13" s="14">
        <v>0.37</v>
      </c>
      <c r="Y13" s="14">
        <v>0.41</v>
      </c>
      <c r="Z13" s="14">
        <v>0.2</v>
      </c>
      <c r="AA13" s="14">
        <v>0.19</v>
      </c>
      <c r="AB13" s="14">
        <v>0.11</v>
      </c>
      <c r="AC13" s="14">
        <v>0.2</v>
      </c>
      <c r="AD13" s="14">
        <v>0.33</v>
      </c>
      <c r="AE13" s="14">
        <v>0.41</v>
      </c>
      <c r="AF13" s="14">
        <v>0.65</v>
      </c>
    </row>
    <row r="14" spans="1:32" x14ac:dyDescent="0.35">
      <c r="A14" s="31"/>
      <c r="B14" s="11" t="s">
        <v>504</v>
      </c>
      <c r="C14" s="12">
        <v>10828</v>
      </c>
      <c r="D14" s="12">
        <v>494</v>
      </c>
      <c r="E14" s="12">
        <v>441</v>
      </c>
      <c r="F14" s="12">
        <v>460</v>
      </c>
      <c r="G14" s="12">
        <v>288</v>
      </c>
      <c r="H14" s="12">
        <v>523</v>
      </c>
      <c r="I14" s="12">
        <v>642</v>
      </c>
      <c r="J14" s="12">
        <v>118</v>
      </c>
      <c r="K14" s="12">
        <v>309</v>
      </c>
      <c r="L14" s="12">
        <v>515</v>
      </c>
      <c r="M14" s="12">
        <v>222</v>
      </c>
      <c r="N14" s="12">
        <v>358</v>
      </c>
      <c r="O14" s="12">
        <v>413</v>
      </c>
      <c r="P14" s="12">
        <v>482</v>
      </c>
      <c r="Q14" s="12">
        <v>348</v>
      </c>
      <c r="R14" s="12">
        <v>136</v>
      </c>
      <c r="S14" s="12">
        <v>412</v>
      </c>
      <c r="T14" s="12">
        <v>387</v>
      </c>
      <c r="U14" s="12">
        <v>220</v>
      </c>
      <c r="V14" s="12">
        <v>367</v>
      </c>
      <c r="W14" s="12">
        <v>205</v>
      </c>
      <c r="X14" s="12">
        <v>442</v>
      </c>
      <c r="Y14" s="12">
        <v>365</v>
      </c>
      <c r="Z14" s="12">
        <v>625</v>
      </c>
      <c r="AA14" s="12">
        <v>514</v>
      </c>
      <c r="AB14" s="12">
        <v>447</v>
      </c>
      <c r="AC14" s="12">
        <v>450</v>
      </c>
      <c r="AD14" s="12">
        <v>379</v>
      </c>
      <c r="AE14" s="12">
        <v>436</v>
      </c>
      <c r="AF14" s="12">
        <v>284</v>
      </c>
    </row>
    <row r="15" spans="1:32" x14ac:dyDescent="0.35">
      <c r="A15" s="31"/>
      <c r="B15" s="13" t="s">
        <v>505</v>
      </c>
      <c r="C15" s="14">
        <v>0.41</v>
      </c>
      <c r="D15" s="14">
        <v>0.48</v>
      </c>
      <c r="E15" s="14">
        <v>0.43</v>
      </c>
      <c r="F15" s="14">
        <v>0.45</v>
      </c>
      <c r="G15" s="14">
        <v>0.28000000000000003</v>
      </c>
      <c r="H15" s="14">
        <v>0.43</v>
      </c>
      <c r="I15" s="14">
        <v>0.42</v>
      </c>
      <c r="J15" s="14">
        <v>0.4</v>
      </c>
      <c r="K15" s="14">
        <v>0.31</v>
      </c>
      <c r="L15" s="14">
        <v>0.51</v>
      </c>
      <c r="M15" s="14">
        <v>0.22</v>
      </c>
      <c r="N15" s="14">
        <v>0.36</v>
      </c>
      <c r="O15" s="14">
        <v>0.41</v>
      </c>
      <c r="P15" s="14">
        <v>0.48</v>
      </c>
      <c r="Q15" s="14">
        <v>0.34</v>
      </c>
      <c r="R15" s="14">
        <v>0.27</v>
      </c>
      <c r="S15" s="14">
        <v>0.4</v>
      </c>
      <c r="T15" s="14">
        <v>0.38</v>
      </c>
      <c r="U15" s="14">
        <v>0.43</v>
      </c>
      <c r="V15" s="14">
        <v>0.36</v>
      </c>
      <c r="W15" s="14">
        <v>0.41</v>
      </c>
      <c r="X15" s="14">
        <v>0.44</v>
      </c>
      <c r="Y15" s="14">
        <v>0.36</v>
      </c>
      <c r="Z15" s="14">
        <v>0.61</v>
      </c>
      <c r="AA15" s="14">
        <v>0.5</v>
      </c>
      <c r="AB15" s="14">
        <v>0.42</v>
      </c>
      <c r="AC15" s="14">
        <v>0.44</v>
      </c>
      <c r="AD15" s="14">
        <v>0.38</v>
      </c>
      <c r="AE15" s="14">
        <v>0.43</v>
      </c>
      <c r="AF15" s="14">
        <v>0.28000000000000003</v>
      </c>
    </row>
    <row r="16" spans="1:32" x14ac:dyDescent="0.35">
      <c r="A16" s="31"/>
      <c r="B16" s="11" t="s">
        <v>506</v>
      </c>
      <c r="C16" s="12">
        <v>5910</v>
      </c>
      <c r="D16" s="12">
        <v>238</v>
      </c>
      <c r="E16" s="12">
        <v>269</v>
      </c>
      <c r="F16" s="12">
        <v>262</v>
      </c>
      <c r="G16" s="12">
        <v>41</v>
      </c>
      <c r="H16" s="12">
        <v>140</v>
      </c>
      <c r="I16" s="12">
        <v>222</v>
      </c>
      <c r="J16" s="12">
        <v>82</v>
      </c>
      <c r="K16" s="12">
        <v>341</v>
      </c>
      <c r="L16" s="12">
        <v>181</v>
      </c>
      <c r="M16" s="12">
        <v>382</v>
      </c>
      <c r="N16" s="12">
        <v>300</v>
      </c>
      <c r="O16" s="12">
        <v>222</v>
      </c>
      <c r="P16" s="12">
        <v>112</v>
      </c>
      <c r="Q16" s="12">
        <v>365</v>
      </c>
      <c r="R16" s="12">
        <v>162</v>
      </c>
      <c r="S16" s="12">
        <v>286</v>
      </c>
      <c r="T16" s="12">
        <v>317</v>
      </c>
      <c r="U16" s="12">
        <v>104</v>
      </c>
      <c r="V16" s="12">
        <v>289</v>
      </c>
      <c r="W16" s="12">
        <v>128</v>
      </c>
      <c r="X16" s="12">
        <v>151</v>
      </c>
      <c r="Y16" s="12">
        <v>112</v>
      </c>
      <c r="Z16" s="12">
        <v>155</v>
      </c>
      <c r="AA16" s="12">
        <v>181</v>
      </c>
      <c r="AB16" s="12">
        <v>318</v>
      </c>
      <c r="AC16" s="12">
        <v>224</v>
      </c>
      <c r="AD16" s="12">
        <v>207</v>
      </c>
      <c r="AE16" s="12">
        <v>99</v>
      </c>
      <c r="AF16" s="12">
        <v>42</v>
      </c>
    </row>
    <row r="17" spans="1:32" x14ac:dyDescent="0.35">
      <c r="A17" s="31"/>
      <c r="B17" s="13" t="s">
        <v>507</v>
      </c>
      <c r="C17" s="14">
        <v>0.22</v>
      </c>
      <c r="D17" s="14">
        <v>0.23</v>
      </c>
      <c r="E17" s="14">
        <v>0.26</v>
      </c>
      <c r="F17" s="14">
        <v>0.26</v>
      </c>
      <c r="G17" s="14">
        <v>0.04</v>
      </c>
      <c r="H17" s="14">
        <v>0.11</v>
      </c>
      <c r="I17" s="14">
        <v>0.15</v>
      </c>
      <c r="J17" s="14">
        <v>0.27</v>
      </c>
      <c r="K17" s="14">
        <v>0.34</v>
      </c>
      <c r="L17" s="14">
        <v>0.18</v>
      </c>
      <c r="M17" s="14">
        <v>0.38</v>
      </c>
      <c r="N17" s="14">
        <v>0.3</v>
      </c>
      <c r="O17" s="14">
        <v>0.22</v>
      </c>
      <c r="P17" s="14">
        <v>0.11</v>
      </c>
      <c r="Q17" s="14">
        <v>0.35</v>
      </c>
      <c r="R17" s="14">
        <v>0.32</v>
      </c>
      <c r="S17" s="14">
        <v>0.28000000000000003</v>
      </c>
      <c r="T17" s="14">
        <v>0.31</v>
      </c>
      <c r="U17" s="14">
        <v>0.2</v>
      </c>
      <c r="V17" s="14">
        <v>0.28999999999999998</v>
      </c>
      <c r="W17" s="14">
        <v>0.26</v>
      </c>
      <c r="X17" s="14">
        <v>0.15</v>
      </c>
      <c r="Y17" s="14">
        <v>0.11</v>
      </c>
      <c r="Z17" s="14">
        <v>0.15</v>
      </c>
      <c r="AA17" s="14">
        <v>0.18</v>
      </c>
      <c r="AB17" s="14">
        <v>0.3</v>
      </c>
      <c r="AC17" s="14">
        <v>0.22</v>
      </c>
      <c r="AD17" s="14">
        <v>0.2</v>
      </c>
      <c r="AE17" s="14">
        <v>0.1</v>
      </c>
      <c r="AF17" s="14">
        <v>0.04</v>
      </c>
    </row>
    <row r="18" spans="1:32" x14ac:dyDescent="0.35">
      <c r="A18" s="31"/>
      <c r="B18" s="11" t="s">
        <v>508</v>
      </c>
      <c r="C18" s="12">
        <v>3441</v>
      </c>
      <c r="D18" s="12">
        <v>116</v>
      </c>
      <c r="E18" s="12">
        <v>148</v>
      </c>
      <c r="F18" s="12">
        <v>140</v>
      </c>
      <c r="G18" s="12">
        <v>22</v>
      </c>
      <c r="H18" s="12">
        <v>87</v>
      </c>
      <c r="I18" s="12">
        <v>128</v>
      </c>
      <c r="J18" s="12">
        <v>41</v>
      </c>
      <c r="K18" s="12">
        <v>267</v>
      </c>
      <c r="L18" s="12">
        <v>82</v>
      </c>
      <c r="M18" s="12">
        <v>317</v>
      </c>
      <c r="N18" s="12">
        <v>185</v>
      </c>
      <c r="O18" s="12">
        <v>135</v>
      </c>
      <c r="P18" s="12">
        <v>46</v>
      </c>
      <c r="Q18" s="12">
        <v>234</v>
      </c>
      <c r="R18" s="12">
        <v>177</v>
      </c>
      <c r="S18" s="12">
        <v>184</v>
      </c>
      <c r="T18" s="12">
        <v>217</v>
      </c>
      <c r="U18" s="12">
        <v>53</v>
      </c>
      <c r="V18" s="12">
        <v>245</v>
      </c>
      <c r="W18" s="12">
        <v>39</v>
      </c>
      <c r="X18" s="12">
        <v>43</v>
      </c>
      <c r="Y18" s="12">
        <v>98</v>
      </c>
      <c r="Z18" s="12">
        <v>27</v>
      </c>
      <c r="AA18" s="12">
        <v>112</v>
      </c>
      <c r="AB18" s="12">
        <v>162</v>
      </c>
      <c r="AC18" s="12">
        <v>120</v>
      </c>
      <c r="AD18" s="12">
        <v>68</v>
      </c>
      <c r="AE18" s="12">
        <v>44</v>
      </c>
      <c r="AF18" s="12">
        <v>26</v>
      </c>
    </row>
    <row r="19" spans="1:32" x14ac:dyDescent="0.35">
      <c r="A19" s="31"/>
      <c r="B19" s="13" t="s">
        <v>509</v>
      </c>
      <c r="C19" s="14">
        <v>0.13</v>
      </c>
      <c r="D19" s="14">
        <v>0.11</v>
      </c>
      <c r="E19" s="14">
        <v>0.14000000000000001</v>
      </c>
      <c r="F19" s="14">
        <v>0.14000000000000001</v>
      </c>
      <c r="G19" s="14">
        <v>0.02</v>
      </c>
      <c r="H19" s="14">
        <v>7.0000000000000007E-2</v>
      </c>
      <c r="I19" s="14">
        <v>0.08</v>
      </c>
      <c r="J19" s="14">
        <v>0.14000000000000001</v>
      </c>
      <c r="K19" s="14">
        <v>0.26</v>
      </c>
      <c r="L19" s="14">
        <v>0.08</v>
      </c>
      <c r="M19" s="14">
        <v>0.31</v>
      </c>
      <c r="N19" s="14">
        <v>0.18</v>
      </c>
      <c r="O19" s="14">
        <v>0.14000000000000001</v>
      </c>
      <c r="P19" s="14">
        <v>0.05</v>
      </c>
      <c r="Q19" s="14">
        <v>0.23</v>
      </c>
      <c r="R19" s="14">
        <v>0.35</v>
      </c>
      <c r="S19" s="14">
        <v>0.18</v>
      </c>
      <c r="T19" s="14">
        <v>0.21</v>
      </c>
      <c r="U19" s="14">
        <v>0.11</v>
      </c>
      <c r="V19" s="14">
        <v>0.24</v>
      </c>
      <c r="W19" s="14">
        <v>0.08</v>
      </c>
      <c r="X19" s="14">
        <v>0.04</v>
      </c>
      <c r="Y19" s="14">
        <v>0.1</v>
      </c>
      <c r="Z19" s="14">
        <v>0.03</v>
      </c>
      <c r="AA19" s="14">
        <v>0.11</v>
      </c>
      <c r="AB19" s="14">
        <v>0.15</v>
      </c>
      <c r="AC19" s="14">
        <v>0.12</v>
      </c>
      <c r="AD19" s="14">
        <v>7.0000000000000007E-2</v>
      </c>
      <c r="AE19" s="14">
        <v>0.05</v>
      </c>
      <c r="AF19" s="14">
        <v>0.03</v>
      </c>
    </row>
    <row r="20" spans="1:32" x14ac:dyDescent="0.35">
      <c r="A20" s="31"/>
      <c r="B20" s="11" t="s">
        <v>344</v>
      </c>
      <c r="C20" s="12">
        <v>397</v>
      </c>
      <c r="D20" s="12">
        <v>5</v>
      </c>
      <c r="E20" s="12">
        <v>44</v>
      </c>
      <c r="F20" s="12">
        <v>11</v>
      </c>
      <c r="G20" s="12">
        <v>11</v>
      </c>
      <c r="H20" s="12">
        <v>23</v>
      </c>
      <c r="I20" s="12">
        <v>26</v>
      </c>
      <c r="J20" s="12">
        <v>4</v>
      </c>
      <c r="K20" s="12">
        <v>55</v>
      </c>
      <c r="L20" s="12">
        <v>10</v>
      </c>
      <c r="M20" s="12">
        <v>7</v>
      </c>
      <c r="N20" s="12">
        <v>27</v>
      </c>
      <c r="O20" s="12">
        <v>15</v>
      </c>
      <c r="P20" s="12">
        <v>21</v>
      </c>
      <c r="Q20" s="12">
        <v>9</v>
      </c>
      <c r="R20" s="12">
        <v>4</v>
      </c>
      <c r="S20" s="12">
        <v>31</v>
      </c>
      <c r="T20" s="12">
        <v>49</v>
      </c>
      <c r="U20" s="12">
        <v>10</v>
      </c>
      <c r="V20" s="12">
        <v>5</v>
      </c>
      <c r="W20" s="12">
        <v>6</v>
      </c>
      <c r="X20" s="12">
        <v>3</v>
      </c>
      <c r="Y20" s="12">
        <v>14</v>
      </c>
      <c r="Z20" s="12">
        <v>14</v>
      </c>
      <c r="AA20" s="12">
        <v>22</v>
      </c>
      <c r="AB20" s="12">
        <v>17</v>
      </c>
      <c r="AC20" s="12">
        <v>17</v>
      </c>
      <c r="AD20" s="12">
        <v>17</v>
      </c>
      <c r="AE20" s="12">
        <v>13</v>
      </c>
      <c r="AF20" s="12">
        <v>3</v>
      </c>
    </row>
    <row r="21" spans="1:32" x14ac:dyDescent="0.35">
      <c r="A21" s="31"/>
      <c r="B21" s="13" t="s">
        <v>357</v>
      </c>
      <c r="C21" s="14">
        <v>0.02</v>
      </c>
      <c r="D21" s="14">
        <v>0.01</v>
      </c>
      <c r="E21" s="14">
        <v>0.04</v>
      </c>
      <c r="F21" s="14">
        <v>0.01</v>
      </c>
      <c r="G21" s="14">
        <v>0.01</v>
      </c>
      <c r="H21" s="14">
        <v>0.02</v>
      </c>
      <c r="I21" s="14">
        <v>0.02</v>
      </c>
      <c r="J21" s="14">
        <v>0.01</v>
      </c>
      <c r="K21" s="14">
        <v>0.05</v>
      </c>
      <c r="L21" s="14">
        <v>0.01</v>
      </c>
      <c r="M21" s="14">
        <v>0.01</v>
      </c>
      <c r="N21" s="14">
        <v>0.03</v>
      </c>
      <c r="O21" s="14">
        <v>0.02</v>
      </c>
      <c r="P21" s="14">
        <v>0.02</v>
      </c>
      <c r="Q21" s="14">
        <v>0.01</v>
      </c>
      <c r="R21" s="14">
        <v>0.01</v>
      </c>
      <c r="S21" s="14">
        <v>0.03</v>
      </c>
      <c r="T21" s="14">
        <v>0.05</v>
      </c>
      <c r="U21" s="14">
        <v>0.02</v>
      </c>
      <c r="V21" s="15" t="s">
        <v>333</v>
      </c>
      <c r="W21" s="14">
        <v>0.01</v>
      </c>
      <c r="X21" s="15" t="s">
        <v>333</v>
      </c>
      <c r="Y21" s="14">
        <v>0.02</v>
      </c>
      <c r="Z21" s="14">
        <v>0.01</v>
      </c>
      <c r="AA21" s="14">
        <v>0.02</v>
      </c>
      <c r="AB21" s="14">
        <v>0.02</v>
      </c>
      <c r="AC21" s="14">
        <v>0.02</v>
      </c>
      <c r="AD21" s="14">
        <v>0.02</v>
      </c>
      <c r="AE21" s="14">
        <v>0.01</v>
      </c>
      <c r="AF21" s="15" t="s">
        <v>333</v>
      </c>
    </row>
    <row r="22" spans="1:32" x14ac:dyDescent="0.35">
      <c r="A22" s="31"/>
      <c r="B22" s="11" t="s">
        <v>510</v>
      </c>
      <c r="C22" s="12">
        <v>16662</v>
      </c>
      <c r="D22" s="12">
        <v>667</v>
      </c>
      <c r="E22" s="12">
        <v>579</v>
      </c>
      <c r="F22" s="12">
        <v>605</v>
      </c>
      <c r="G22" s="12">
        <v>943</v>
      </c>
      <c r="H22" s="12">
        <v>983</v>
      </c>
      <c r="I22" s="12">
        <v>1154</v>
      </c>
      <c r="J22" s="12">
        <v>171</v>
      </c>
      <c r="K22" s="12">
        <v>345</v>
      </c>
      <c r="L22" s="12">
        <v>731</v>
      </c>
      <c r="M22" s="12">
        <v>298</v>
      </c>
      <c r="N22" s="12">
        <v>488</v>
      </c>
      <c r="O22" s="12">
        <v>627</v>
      </c>
      <c r="P22" s="12">
        <v>825</v>
      </c>
      <c r="Q22" s="12">
        <v>427</v>
      </c>
      <c r="R22" s="12">
        <v>158</v>
      </c>
      <c r="S22" s="12">
        <v>520</v>
      </c>
      <c r="T22" s="12">
        <v>435</v>
      </c>
      <c r="U22" s="12">
        <v>343</v>
      </c>
      <c r="V22" s="12">
        <v>475</v>
      </c>
      <c r="W22" s="12">
        <v>328</v>
      </c>
      <c r="X22" s="12">
        <v>813</v>
      </c>
      <c r="Y22" s="12">
        <v>778</v>
      </c>
      <c r="Z22" s="12">
        <v>823</v>
      </c>
      <c r="AA22" s="12">
        <v>715</v>
      </c>
      <c r="AB22" s="12">
        <v>559</v>
      </c>
      <c r="AC22" s="12">
        <v>651</v>
      </c>
      <c r="AD22" s="12">
        <v>712</v>
      </c>
      <c r="AE22" s="12">
        <v>850</v>
      </c>
      <c r="AF22" s="12">
        <v>948</v>
      </c>
    </row>
    <row r="23" spans="1:32" x14ac:dyDescent="0.35">
      <c r="A23" s="31"/>
      <c r="B23" s="13" t="s">
        <v>511</v>
      </c>
      <c r="C23" s="14">
        <v>0.63</v>
      </c>
      <c r="D23" s="14">
        <v>0.65</v>
      </c>
      <c r="E23" s="14">
        <v>0.56000000000000005</v>
      </c>
      <c r="F23" s="14">
        <v>0.59</v>
      </c>
      <c r="G23" s="14">
        <v>0.93</v>
      </c>
      <c r="H23" s="14">
        <v>0.8</v>
      </c>
      <c r="I23" s="14">
        <v>0.75</v>
      </c>
      <c r="J23" s="14">
        <v>0.57999999999999996</v>
      </c>
      <c r="K23" s="14">
        <v>0.35</v>
      </c>
      <c r="L23" s="14">
        <v>0.73</v>
      </c>
      <c r="M23" s="14">
        <v>0.3</v>
      </c>
      <c r="N23" s="14">
        <v>0.49</v>
      </c>
      <c r="O23" s="14">
        <v>0.62</v>
      </c>
      <c r="P23" s="14">
        <v>0.82000000000000006</v>
      </c>
      <c r="Q23" s="14">
        <v>0.41</v>
      </c>
      <c r="R23" s="14">
        <v>0.32</v>
      </c>
      <c r="S23" s="14">
        <v>0.51</v>
      </c>
      <c r="T23" s="14">
        <v>0.43</v>
      </c>
      <c r="U23" s="14">
        <v>0.67</v>
      </c>
      <c r="V23" s="14">
        <v>0.47</v>
      </c>
      <c r="W23" s="14">
        <v>0.65</v>
      </c>
      <c r="X23" s="14">
        <v>0.81</v>
      </c>
      <c r="Y23" s="14">
        <v>0.77</v>
      </c>
      <c r="Z23" s="14">
        <v>0.81</v>
      </c>
      <c r="AA23" s="14">
        <v>0.69000000000000006</v>
      </c>
      <c r="AB23" s="14">
        <v>0.53</v>
      </c>
      <c r="AC23" s="14">
        <v>0.64</v>
      </c>
      <c r="AD23" s="14">
        <v>0.71</v>
      </c>
      <c r="AE23" s="14">
        <v>0.84</v>
      </c>
      <c r="AF23" s="14">
        <v>0.93</v>
      </c>
    </row>
    <row r="24" spans="1:32" x14ac:dyDescent="0.35">
      <c r="A24" s="31"/>
      <c r="B24" s="11" t="s">
        <v>512</v>
      </c>
      <c r="C24" s="12">
        <v>9351</v>
      </c>
      <c r="D24" s="12">
        <v>354</v>
      </c>
      <c r="E24" s="12">
        <v>417</v>
      </c>
      <c r="F24" s="12">
        <v>402</v>
      </c>
      <c r="G24" s="12">
        <v>63</v>
      </c>
      <c r="H24" s="12">
        <v>227</v>
      </c>
      <c r="I24" s="12">
        <v>350</v>
      </c>
      <c r="J24" s="12">
        <v>123</v>
      </c>
      <c r="K24" s="12">
        <v>608</v>
      </c>
      <c r="L24" s="12">
        <v>263</v>
      </c>
      <c r="M24" s="12">
        <v>699</v>
      </c>
      <c r="N24" s="12">
        <v>485</v>
      </c>
      <c r="O24" s="12">
        <v>357</v>
      </c>
      <c r="P24" s="12">
        <v>158</v>
      </c>
      <c r="Q24" s="12">
        <v>599</v>
      </c>
      <c r="R24" s="12">
        <v>339</v>
      </c>
      <c r="S24" s="12">
        <v>470</v>
      </c>
      <c r="T24" s="12">
        <v>534</v>
      </c>
      <c r="U24" s="12">
        <v>157</v>
      </c>
      <c r="V24" s="12">
        <v>534</v>
      </c>
      <c r="W24" s="12">
        <v>167</v>
      </c>
      <c r="X24" s="12">
        <v>194</v>
      </c>
      <c r="Y24" s="12">
        <v>210</v>
      </c>
      <c r="Z24" s="12">
        <v>182</v>
      </c>
      <c r="AA24" s="12">
        <v>293</v>
      </c>
      <c r="AB24" s="12">
        <v>480</v>
      </c>
      <c r="AC24" s="12">
        <v>344</v>
      </c>
      <c r="AD24" s="12">
        <v>275</v>
      </c>
      <c r="AE24" s="12">
        <v>143</v>
      </c>
      <c r="AF24" s="12">
        <v>68</v>
      </c>
    </row>
    <row r="25" spans="1:32" x14ac:dyDescent="0.35">
      <c r="A25" s="31"/>
      <c r="B25" s="13" t="s">
        <v>513</v>
      </c>
      <c r="C25" s="14">
        <v>0.35</v>
      </c>
      <c r="D25" s="14">
        <v>0.34</v>
      </c>
      <c r="E25" s="14">
        <v>0.4</v>
      </c>
      <c r="F25" s="14">
        <v>0.4</v>
      </c>
      <c r="G25" s="14">
        <v>0.06</v>
      </c>
      <c r="H25" s="14">
        <v>0.18</v>
      </c>
      <c r="I25" s="14">
        <v>0.23</v>
      </c>
      <c r="J25" s="14">
        <v>0.41</v>
      </c>
      <c r="K25" s="14">
        <v>0.6</v>
      </c>
      <c r="L25" s="14">
        <v>0.26</v>
      </c>
      <c r="M25" s="14">
        <v>0.69000000000000006</v>
      </c>
      <c r="N25" s="14">
        <v>0.48</v>
      </c>
      <c r="O25" s="14">
        <v>0.36</v>
      </c>
      <c r="P25" s="14">
        <v>0.16</v>
      </c>
      <c r="Q25" s="14">
        <v>0.57999999999999996</v>
      </c>
      <c r="R25" s="14">
        <v>0.67</v>
      </c>
      <c r="S25" s="14">
        <v>0.46</v>
      </c>
      <c r="T25" s="14">
        <v>0.52</v>
      </c>
      <c r="U25" s="14">
        <v>0.31</v>
      </c>
      <c r="V25" s="14">
        <v>0.53</v>
      </c>
      <c r="W25" s="14">
        <v>0.34</v>
      </c>
      <c r="X25" s="14">
        <v>0.19</v>
      </c>
      <c r="Y25" s="14">
        <v>0.21</v>
      </c>
      <c r="Z25" s="14">
        <v>0.18</v>
      </c>
      <c r="AA25" s="14">
        <v>0.28999999999999998</v>
      </c>
      <c r="AB25" s="14">
        <v>0.45</v>
      </c>
      <c r="AC25" s="14">
        <v>0.34</v>
      </c>
      <c r="AD25" s="14">
        <v>0.27</v>
      </c>
      <c r="AE25" s="14">
        <v>0.15</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5"/>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24" customHeight="1" x14ac:dyDescent="0.35">
      <c r="B3" s="30" t="s">
        <v>1319</v>
      </c>
      <c r="C3" s="30"/>
      <c r="D3" s="30"/>
      <c r="E3" s="30"/>
      <c r="F3" s="30"/>
      <c r="H3" s="30" t="s">
        <v>1320</v>
      </c>
      <c r="I3" s="30"/>
      <c r="J3" s="30"/>
      <c r="K3" s="30"/>
      <c r="L3" s="30"/>
    </row>
    <row r="4" spans="1:32" ht="27" customHeight="1" x14ac:dyDescent="0.35">
      <c r="B4" s="30" t="s">
        <v>1321</v>
      </c>
      <c r="C4" s="30"/>
      <c r="D4" s="30"/>
      <c r="E4" s="30"/>
      <c r="F4" s="30"/>
      <c r="H4" s="30" t="s">
        <v>1322</v>
      </c>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HYPERLINK("#Content!A146","&lt;&lt;Back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502</v>
      </c>
      <c r="C12" s="12">
        <v>5490</v>
      </c>
      <c r="D12" s="12">
        <v>158</v>
      </c>
      <c r="E12" s="12">
        <v>197</v>
      </c>
      <c r="F12" s="12">
        <v>163</v>
      </c>
      <c r="G12" s="12">
        <v>526</v>
      </c>
      <c r="H12" s="12">
        <v>269</v>
      </c>
      <c r="I12" s="12">
        <v>306</v>
      </c>
      <c r="J12" s="12">
        <v>38</v>
      </c>
      <c r="K12" s="12">
        <v>134</v>
      </c>
      <c r="L12" s="12">
        <v>329</v>
      </c>
      <c r="M12" s="12">
        <v>207</v>
      </c>
      <c r="N12" s="12">
        <v>277</v>
      </c>
      <c r="O12" s="12">
        <v>173</v>
      </c>
      <c r="P12" s="12">
        <v>270</v>
      </c>
      <c r="Q12" s="12">
        <v>157</v>
      </c>
      <c r="R12" s="12">
        <v>77</v>
      </c>
      <c r="S12" s="12">
        <v>133</v>
      </c>
      <c r="T12" s="12">
        <v>107</v>
      </c>
      <c r="U12" s="12">
        <v>109</v>
      </c>
      <c r="V12" s="12">
        <v>162</v>
      </c>
      <c r="W12" s="12">
        <v>97</v>
      </c>
      <c r="X12" s="12">
        <v>252</v>
      </c>
      <c r="Y12" s="12">
        <v>309</v>
      </c>
      <c r="Z12" s="12">
        <v>166</v>
      </c>
      <c r="AA12" s="12">
        <v>326</v>
      </c>
      <c r="AB12" s="12">
        <v>184</v>
      </c>
      <c r="AC12" s="12">
        <v>147</v>
      </c>
      <c r="AD12" s="12">
        <v>273</v>
      </c>
      <c r="AE12" s="12">
        <v>291</v>
      </c>
      <c r="AF12" s="12">
        <v>348</v>
      </c>
    </row>
    <row r="13" spans="1:32" x14ac:dyDescent="0.35">
      <c r="A13" s="31"/>
      <c r="B13" s="13" t="s">
        <v>503</v>
      </c>
      <c r="C13" s="14">
        <v>0.21</v>
      </c>
      <c r="D13" s="14">
        <v>0.15</v>
      </c>
      <c r="E13" s="14">
        <v>0.19</v>
      </c>
      <c r="F13" s="14">
        <v>0.16</v>
      </c>
      <c r="G13" s="14">
        <v>0.52</v>
      </c>
      <c r="H13" s="14">
        <v>0.22</v>
      </c>
      <c r="I13" s="14">
        <v>0.2</v>
      </c>
      <c r="J13" s="14">
        <v>0.13</v>
      </c>
      <c r="K13" s="14">
        <v>0.13</v>
      </c>
      <c r="L13" s="14">
        <v>0.33</v>
      </c>
      <c r="M13" s="14">
        <v>0.21</v>
      </c>
      <c r="N13" s="14">
        <v>0.28000000000000003</v>
      </c>
      <c r="O13" s="14">
        <v>0.17</v>
      </c>
      <c r="P13" s="14">
        <v>0.27</v>
      </c>
      <c r="Q13" s="14">
        <v>0.15</v>
      </c>
      <c r="R13" s="14">
        <v>0.16</v>
      </c>
      <c r="S13" s="14">
        <v>0.13</v>
      </c>
      <c r="T13" s="14">
        <v>0.11</v>
      </c>
      <c r="U13" s="14">
        <v>0.21</v>
      </c>
      <c r="V13" s="14">
        <v>0.16</v>
      </c>
      <c r="W13" s="14">
        <v>0.19</v>
      </c>
      <c r="X13" s="14">
        <v>0.25</v>
      </c>
      <c r="Y13" s="14">
        <v>0.31</v>
      </c>
      <c r="Z13" s="14">
        <v>0.16</v>
      </c>
      <c r="AA13" s="14">
        <v>0.32</v>
      </c>
      <c r="AB13" s="14">
        <v>0.17</v>
      </c>
      <c r="AC13" s="14">
        <v>0.15</v>
      </c>
      <c r="AD13" s="14">
        <v>0.27</v>
      </c>
      <c r="AE13" s="14">
        <v>0.28999999999999998</v>
      </c>
      <c r="AF13" s="14">
        <v>0.34</v>
      </c>
    </row>
    <row r="14" spans="1:32" x14ac:dyDescent="0.35">
      <c r="A14" s="31"/>
      <c r="B14" s="11" t="s">
        <v>504</v>
      </c>
      <c r="C14" s="12">
        <v>13183</v>
      </c>
      <c r="D14" s="12">
        <v>534</v>
      </c>
      <c r="E14" s="12">
        <v>474</v>
      </c>
      <c r="F14" s="12">
        <v>472</v>
      </c>
      <c r="G14" s="12">
        <v>406</v>
      </c>
      <c r="H14" s="12">
        <v>647</v>
      </c>
      <c r="I14" s="12">
        <v>770</v>
      </c>
      <c r="J14" s="12">
        <v>123</v>
      </c>
      <c r="K14" s="12">
        <v>509</v>
      </c>
      <c r="L14" s="12">
        <v>534</v>
      </c>
      <c r="M14" s="12">
        <v>405</v>
      </c>
      <c r="N14" s="12">
        <v>463</v>
      </c>
      <c r="O14" s="12">
        <v>502</v>
      </c>
      <c r="P14" s="12">
        <v>495</v>
      </c>
      <c r="Q14" s="12">
        <v>468</v>
      </c>
      <c r="R14" s="12">
        <v>257</v>
      </c>
      <c r="S14" s="12">
        <v>563</v>
      </c>
      <c r="T14" s="12">
        <v>599</v>
      </c>
      <c r="U14" s="12">
        <v>276</v>
      </c>
      <c r="V14" s="12">
        <v>518</v>
      </c>
      <c r="W14" s="12">
        <v>308</v>
      </c>
      <c r="X14" s="12">
        <v>519</v>
      </c>
      <c r="Y14" s="12">
        <v>423</v>
      </c>
      <c r="Z14" s="12">
        <v>656</v>
      </c>
      <c r="AA14" s="12">
        <v>557</v>
      </c>
      <c r="AB14" s="12">
        <v>525</v>
      </c>
      <c r="AC14" s="12">
        <v>456</v>
      </c>
      <c r="AD14" s="12">
        <v>449</v>
      </c>
      <c r="AE14" s="12">
        <v>517</v>
      </c>
      <c r="AF14" s="12">
        <v>552</v>
      </c>
    </row>
    <row r="15" spans="1:32" x14ac:dyDescent="0.35">
      <c r="A15" s="31"/>
      <c r="B15" s="13" t="s">
        <v>505</v>
      </c>
      <c r="C15" s="14">
        <v>0.5</v>
      </c>
      <c r="D15" s="14">
        <v>0.52</v>
      </c>
      <c r="E15" s="14">
        <v>0.46</v>
      </c>
      <c r="F15" s="14">
        <v>0.46</v>
      </c>
      <c r="G15" s="14">
        <v>0.4</v>
      </c>
      <c r="H15" s="14">
        <v>0.52</v>
      </c>
      <c r="I15" s="14">
        <v>0.5</v>
      </c>
      <c r="J15" s="14">
        <v>0.41</v>
      </c>
      <c r="K15" s="14">
        <v>0.51</v>
      </c>
      <c r="L15" s="14">
        <v>0.53</v>
      </c>
      <c r="M15" s="14">
        <v>0.4</v>
      </c>
      <c r="N15" s="14">
        <v>0.46</v>
      </c>
      <c r="O15" s="14">
        <v>0.5</v>
      </c>
      <c r="P15" s="14">
        <v>0.49</v>
      </c>
      <c r="Q15" s="14">
        <v>0.45</v>
      </c>
      <c r="R15" s="14">
        <v>0.51</v>
      </c>
      <c r="S15" s="14">
        <v>0.55000000000000004</v>
      </c>
      <c r="T15" s="14">
        <v>0.59</v>
      </c>
      <c r="U15" s="14">
        <v>0.54</v>
      </c>
      <c r="V15" s="14">
        <v>0.51</v>
      </c>
      <c r="W15" s="14">
        <v>0.62</v>
      </c>
      <c r="X15" s="14">
        <v>0.51</v>
      </c>
      <c r="Y15" s="14">
        <v>0.42</v>
      </c>
      <c r="Z15" s="14">
        <v>0.64</v>
      </c>
      <c r="AA15" s="14">
        <v>0.54</v>
      </c>
      <c r="AB15" s="14">
        <v>0.5</v>
      </c>
      <c r="AC15" s="14">
        <v>0.45</v>
      </c>
      <c r="AD15" s="14">
        <v>0.45</v>
      </c>
      <c r="AE15" s="14">
        <v>0.51</v>
      </c>
      <c r="AF15" s="14">
        <v>0.54</v>
      </c>
    </row>
    <row r="16" spans="1:32" x14ac:dyDescent="0.35">
      <c r="A16" s="31"/>
      <c r="B16" s="11" t="s">
        <v>506</v>
      </c>
      <c r="C16" s="12">
        <v>5212</v>
      </c>
      <c r="D16" s="12">
        <v>253</v>
      </c>
      <c r="E16" s="12">
        <v>211</v>
      </c>
      <c r="F16" s="12">
        <v>275</v>
      </c>
      <c r="G16" s="12">
        <v>53</v>
      </c>
      <c r="H16" s="12">
        <v>232</v>
      </c>
      <c r="I16" s="12">
        <v>330</v>
      </c>
      <c r="J16" s="12">
        <v>99</v>
      </c>
      <c r="K16" s="12">
        <v>226</v>
      </c>
      <c r="L16" s="12">
        <v>91</v>
      </c>
      <c r="M16" s="12">
        <v>212</v>
      </c>
      <c r="N16" s="12">
        <v>140</v>
      </c>
      <c r="O16" s="12">
        <v>219</v>
      </c>
      <c r="P16" s="12">
        <v>138</v>
      </c>
      <c r="Q16" s="12">
        <v>281</v>
      </c>
      <c r="R16" s="12">
        <v>91</v>
      </c>
      <c r="S16" s="12">
        <v>204</v>
      </c>
      <c r="T16" s="12">
        <v>198</v>
      </c>
      <c r="U16" s="12">
        <v>84</v>
      </c>
      <c r="V16" s="12">
        <v>234</v>
      </c>
      <c r="W16" s="12">
        <v>58</v>
      </c>
      <c r="X16" s="12">
        <v>184</v>
      </c>
      <c r="Y16" s="12">
        <v>153</v>
      </c>
      <c r="Z16" s="12">
        <v>145</v>
      </c>
      <c r="AA16" s="12">
        <v>89</v>
      </c>
      <c r="AB16" s="12">
        <v>230</v>
      </c>
      <c r="AC16" s="12">
        <v>282</v>
      </c>
      <c r="AD16" s="12">
        <v>190</v>
      </c>
      <c r="AE16" s="12">
        <v>135</v>
      </c>
      <c r="AF16" s="12">
        <v>92</v>
      </c>
    </row>
    <row r="17" spans="1:32" x14ac:dyDescent="0.35">
      <c r="A17" s="31"/>
      <c r="B17" s="13" t="s">
        <v>507</v>
      </c>
      <c r="C17" s="14">
        <v>0.2</v>
      </c>
      <c r="D17" s="14">
        <v>0.25</v>
      </c>
      <c r="E17" s="14">
        <v>0.2</v>
      </c>
      <c r="F17" s="14">
        <v>0.27</v>
      </c>
      <c r="G17" s="14">
        <v>0.05</v>
      </c>
      <c r="H17" s="14">
        <v>0.19</v>
      </c>
      <c r="I17" s="14">
        <v>0.22</v>
      </c>
      <c r="J17" s="14">
        <v>0.33</v>
      </c>
      <c r="K17" s="14">
        <v>0.22</v>
      </c>
      <c r="L17" s="14">
        <v>0.09</v>
      </c>
      <c r="M17" s="14">
        <v>0.21</v>
      </c>
      <c r="N17" s="14">
        <v>0.14000000000000001</v>
      </c>
      <c r="O17" s="14">
        <v>0.22</v>
      </c>
      <c r="P17" s="14">
        <v>0.14000000000000001</v>
      </c>
      <c r="Q17" s="14">
        <v>0.27</v>
      </c>
      <c r="R17" s="14">
        <v>0.18</v>
      </c>
      <c r="S17" s="14">
        <v>0.2</v>
      </c>
      <c r="T17" s="14">
        <v>0.19</v>
      </c>
      <c r="U17" s="14">
        <v>0.17</v>
      </c>
      <c r="V17" s="14">
        <v>0.23</v>
      </c>
      <c r="W17" s="14">
        <v>0.12</v>
      </c>
      <c r="X17" s="14">
        <v>0.18</v>
      </c>
      <c r="Y17" s="14">
        <v>0.15</v>
      </c>
      <c r="Z17" s="14">
        <v>0.14000000000000001</v>
      </c>
      <c r="AA17" s="14">
        <v>0.09</v>
      </c>
      <c r="AB17" s="14">
        <v>0.22</v>
      </c>
      <c r="AC17" s="14">
        <v>0.28000000000000003</v>
      </c>
      <c r="AD17" s="14">
        <v>0.19</v>
      </c>
      <c r="AE17" s="14">
        <v>0.13</v>
      </c>
      <c r="AF17" s="14">
        <v>0.09</v>
      </c>
    </row>
    <row r="18" spans="1:32" x14ac:dyDescent="0.35">
      <c r="A18" s="31"/>
      <c r="B18" s="11" t="s">
        <v>508</v>
      </c>
      <c r="C18" s="12">
        <v>1805</v>
      </c>
      <c r="D18" s="12">
        <v>72</v>
      </c>
      <c r="E18" s="12">
        <v>95</v>
      </c>
      <c r="F18" s="12">
        <v>80</v>
      </c>
      <c r="G18" s="12">
        <v>8</v>
      </c>
      <c r="H18" s="12">
        <v>52</v>
      </c>
      <c r="I18" s="12">
        <v>82</v>
      </c>
      <c r="J18" s="12">
        <v>30</v>
      </c>
      <c r="K18" s="12">
        <v>86</v>
      </c>
      <c r="L18" s="12">
        <v>31</v>
      </c>
      <c r="M18" s="12">
        <v>157</v>
      </c>
      <c r="N18" s="12">
        <v>74</v>
      </c>
      <c r="O18" s="12">
        <v>86</v>
      </c>
      <c r="P18" s="12">
        <v>49</v>
      </c>
      <c r="Q18" s="12">
        <v>107</v>
      </c>
      <c r="R18" s="12">
        <v>66</v>
      </c>
      <c r="S18" s="12">
        <v>51</v>
      </c>
      <c r="T18" s="12">
        <v>38</v>
      </c>
      <c r="U18" s="12">
        <v>25</v>
      </c>
      <c r="V18" s="12">
        <v>83</v>
      </c>
      <c r="W18" s="12">
        <v>26</v>
      </c>
      <c r="X18" s="12">
        <v>44</v>
      </c>
      <c r="Y18" s="12">
        <v>68</v>
      </c>
      <c r="Z18" s="12">
        <v>26</v>
      </c>
      <c r="AA18" s="12">
        <v>24</v>
      </c>
      <c r="AB18" s="12">
        <v>77</v>
      </c>
      <c r="AC18" s="12">
        <v>103</v>
      </c>
      <c r="AD18" s="12">
        <v>80</v>
      </c>
      <c r="AE18" s="12">
        <v>27</v>
      </c>
      <c r="AF18" s="12">
        <v>22</v>
      </c>
    </row>
    <row r="19" spans="1:32" x14ac:dyDescent="0.35">
      <c r="A19" s="31"/>
      <c r="B19" s="13" t="s">
        <v>509</v>
      </c>
      <c r="C19" s="14">
        <v>7.0000000000000007E-2</v>
      </c>
      <c r="D19" s="14">
        <v>7.0000000000000007E-2</v>
      </c>
      <c r="E19" s="14">
        <v>0.09</v>
      </c>
      <c r="F19" s="14">
        <v>0.08</v>
      </c>
      <c r="G19" s="14">
        <v>0.01</v>
      </c>
      <c r="H19" s="14">
        <v>0.04</v>
      </c>
      <c r="I19" s="14">
        <v>0.05</v>
      </c>
      <c r="J19" s="14">
        <v>0.1</v>
      </c>
      <c r="K19" s="14">
        <v>0.09</v>
      </c>
      <c r="L19" s="14">
        <v>0.03</v>
      </c>
      <c r="M19" s="14">
        <v>0.16</v>
      </c>
      <c r="N19" s="14">
        <v>7.0000000000000007E-2</v>
      </c>
      <c r="O19" s="14">
        <v>0.09</v>
      </c>
      <c r="P19" s="14">
        <v>0.05</v>
      </c>
      <c r="Q19" s="14">
        <v>0.11</v>
      </c>
      <c r="R19" s="14">
        <v>0.13</v>
      </c>
      <c r="S19" s="14">
        <v>0.05</v>
      </c>
      <c r="T19" s="14">
        <v>0.04</v>
      </c>
      <c r="U19" s="14">
        <v>0.05</v>
      </c>
      <c r="V19" s="14">
        <v>0.08</v>
      </c>
      <c r="W19" s="14">
        <v>0.05</v>
      </c>
      <c r="X19" s="14">
        <v>0.05</v>
      </c>
      <c r="Y19" s="14">
        <v>7.0000000000000007E-2</v>
      </c>
      <c r="Z19" s="14">
        <v>0.03</v>
      </c>
      <c r="AA19" s="14">
        <v>0.02</v>
      </c>
      <c r="AB19" s="14">
        <v>7.0000000000000007E-2</v>
      </c>
      <c r="AC19" s="14">
        <v>0.1</v>
      </c>
      <c r="AD19" s="14">
        <v>0.08</v>
      </c>
      <c r="AE19" s="14">
        <v>0.03</v>
      </c>
      <c r="AF19" s="14">
        <v>0.02</v>
      </c>
    </row>
    <row r="20" spans="1:32" x14ac:dyDescent="0.35">
      <c r="A20" s="31"/>
      <c r="B20" s="11" t="s">
        <v>344</v>
      </c>
      <c r="C20" s="12">
        <v>720</v>
      </c>
      <c r="D20" s="12">
        <v>9</v>
      </c>
      <c r="E20" s="12">
        <v>62</v>
      </c>
      <c r="F20" s="12">
        <v>28</v>
      </c>
      <c r="G20" s="12">
        <v>24</v>
      </c>
      <c r="H20" s="12">
        <v>33</v>
      </c>
      <c r="I20" s="12">
        <v>41</v>
      </c>
      <c r="J20" s="12">
        <v>8</v>
      </c>
      <c r="K20" s="12">
        <v>53</v>
      </c>
      <c r="L20" s="12">
        <v>20</v>
      </c>
      <c r="M20" s="12">
        <v>23</v>
      </c>
      <c r="N20" s="12">
        <v>46</v>
      </c>
      <c r="O20" s="12">
        <v>20</v>
      </c>
      <c r="P20" s="12">
        <v>52</v>
      </c>
      <c r="Q20" s="12">
        <v>22</v>
      </c>
      <c r="R20" s="12">
        <v>11</v>
      </c>
      <c r="S20" s="12">
        <v>69</v>
      </c>
      <c r="T20" s="12">
        <v>76</v>
      </c>
      <c r="U20" s="12">
        <v>15</v>
      </c>
      <c r="V20" s="12">
        <v>17</v>
      </c>
      <c r="W20" s="12">
        <v>11</v>
      </c>
      <c r="X20" s="12">
        <v>10</v>
      </c>
      <c r="Y20" s="12">
        <v>50</v>
      </c>
      <c r="Z20" s="12">
        <v>26</v>
      </c>
      <c r="AA20" s="12">
        <v>34</v>
      </c>
      <c r="AB20" s="12">
        <v>40</v>
      </c>
      <c r="AC20" s="12">
        <v>24</v>
      </c>
      <c r="AD20" s="12">
        <v>11</v>
      </c>
      <c r="AE20" s="12">
        <v>37</v>
      </c>
      <c r="AF20" s="12">
        <v>7</v>
      </c>
    </row>
    <row r="21" spans="1:32" x14ac:dyDescent="0.35">
      <c r="A21" s="31"/>
      <c r="B21" s="13" t="s">
        <v>357</v>
      </c>
      <c r="C21" s="14">
        <v>0.02</v>
      </c>
      <c r="D21" s="14">
        <v>0.01</v>
      </c>
      <c r="E21" s="14">
        <v>0.06</v>
      </c>
      <c r="F21" s="14">
        <v>0.03</v>
      </c>
      <c r="G21" s="14">
        <v>0.02</v>
      </c>
      <c r="H21" s="14">
        <v>0.03</v>
      </c>
      <c r="I21" s="14">
        <v>0.03</v>
      </c>
      <c r="J21" s="14">
        <v>0.03</v>
      </c>
      <c r="K21" s="14">
        <v>0.05</v>
      </c>
      <c r="L21" s="14">
        <v>0.02</v>
      </c>
      <c r="M21" s="14">
        <v>0.02</v>
      </c>
      <c r="N21" s="14">
        <v>0.05</v>
      </c>
      <c r="O21" s="14">
        <v>0.02</v>
      </c>
      <c r="P21" s="14">
        <v>0.05</v>
      </c>
      <c r="Q21" s="14">
        <v>0.02</v>
      </c>
      <c r="R21" s="14">
        <v>0.02</v>
      </c>
      <c r="S21" s="14">
        <v>7.0000000000000007E-2</v>
      </c>
      <c r="T21" s="14">
        <v>7.0000000000000007E-2</v>
      </c>
      <c r="U21" s="14">
        <v>0.03</v>
      </c>
      <c r="V21" s="14">
        <v>0.02</v>
      </c>
      <c r="W21" s="14">
        <v>0.02</v>
      </c>
      <c r="X21" s="14">
        <v>0.01</v>
      </c>
      <c r="Y21" s="14">
        <v>0.05</v>
      </c>
      <c r="Z21" s="14">
        <v>0.03</v>
      </c>
      <c r="AA21" s="14">
        <v>0.03</v>
      </c>
      <c r="AB21" s="14">
        <v>0.04</v>
      </c>
      <c r="AC21" s="14">
        <v>0.02</v>
      </c>
      <c r="AD21" s="14">
        <v>0.01</v>
      </c>
      <c r="AE21" s="14">
        <v>0.04</v>
      </c>
      <c r="AF21" s="14">
        <v>0.01</v>
      </c>
    </row>
    <row r="22" spans="1:32" x14ac:dyDescent="0.35">
      <c r="A22" s="31"/>
      <c r="B22" s="11" t="s">
        <v>510</v>
      </c>
      <c r="C22" s="12">
        <v>18673</v>
      </c>
      <c r="D22" s="12">
        <v>692</v>
      </c>
      <c r="E22" s="12">
        <v>671</v>
      </c>
      <c r="F22" s="12">
        <v>635</v>
      </c>
      <c r="G22" s="12">
        <v>932</v>
      </c>
      <c r="H22" s="12">
        <v>916</v>
      </c>
      <c r="I22" s="12">
        <v>1076</v>
      </c>
      <c r="J22" s="12">
        <v>161</v>
      </c>
      <c r="K22" s="12">
        <v>643</v>
      </c>
      <c r="L22" s="12">
        <v>863</v>
      </c>
      <c r="M22" s="12">
        <v>612</v>
      </c>
      <c r="N22" s="12">
        <v>740</v>
      </c>
      <c r="O22" s="12">
        <v>675</v>
      </c>
      <c r="P22" s="12">
        <v>765</v>
      </c>
      <c r="Q22" s="12">
        <v>625</v>
      </c>
      <c r="R22" s="12">
        <v>334</v>
      </c>
      <c r="S22" s="12">
        <v>696</v>
      </c>
      <c r="T22" s="12">
        <v>706</v>
      </c>
      <c r="U22" s="12">
        <v>385</v>
      </c>
      <c r="V22" s="12">
        <v>680</v>
      </c>
      <c r="W22" s="12">
        <v>405</v>
      </c>
      <c r="X22" s="12">
        <v>771</v>
      </c>
      <c r="Y22" s="12">
        <v>732</v>
      </c>
      <c r="Z22" s="12">
        <v>822</v>
      </c>
      <c r="AA22" s="12">
        <v>883</v>
      </c>
      <c r="AB22" s="12">
        <v>709</v>
      </c>
      <c r="AC22" s="12">
        <v>603</v>
      </c>
      <c r="AD22" s="12">
        <v>722</v>
      </c>
      <c r="AE22" s="12">
        <v>808</v>
      </c>
      <c r="AF22" s="12">
        <v>900</v>
      </c>
    </row>
    <row r="23" spans="1:32" x14ac:dyDescent="0.35">
      <c r="A23" s="31"/>
      <c r="B23" s="13" t="s">
        <v>511</v>
      </c>
      <c r="C23" s="14">
        <v>0.71</v>
      </c>
      <c r="D23" s="14">
        <v>0.67</v>
      </c>
      <c r="E23" s="14">
        <v>0.65</v>
      </c>
      <c r="F23" s="14">
        <v>0.62</v>
      </c>
      <c r="G23" s="14">
        <v>0.92</v>
      </c>
      <c r="H23" s="14">
        <v>0.74</v>
      </c>
      <c r="I23" s="14">
        <v>0.70000000000000007</v>
      </c>
      <c r="J23" s="14">
        <v>0.54</v>
      </c>
      <c r="K23" s="14">
        <v>0.64</v>
      </c>
      <c r="L23" s="14">
        <v>0.86</v>
      </c>
      <c r="M23" s="14">
        <v>0.61</v>
      </c>
      <c r="N23" s="14">
        <v>0.74</v>
      </c>
      <c r="O23" s="14">
        <v>0.67</v>
      </c>
      <c r="P23" s="14">
        <v>0.76</v>
      </c>
      <c r="Q23" s="14">
        <v>0.6</v>
      </c>
      <c r="R23" s="14">
        <v>0.67</v>
      </c>
      <c r="S23" s="14">
        <v>0.68</v>
      </c>
      <c r="T23" s="14">
        <v>0.70000000000000007</v>
      </c>
      <c r="U23" s="14">
        <v>0.75</v>
      </c>
      <c r="V23" s="14">
        <v>0.67</v>
      </c>
      <c r="W23" s="14">
        <v>0.81</v>
      </c>
      <c r="X23" s="14">
        <v>0.76</v>
      </c>
      <c r="Y23" s="14">
        <v>0.73</v>
      </c>
      <c r="Z23" s="14">
        <v>0.8</v>
      </c>
      <c r="AA23" s="14">
        <v>0.86</v>
      </c>
      <c r="AB23" s="14">
        <v>0.67</v>
      </c>
      <c r="AC23" s="14">
        <v>0.6</v>
      </c>
      <c r="AD23" s="14">
        <v>0.72</v>
      </c>
      <c r="AE23" s="14">
        <v>0.8</v>
      </c>
      <c r="AF23" s="14">
        <v>0.88</v>
      </c>
    </row>
    <row r="24" spans="1:32" x14ac:dyDescent="0.35">
      <c r="A24" s="31"/>
      <c r="B24" s="11" t="s">
        <v>512</v>
      </c>
      <c r="C24" s="12">
        <v>7017</v>
      </c>
      <c r="D24" s="12">
        <v>325</v>
      </c>
      <c r="E24" s="12">
        <v>306</v>
      </c>
      <c r="F24" s="12">
        <v>355</v>
      </c>
      <c r="G24" s="12">
        <v>61</v>
      </c>
      <c r="H24" s="12">
        <v>284</v>
      </c>
      <c r="I24" s="12">
        <v>412</v>
      </c>
      <c r="J24" s="12">
        <v>129</v>
      </c>
      <c r="K24" s="12">
        <v>312</v>
      </c>
      <c r="L24" s="12">
        <v>122</v>
      </c>
      <c r="M24" s="12">
        <v>369</v>
      </c>
      <c r="N24" s="12">
        <v>214</v>
      </c>
      <c r="O24" s="12">
        <v>305</v>
      </c>
      <c r="P24" s="12">
        <v>187</v>
      </c>
      <c r="Q24" s="12">
        <v>388</v>
      </c>
      <c r="R24" s="12">
        <v>157</v>
      </c>
      <c r="S24" s="12">
        <v>255</v>
      </c>
      <c r="T24" s="12">
        <v>236</v>
      </c>
      <c r="U24" s="12">
        <v>109</v>
      </c>
      <c r="V24" s="12">
        <v>317</v>
      </c>
      <c r="W24" s="12">
        <v>84</v>
      </c>
      <c r="X24" s="12">
        <v>228</v>
      </c>
      <c r="Y24" s="12">
        <v>221</v>
      </c>
      <c r="Z24" s="12">
        <v>171</v>
      </c>
      <c r="AA24" s="12">
        <v>113</v>
      </c>
      <c r="AB24" s="12">
        <v>307</v>
      </c>
      <c r="AC24" s="12">
        <v>385</v>
      </c>
      <c r="AD24" s="12">
        <v>270</v>
      </c>
      <c r="AE24" s="12">
        <v>162</v>
      </c>
      <c r="AF24" s="12">
        <v>114</v>
      </c>
    </row>
    <row r="25" spans="1:32" x14ac:dyDescent="0.35">
      <c r="A25" s="31"/>
      <c r="B25" s="13" t="s">
        <v>513</v>
      </c>
      <c r="C25" s="14">
        <v>0.27</v>
      </c>
      <c r="D25" s="14">
        <v>0.32</v>
      </c>
      <c r="E25" s="14">
        <v>0.28999999999999998</v>
      </c>
      <c r="F25" s="14">
        <v>0.35</v>
      </c>
      <c r="G25" s="14">
        <v>0.06</v>
      </c>
      <c r="H25" s="14">
        <v>0.23</v>
      </c>
      <c r="I25" s="14">
        <v>0.27</v>
      </c>
      <c r="J25" s="14">
        <v>0.43</v>
      </c>
      <c r="K25" s="14">
        <v>0.31</v>
      </c>
      <c r="L25" s="14">
        <v>0.12</v>
      </c>
      <c r="M25" s="14">
        <v>0.37</v>
      </c>
      <c r="N25" s="14">
        <v>0.21</v>
      </c>
      <c r="O25" s="14">
        <v>0.31</v>
      </c>
      <c r="P25" s="14">
        <v>0.19</v>
      </c>
      <c r="Q25" s="14">
        <v>0.38</v>
      </c>
      <c r="R25" s="14">
        <v>0.31</v>
      </c>
      <c r="S25" s="14">
        <v>0.25</v>
      </c>
      <c r="T25" s="14">
        <v>0.23</v>
      </c>
      <c r="U25" s="14">
        <v>0.22</v>
      </c>
      <c r="V25" s="14">
        <v>0.31</v>
      </c>
      <c r="W25" s="14">
        <v>0.17</v>
      </c>
      <c r="X25" s="14">
        <v>0.23</v>
      </c>
      <c r="Y25" s="14">
        <v>0.22</v>
      </c>
      <c r="Z25" s="14">
        <v>0.17</v>
      </c>
      <c r="AA25" s="14">
        <v>0.11</v>
      </c>
      <c r="AB25" s="14">
        <v>0.28999999999999998</v>
      </c>
      <c r="AC25" s="14">
        <v>0.38</v>
      </c>
      <c r="AD25" s="14">
        <v>0.27</v>
      </c>
      <c r="AE25" s="14">
        <v>0.16</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3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48" customHeight="1" x14ac:dyDescent="0.35">
      <c r="B3" s="30" t="s">
        <v>291</v>
      </c>
      <c r="C3" s="30"/>
      <c r="D3" s="30"/>
      <c r="E3" s="30"/>
      <c r="F3" s="30"/>
      <c r="H3" s="30" t="s">
        <v>292</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HYPERLINK("#Content!A147","&lt;&lt;Back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1323</v>
      </c>
      <c r="C12" s="12">
        <v>919</v>
      </c>
      <c r="D12" s="12">
        <v>27</v>
      </c>
      <c r="E12" s="12">
        <v>54</v>
      </c>
      <c r="F12" s="12">
        <v>30</v>
      </c>
      <c r="G12" s="12">
        <v>44</v>
      </c>
      <c r="H12" s="12">
        <v>26</v>
      </c>
      <c r="I12" s="12">
        <v>42</v>
      </c>
      <c r="J12" s="12">
        <v>16</v>
      </c>
      <c r="K12" s="12">
        <v>34</v>
      </c>
      <c r="L12" s="12">
        <v>11</v>
      </c>
      <c r="M12" s="12">
        <v>17</v>
      </c>
      <c r="N12" s="12">
        <v>45</v>
      </c>
      <c r="O12" s="12">
        <v>36</v>
      </c>
      <c r="P12" s="12">
        <v>65</v>
      </c>
      <c r="Q12" s="12">
        <v>34</v>
      </c>
      <c r="R12" s="12">
        <v>26</v>
      </c>
      <c r="S12" s="12">
        <v>9</v>
      </c>
      <c r="T12" s="12">
        <v>34</v>
      </c>
      <c r="U12" s="12">
        <v>8</v>
      </c>
      <c r="V12" s="12">
        <v>18</v>
      </c>
      <c r="W12" s="12">
        <v>47</v>
      </c>
      <c r="X12" s="12">
        <v>47</v>
      </c>
      <c r="Y12" s="12">
        <v>41</v>
      </c>
      <c r="Z12" s="12">
        <v>32</v>
      </c>
      <c r="AA12" s="12">
        <v>4</v>
      </c>
      <c r="AB12" s="12">
        <v>72</v>
      </c>
      <c r="AC12" s="12">
        <v>54</v>
      </c>
      <c r="AD12" s="12">
        <v>37</v>
      </c>
      <c r="AE12" s="12">
        <v>30</v>
      </c>
      <c r="AF12" s="12">
        <v>42</v>
      </c>
    </row>
    <row r="13" spans="1:32" x14ac:dyDescent="0.35">
      <c r="A13" s="31"/>
      <c r="B13" s="13" t="s">
        <v>1324</v>
      </c>
      <c r="C13" s="14">
        <v>0.03</v>
      </c>
      <c r="D13" s="14">
        <v>0.03</v>
      </c>
      <c r="E13" s="14">
        <v>0.05</v>
      </c>
      <c r="F13" s="14">
        <v>0.03</v>
      </c>
      <c r="G13" s="14">
        <v>0.04</v>
      </c>
      <c r="H13" s="14">
        <v>0.02</v>
      </c>
      <c r="I13" s="14">
        <v>0.03</v>
      </c>
      <c r="J13" s="14">
        <v>0.05</v>
      </c>
      <c r="K13" s="14">
        <v>0.03</v>
      </c>
      <c r="L13" s="14">
        <v>0.01</v>
      </c>
      <c r="M13" s="14">
        <v>0.02</v>
      </c>
      <c r="N13" s="14">
        <v>0.04</v>
      </c>
      <c r="O13" s="14">
        <v>0.04</v>
      </c>
      <c r="P13" s="14">
        <v>7.0000000000000007E-2</v>
      </c>
      <c r="Q13" s="14">
        <v>0.03</v>
      </c>
      <c r="R13" s="14">
        <v>0.05</v>
      </c>
      <c r="S13" s="14">
        <v>0.01</v>
      </c>
      <c r="T13" s="14">
        <v>0.03</v>
      </c>
      <c r="U13" s="14">
        <v>0.01</v>
      </c>
      <c r="V13" s="14">
        <v>0.02</v>
      </c>
      <c r="W13" s="14">
        <v>0.09</v>
      </c>
      <c r="X13" s="14">
        <v>0.05</v>
      </c>
      <c r="Y13" s="14">
        <v>0.04</v>
      </c>
      <c r="Z13" s="14">
        <v>0.03</v>
      </c>
      <c r="AA13" s="14">
        <v>0.01</v>
      </c>
      <c r="AB13" s="14">
        <v>7.0000000000000007E-2</v>
      </c>
      <c r="AC13" s="14">
        <v>0.05</v>
      </c>
      <c r="AD13" s="14">
        <v>0.04</v>
      </c>
      <c r="AE13" s="14">
        <v>0.03</v>
      </c>
      <c r="AF13" s="14">
        <v>0.04</v>
      </c>
    </row>
    <row r="14" spans="1:32" x14ac:dyDescent="0.35">
      <c r="A14" s="31"/>
      <c r="B14" s="11" t="s">
        <v>713</v>
      </c>
      <c r="C14" s="12">
        <v>818</v>
      </c>
      <c r="D14" s="12">
        <v>38</v>
      </c>
      <c r="E14" s="12">
        <v>28</v>
      </c>
      <c r="F14" s="12">
        <v>22</v>
      </c>
      <c r="G14" s="12">
        <v>62</v>
      </c>
      <c r="H14" s="12">
        <v>41</v>
      </c>
      <c r="I14" s="12">
        <v>55</v>
      </c>
      <c r="J14" s="12">
        <v>14</v>
      </c>
      <c r="K14" s="12">
        <v>25</v>
      </c>
      <c r="L14" s="12">
        <v>23</v>
      </c>
      <c r="M14" s="12">
        <v>14</v>
      </c>
      <c r="N14" s="12">
        <v>33</v>
      </c>
      <c r="O14" s="12">
        <v>33</v>
      </c>
      <c r="P14" s="12">
        <v>16</v>
      </c>
      <c r="Q14" s="12">
        <v>18</v>
      </c>
      <c r="R14" s="12">
        <v>9</v>
      </c>
      <c r="S14" s="12">
        <v>9</v>
      </c>
      <c r="T14" s="12">
        <v>19</v>
      </c>
      <c r="U14" s="12">
        <v>25</v>
      </c>
      <c r="V14" s="12">
        <v>20</v>
      </c>
      <c r="W14" s="12">
        <v>21</v>
      </c>
      <c r="X14" s="12">
        <v>66</v>
      </c>
      <c r="Y14" s="12">
        <v>30</v>
      </c>
      <c r="Z14" s="12">
        <v>21</v>
      </c>
      <c r="AA14" s="12">
        <v>11</v>
      </c>
      <c r="AB14" s="12">
        <v>22</v>
      </c>
      <c r="AC14" s="12">
        <v>23</v>
      </c>
      <c r="AD14" s="12">
        <v>28</v>
      </c>
      <c r="AE14" s="12">
        <v>57</v>
      </c>
      <c r="AF14" s="12">
        <v>94</v>
      </c>
    </row>
    <row r="15" spans="1:32" x14ac:dyDescent="0.35">
      <c r="A15" s="31"/>
      <c r="B15" s="13" t="s">
        <v>713</v>
      </c>
      <c r="C15" s="14">
        <v>0.03</v>
      </c>
      <c r="D15" s="14">
        <v>0.04</v>
      </c>
      <c r="E15" s="14">
        <v>0.02</v>
      </c>
      <c r="F15" s="14">
        <v>0.02</v>
      </c>
      <c r="G15" s="14">
        <v>0.06</v>
      </c>
      <c r="H15" s="14">
        <v>0.03</v>
      </c>
      <c r="I15" s="14">
        <v>0.04</v>
      </c>
      <c r="J15" s="14">
        <v>0.05</v>
      </c>
      <c r="K15" s="14">
        <v>0.02</v>
      </c>
      <c r="L15" s="14">
        <v>0.02</v>
      </c>
      <c r="M15" s="14">
        <v>0.01</v>
      </c>
      <c r="N15" s="14">
        <v>0.03</v>
      </c>
      <c r="O15" s="14">
        <v>0.03</v>
      </c>
      <c r="P15" s="14">
        <v>0.02</v>
      </c>
      <c r="Q15" s="14">
        <v>0.02</v>
      </c>
      <c r="R15" s="14">
        <v>0.02</v>
      </c>
      <c r="S15" s="14">
        <v>0.01</v>
      </c>
      <c r="T15" s="14">
        <v>0.02</v>
      </c>
      <c r="U15" s="14">
        <v>0.05</v>
      </c>
      <c r="V15" s="14">
        <v>0.02</v>
      </c>
      <c r="W15" s="14">
        <v>0.04</v>
      </c>
      <c r="X15" s="14">
        <v>7.0000000000000007E-2</v>
      </c>
      <c r="Y15" s="14">
        <v>0.03</v>
      </c>
      <c r="Z15" s="14">
        <v>0.02</v>
      </c>
      <c r="AA15" s="14">
        <v>0.01</v>
      </c>
      <c r="AB15" s="14">
        <v>0.02</v>
      </c>
      <c r="AC15" s="14">
        <v>0.02</v>
      </c>
      <c r="AD15" s="14">
        <v>0.03</v>
      </c>
      <c r="AE15" s="14">
        <v>0.06</v>
      </c>
      <c r="AF15" s="14">
        <v>0.09</v>
      </c>
    </row>
    <row r="16" spans="1:32" x14ac:dyDescent="0.35">
      <c r="A16" s="31"/>
      <c r="B16" s="11" t="s">
        <v>714</v>
      </c>
      <c r="C16" s="12">
        <v>2301</v>
      </c>
      <c r="D16" s="12">
        <v>103</v>
      </c>
      <c r="E16" s="12">
        <v>66</v>
      </c>
      <c r="F16" s="12">
        <v>54</v>
      </c>
      <c r="G16" s="12">
        <v>150</v>
      </c>
      <c r="H16" s="12">
        <v>125</v>
      </c>
      <c r="I16" s="12">
        <v>153</v>
      </c>
      <c r="J16" s="12">
        <v>28</v>
      </c>
      <c r="K16" s="12">
        <v>57</v>
      </c>
      <c r="L16" s="12">
        <v>73</v>
      </c>
      <c r="M16" s="12">
        <v>76</v>
      </c>
      <c r="N16" s="12">
        <v>98</v>
      </c>
      <c r="O16" s="12">
        <v>119</v>
      </c>
      <c r="P16" s="12">
        <v>46</v>
      </c>
      <c r="Q16" s="12">
        <v>57</v>
      </c>
      <c r="R16" s="12">
        <v>13</v>
      </c>
      <c r="S16" s="12">
        <v>20</v>
      </c>
      <c r="T16" s="12">
        <v>43</v>
      </c>
      <c r="U16" s="12">
        <v>41</v>
      </c>
      <c r="V16" s="12">
        <v>82</v>
      </c>
      <c r="W16" s="12">
        <v>30</v>
      </c>
      <c r="X16" s="12">
        <v>130</v>
      </c>
      <c r="Y16" s="12">
        <v>93</v>
      </c>
      <c r="Z16" s="12">
        <v>44</v>
      </c>
      <c r="AA16" s="12">
        <v>74</v>
      </c>
      <c r="AB16" s="12">
        <v>46</v>
      </c>
      <c r="AC16" s="12">
        <v>65</v>
      </c>
      <c r="AD16" s="12">
        <v>77</v>
      </c>
      <c r="AE16" s="12">
        <v>96</v>
      </c>
      <c r="AF16" s="12">
        <v>176</v>
      </c>
    </row>
    <row r="17" spans="1:32" x14ac:dyDescent="0.35">
      <c r="A17" s="31"/>
      <c r="B17" s="13" t="s">
        <v>714</v>
      </c>
      <c r="C17" s="14">
        <v>0.09</v>
      </c>
      <c r="D17" s="14">
        <v>0.1</v>
      </c>
      <c r="E17" s="14">
        <v>0.06</v>
      </c>
      <c r="F17" s="14">
        <v>0.05</v>
      </c>
      <c r="G17" s="14">
        <v>0.15</v>
      </c>
      <c r="H17" s="14">
        <v>0.1</v>
      </c>
      <c r="I17" s="14">
        <v>0.1</v>
      </c>
      <c r="J17" s="14">
        <v>0.09</v>
      </c>
      <c r="K17" s="14">
        <v>0.06</v>
      </c>
      <c r="L17" s="14">
        <v>7.0000000000000007E-2</v>
      </c>
      <c r="M17" s="14">
        <v>0.08</v>
      </c>
      <c r="N17" s="14">
        <v>0.1</v>
      </c>
      <c r="O17" s="14">
        <v>0.12</v>
      </c>
      <c r="P17" s="14">
        <v>0.05</v>
      </c>
      <c r="Q17" s="14">
        <v>0.06</v>
      </c>
      <c r="R17" s="14">
        <v>0.03</v>
      </c>
      <c r="S17" s="14">
        <v>0.02</v>
      </c>
      <c r="T17" s="14">
        <v>0.04</v>
      </c>
      <c r="U17" s="14">
        <v>0.08</v>
      </c>
      <c r="V17" s="14">
        <v>0.08</v>
      </c>
      <c r="W17" s="14">
        <v>0.06</v>
      </c>
      <c r="X17" s="14">
        <v>0.13</v>
      </c>
      <c r="Y17" s="14">
        <v>0.09</v>
      </c>
      <c r="Z17" s="14">
        <v>0.04</v>
      </c>
      <c r="AA17" s="14">
        <v>7.0000000000000007E-2</v>
      </c>
      <c r="AB17" s="14">
        <v>0.04</v>
      </c>
      <c r="AC17" s="14">
        <v>0.06</v>
      </c>
      <c r="AD17" s="14">
        <v>0.08</v>
      </c>
      <c r="AE17" s="14">
        <v>0.09</v>
      </c>
      <c r="AF17" s="14">
        <v>0.17</v>
      </c>
    </row>
    <row r="18" spans="1:32" x14ac:dyDescent="0.35">
      <c r="A18" s="31"/>
      <c r="B18" s="11" t="s">
        <v>715</v>
      </c>
      <c r="C18" s="12">
        <v>3056</v>
      </c>
      <c r="D18" s="12">
        <v>119</v>
      </c>
      <c r="E18" s="12">
        <v>72</v>
      </c>
      <c r="F18" s="12">
        <v>110</v>
      </c>
      <c r="G18" s="12">
        <v>155</v>
      </c>
      <c r="H18" s="12">
        <v>173</v>
      </c>
      <c r="I18" s="12">
        <v>197</v>
      </c>
      <c r="J18" s="12">
        <v>24</v>
      </c>
      <c r="K18" s="12">
        <v>84</v>
      </c>
      <c r="L18" s="12">
        <v>106</v>
      </c>
      <c r="M18" s="12">
        <v>115</v>
      </c>
      <c r="N18" s="12">
        <v>140</v>
      </c>
      <c r="O18" s="12">
        <v>101</v>
      </c>
      <c r="P18" s="12">
        <v>113</v>
      </c>
      <c r="Q18" s="12">
        <v>118</v>
      </c>
      <c r="R18" s="12">
        <v>23</v>
      </c>
      <c r="S18" s="12">
        <v>46</v>
      </c>
      <c r="T18" s="12">
        <v>46</v>
      </c>
      <c r="U18" s="12">
        <v>60</v>
      </c>
      <c r="V18" s="12">
        <v>101</v>
      </c>
      <c r="W18" s="12">
        <v>46</v>
      </c>
      <c r="X18" s="12">
        <v>169</v>
      </c>
      <c r="Y18" s="12">
        <v>124</v>
      </c>
      <c r="Z18" s="12">
        <v>110</v>
      </c>
      <c r="AA18" s="12">
        <v>117</v>
      </c>
      <c r="AB18" s="12">
        <v>44</v>
      </c>
      <c r="AC18" s="12">
        <v>55</v>
      </c>
      <c r="AD18" s="12">
        <v>94</v>
      </c>
      <c r="AE18" s="12">
        <v>125</v>
      </c>
      <c r="AF18" s="12">
        <v>174</v>
      </c>
    </row>
    <row r="19" spans="1:32" x14ac:dyDescent="0.35">
      <c r="A19" s="31"/>
      <c r="B19" s="13" t="s">
        <v>715</v>
      </c>
      <c r="C19" s="14">
        <v>0.12</v>
      </c>
      <c r="D19" s="14">
        <v>0.12</v>
      </c>
      <c r="E19" s="14">
        <v>7.0000000000000007E-2</v>
      </c>
      <c r="F19" s="14">
        <v>0.11</v>
      </c>
      <c r="G19" s="14">
        <v>0.15</v>
      </c>
      <c r="H19" s="14">
        <v>0.14000000000000001</v>
      </c>
      <c r="I19" s="14">
        <v>0.13</v>
      </c>
      <c r="J19" s="14">
        <v>0.08</v>
      </c>
      <c r="K19" s="14">
        <v>0.08</v>
      </c>
      <c r="L19" s="14">
        <v>0.1</v>
      </c>
      <c r="M19" s="14">
        <v>0.11</v>
      </c>
      <c r="N19" s="14">
        <v>0.14000000000000001</v>
      </c>
      <c r="O19" s="14">
        <v>0.1</v>
      </c>
      <c r="P19" s="14">
        <v>0.11</v>
      </c>
      <c r="Q19" s="14">
        <v>0.11</v>
      </c>
      <c r="R19" s="14">
        <v>0.05</v>
      </c>
      <c r="S19" s="14">
        <v>0.04</v>
      </c>
      <c r="T19" s="14">
        <v>0.05</v>
      </c>
      <c r="U19" s="14">
        <v>0.12</v>
      </c>
      <c r="V19" s="14">
        <v>0.1</v>
      </c>
      <c r="W19" s="14">
        <v>0.09</v>
      </c>
      <c r="X19" s="14">
        <v>0.17</v>
      </c>
      <c r="Y19" s="14">
        <v>0.12</v>
      </c>
      <c r="Z19" s="14">
        <v>0.11</v>
      </c>
      <c r="AA19" s="14">
        <v>0.11</v>
      </c>
      <c r="AB19" s="14">
        <v>0.04</v>
      </c>
      <c r="AC19" s="14">
        <v>0.06</v>
      </c>
      <c r="AD19" s="14">
        <v>0.09</v>
      </c>
      <c r="AE19" s="14">
        <v>0.12</v>
      </c>
      <c r="AF19" s="14">
        <v>0.17</v>
      </c>
    </row>
    <row r="20" spans="1:32" x14ac:dyDescent="0.35">
      <c r="A20" s="31"/>
      <c r="B20" s="11" t="s">
        <v>716</v>
      </c>
      <c r="C20" s="12">
        <v>6225</v>
      </c>
      <c r="D20" s="12">
        <v>260</v>
      </c>
      <c r="E20" s="12">
        <v>155</v>
      </c>
      <c r="F20" s="12">
        <v>278</v>
      </c>
      <c r="G20" s="12">
        <v>164</v>
      </c>
      <c r="H20" s="12">
        <v>385</v>
      </c>
      <c r="I20" s="12">
        <v>463</v>
      </c>
      <c r="J20" s="12">
        <v>78</v>
      </c>
      <c r="K20" s="12">
        <v>239</v>
      </c>
      <c r="L20" s="12">
        <v>453</v>
      </c>
      <c r="M20" s="12">
        <v>261</v>
      </c>
      <c r="N20" s="12">
        <v>289</v>
      </c>
      <c r="O20" s="12">
        <v>221</v>
      </c>
      <c r="P20" s="12">
        <v>200</v>
      </c>
      <c r="Q20" s="12">
        <v>188</v>
      </c>
      <c r="R20" s="12">
        <v>116</v>
      </c>
      <c r="S20" s="12">
        <v>225</v>
      </c>
      <c r="T20" s="12">
        <v>232</v>
      </c>
      <c r="U20" s="12">
        <v>197</v>
      </c>
      <c r="V20" s="12">
        <v>252</v>
      </c>
      <c r="W20" s="12">
        <v>89</v>
      </c>
      <c r="X20" s="12">
        <v>187</v>
      </c>
      <c r="Y20" s="12">
        <v>214</v>
      </c>
      <c r="Z20" s="12">
        <v>240</v>
      </c>
      <c r="AA20" s="12">
        <v>221</v>
      </c>
      <c r="AB20" s="12">
        <v>133</v>
      </c>
      <c r="AC20" s="12">
        <v>309</v>
      </c>
      <c r="AD20" s="12">
        <v>219</v>
      </c>
      <c r="AE20" s="12">
        <v>177</v>
      </c>
      <c r="AF20" s="12">
        <v>113</v>
      </c>
    </row>
    <row r="21" spans="1:32" x14ac:dyDescent="0.35">
      <c r="A21" s="31"/>
      <c r="B21" s="13" t="s">
        <v>716</v>
      </c>
      <c r="C21" s="14">
        <v>0.23</v>
      </c>
      <c r="D21" s="14">
        <v>0.25</v>
      </c>
      <c r="E21" s="14">
        <v>0.15</v>
      </c>
      <c r="F21" s="14">
        <v>0.27</v>
      </c>
      <c r="G21" s="14">
        <v>0.16</v>
      </c>
      <c r="H21" s="14">
        <v>0.31</v>
      </c>
      <c r="I21" s="14">
        <v>0.3</v>
      </c>
      <c r="J21" s="14">
        <v>0.26</v>
      </c>
      <c r="K21" s="14">
        <v>0.24</v>
      </c>
      <c r="L21" s="14">
        <v>0.45</v>
      </c>
      <c r="M21" s="14">
        <v>0.26</v>
      </c>
      <c r="N21" s="14">
        <v>0.28999999999999998</v>
      </c>
      <c r="O21" s="14">
        <v>0.22</v>
      </c>
      <c r="P21" s="14">
        <v>0.2</v>
      </c>
      <c r="Q21" s="14">
        <v>0.18</v>
      </c>
      <c r="R21" s="14">
        <v>0.23</v>
      </c>
      <c r="S21" s="14">
        <v>0.22</v>
      </c>
      <c r="T21" s="14">
        <v>0.23</v>
      </c>
      <c r="U21" s="14">
        <v>0.39</v>
      </c>
      <c r="V21" s="14">
        <v>0.25</v>
      </c>
      <c r="W21" s="14">
        <v>0.18</v>
      </c>
      <c r="X21" s="14">
        <v>0.18</v>
      </c>
      <c r="Y21" s="14">
        <v>0.21</v>
      </c>
      <c r="Z21" s="14">
        <v>0.24</v>
      </c>
      <c r="AA21" s="14">
        <v>0.22</v>
      </c>
      <c r="AB21" s="14">
        <v>0.13</v>
      </c>
      <c r="AC21" s="14">
        <v>0.31</v>
      </c>
      <c r="AD21" s="14">
        <v>0.22</v>
      </c>
      <c r="AE21" s="14">
        <v>0.18</v>
      </c>
      <c r="AF21" s="14">
        <v>0.11</v>
      </c>
    </row>
    <row r="22" spans="1:32" x14ac:dyDescent="0.35">
      <c r="A22" s="31"/>
      <c r="B22" s="11" t="s">
        <v>717</v>
      </c>
      <c r="C22" s="12">
        <v>3635</v>
      </c>
      <c r="D22" s="12">
        <v>169</v>
      </c>
      <c r="E22" s="12">
        <v>121</v>
      </c>
      <c r="F22" s="12">
        <v>188</v>
      </c>
      <c r="G22" s="12">
        <v>137</v>
      </c>
      <c r="H22" s="12">
        <v>204</v>
      </c>
      <c r="I22" s="12">
        <v>265</v>
      </c>
      <c r="J22" s="12">
        <v>61</v>
      </c>
      <c r="K22" s="12">
        <v>120</v>
      </c>
      <c r="L22" s="12">
        <v>136</v>
      </c>
      <c r="M22" s="12">
        <v>80</v>
      </c>
      <c r="N22" s="12">
        <v>103</v>
      </c>
      <c r="O22" s="12">
        <v>87</v>
      </c>
      <c r="P22" s="12">
        <v>156</v>
      </c>
      <c r="Q22" s="12">
        <v>168</v>
      </c>
      <c r="R22" s="12">
        <v>45</v>
      </c>
      <c r="S22" s="12">
        <v>170</v>
      </c>
      <c r="T22" s="12">
        <v>100</v>
      </c>
      <c r="U22" s="12">
        <v>56</v>
      </c>
      <c r="V22" s="12">
        <v>176</v>
      </c>
      <c r="W22" s="12">
        <v>43</v>
      </c>
      <c r="X22" s="12">
        <v>163</v>
      </c>
      <c r="Y22" s="12">
        <v>140</v>
      </c>
      <c r="Z22" s="12">
        <v>161</v>
      </c>
      <c r="AA22" s="12">
        <v>105</v>
      </c>
      <c r="AB22" s="12">
        <v>154</v>
      </c>
      <c r="AC22" s="12">
        <v>64</v>
      </c>
      <c r="AD22" s="12">
        <v>140</v>
      </c>
      <c r="AE22" s="12">
        <v>140</v>
      </c>
      <c r="AF22" s="12">
        <v>100</v>
      </c>
    </row>
    <row r="23" spans="1:32" x14ac:dyDescent="0.35">
      <c r="A23" s="31"/>
      <c r="B23" s="13" t="s">
        <v>717</v>
      </c>
      <c r="C23" s="14">
        <v>0.14000000000000001</v>
      </c>
      <c r="D23" s="14">
        <v>0.16</v>
      </c>
      <c r="E23" s="14">
        <v>0.12</v>
      </c>
      <c r="F23" s="14">
        <v>0.19</v>
      </c>
      <c r="G23" s="14">
        <v>0.13</v>
      </c>
      <c r="H23" s="14">
        <v>0.17</v>
      </c>
      <c r="I23" s="14">
        <v>0.17</v>
      </c>
      <c r="J23" s="14">
        <v>0.21</v>
      </c>
      <c r="K23" s="14">
        <v>0.12</v>
      </c>
      <c r="L23" s="14">
        <v>0.14000000000000001</v>
      </c>
      <c r="M23" s="14">
        <v>0.08</v>
      </c>
      <c r="N23" s="14">
        <v>0.1</v>
      </c>
      <c r="O23" s="14">
        <v>0.09</v>
      </c>
      <c r="P23" s="14">
        <v>0.15</v>
      </c>
      <c r="Q23" s="14">
        <v>0.16</v>
      </c>
      <c r="R23" s="14">
        <v>0.09</v>
      </c>
      <c r="S23" s="14">
        <v>0.17</v>
      </c>
      <c r="T23" s="14">
        <v>0.1</v>
      </c>
      <c r="U23" s="14">
        <v>0.11</v>
      </c>
      <c r="V23" s="14">
        <v>0.17</v>
      </c>
      <c r="W23" s="14">
        <v>0.09</v>
      </c>
      <c r="X23" s="14">
        <v>0.16</v>
      </c>
      <c r="Y23" s="14">
        <v>0.14000000000000001</v>
      </c>
      <c r="Z23" s="14">
        <v>0.16</v>
      </c>
      <c r="AA23" s="14">
        <v>0.1</v>
      </c>
      <c r="AB23" s="14">
        <v>0.15</v>
      </c>
      <c r="AC23" s="14">
        <v>0.06</v>
      </c>
      <c r="AD23" s="14">
        <v>0.14000000000000001</v>
      </c>
      <c r="AE23" s="14">
        <v>0.14000000000000001</v>
      </c>
      <c r="AF23" s="14">
        <v>0.1</v>
      </c>
    </row>
    <row r="24" spans="1:32" x14ac:dyDescent="0.35">
      <c r="A24" s="31"/>
      <c r="B24" s="11" t="s">
        <v>718</v>
      </c>
      <c r="C24" s="12">
        <v>3043</v>
      </c>
      <c r="D24" s="12">
        <v>147</v>
      </c>
      <c r="E24" s="12">
        <v>143</v>
      </c>
      <c r="F24" s="12">
        <v>113</v>
      </c>
      <c r="G24" s="12">
        <v>141</v>
      </c>
      <c r="H24" s="12">
        <v>132</v>
      </c>
      <c r="I24" s="12">
        <v>168</v>
      </c>
      <c r="J24" s="12">
        <v>36</v>
      </c>
      <c r="K24" s="12">
        <v>121</v>
      </c>
      <c r="L24" s="12">
        <v>86</v>
      </c>
      <c r="M24" s="12">
        <v>142</v>
      </c>
      <c r="N24" s="12">
        <v>81</v>
      </c>
      <c r="O24" s="12">
        <v>84</v>
      </c>
      <c r="P24" s="12">
        <v>99</v>
      </c>
      <c r="Q24" s="12">
        <v>130</v>
      </c>
      <c r="R24" s="12">
        <v>38</v>
      </c>
      <c r="S24" s="12">
        <v>134</v>
      </c>
      <c r="T24" s="12">
        <v>59</v>
      </c>
      <c r="U24" s="12">
        <v>40</v>
      </c>
      <c r="V24" s="12">
        <v>143</v>
      </c>
      <c r="W24" s="12">
        <v>45</v>
      </c>
      <c r="X24" s="12">
        <v>137</v>
      </c>
      <c r="Y24" s="12">
        <v>118</v>
      </c>
      <c r="Z24" s="12">
        <v>143</v>
      </c>
      <c r="AA24" s="12">
        <v>196</v>
      </c>
      <c r="AB24" s="12">
        <v>142</v>
      </c>
      <c r="AC24" s="12">
        <v>75</v>
      </c>
      <c r="AD24" s="12">
        <v>153</v>
      </c>
      <c r="AE24" s="12">
        <v>119</v>
      </c>
      <c r="AF24" s="12">
        <v>151</v>
      </c>
    </row>
    <row r="25" spans="1:32" x14ac:dyDescent="0.35">
      <c r="A25" s="31"/>
      <c r="B25" s="13" t="s">
        <v>718</v>
      </c>
      <c r="C25" s="14">
        <v>0.11</v>
      </c>
      <c r="D25" s="14">
        <v>0.14000000000000001</v>
      </c>
      <c r="E25" s="14">
        <v>0.14000000000000001</v>
      </c>
      <c r="F25" s="14">
        <v>0.11</v>
      </c>
      <c r="G25" s="14">
        <v>0.14000000000000001</v>
      </c>
      <c r="H25" s="14">
        <v>0.11</v>
      </c>
      <c r="I25" s="14">
        <v>0.11</v>
      </c>
      <c r="J25" s="14">
        <v>0.12</v>
      </c>
      <c r="K25" s="14">
        <v>0.12</v>
      </c>
      <c r="L25" s="14">
        <v>0.09</v>
      </c>
      <c r="M25" s="14">
        <v>0.14000000000000001</v>
      </c>
      <c r="N25" s="14">
        <v>0.08</v>
      </c>
      <c r="O25" s="14">
        <v>0.08</v>
      </c>
      <c r="P25" s="14">
        <v>0.1</v>
      </c>
      <c r="Q25" s="14">
        <v>0.13</v>
      </c>
      <c r="R25" s="14">
        <v>0.08</v>
      </c>
      <c r="S25" s="14">
        <v>0.13</v>
      </c>
      <c r="T25" s="14">
        <v>0.06</v>
      </c>
      <c r="U25" s="14">
        <v>0.08</v>
      </c>
      <c r="V25" s="14">
        <v>0.14000000000000001</v>
      </c>
      <c r="W25" s="14">
        <v>0.09</v>
      </c>
      <c r="X25" s="14">
        <v>0.13</v>
      </c>
      <c r="Y25" s="14">
        <v>0.12</v>
      </c>
      <c r="Z25" s="14">
        <v>0.14000000000000001</v>
      </c>
      <c r="AA25" s="14">
        <v>0.19</v>
      </c>
      <c r="AB25" s="14">
        <v>0.13</v>
      </c>
      <c r="AC25" s="14">
        <v>7.0000000000000007E-2</v>
      </c>
      <c r="AD25" s="14">
        <v>0.15</v>
      </c>
      <c r="AE25" s="14">
        <v>0.12</v>
      </c>
      <c r="AF25" s="14">
        <v>0.15</v>
      </c>
    </row>
    <row r="26" spans="1:32" x14ac:dyDescent="0.35">
      <c r="A26" s="31"/>
      <c r="B26" s="11" t="s">
        <v>719</v>
      </c>
      <c r="C26" s="12">
        <v>2081</v>
      </c>
      <c r="D26" s="12">
        <v>109</v>
      </c>
      <c r="E26" s="12">
        <v>115</v>
      </c>
      <c r="F26" s="12">
        <v>113</v>
      </c>
      <c r="G26" s="12">
        <v>88</v>
      </c>
      <c r="H26" s="12">
        <v>54</v>
      </c>
      <c r="I26" s="12">
        <v>72</v>
      </c>
      <c r="J26" s="12">
        <v>19</v>
      </c>
      <c r="K26" s="12">
        <v>77</v>
      </c>
      <c r="L26" s="12">
        <v>37</v>
      </c>
      <c r="M26" s="12">
        <v>60</v>
      </c>
      <c r="N26" s="12">
        <v>47</v>
      </c>
      <c r="O26" s="12">
        <v>51</v>
      </c>
      <c r="P26" s="12">
        <v>104</v>
      </c>
      <c r="Q26" s="12">
        <v>111</v>
      </c>
      <c r="R26" s="12">
        <v>31</v>
      </c>
      <c r="S26" s="12">
        <v>71</v>
      </c>
      <c r="T26" s="12">
        <v>56</v>
      </c>
      <c r="U26" s="12">
        <v>18</v>
      </c>
      <c r="V26" s="12">
        <v>77</v>
      </c>
      <c r="W26" s="12">
        <v>58</v>
      </c>
      <c r="X26" s="12">
        <v>71</v>
      </c>
      <c r="Y26" s="12">
        <v>92</v>
      </c>
      <c r="Z26" s="12">
        <v>110</v>
      </c>
      <c r="AA26" s="12">
        <v>143</v>
      </c>
      <c r="AB26" s="12">
        <v>174</v>
      </c>
      <c r="AC26" s="12">
        <v>65</v>
      </c>
      <c r="AD26" s="12">
        <v>113</v>
      </c>
      <c r="AE26" s="12">
        <v>120</v>
      </c>
      <c r="AF26" s="12">
        <v>109</v>
      </c>
    </row>
    <row r="27" spans="1:32" x14ac:dyDescent="0.35">
      <c r="A27" s="31"/>
      <c r="B27" s="13" t="s">
        <v>719</v>
      </c>
      <c r="C27" s="14">
        <v>0.08</v>
      </c>
      <c r="D27" s="14">
        <v>0.11</v>
      </c>
      <c r="E27" s="14">
        <v>0.11</v>
      </c>
      <c r="F27" s="14">
        <v>0.11</v>
      </c>
      <c r="G27" s="14">
        <v>0.09</v>
      </c>
      <c r="H27" s="14">
        <v>0.04</v>
      </c>
      <c r="I27" s="14">
        <v>0.05</v>
      </c>
      <c r="J27" s="14">
        <v>0.06</v>
      </c>
      <c r="K27" s="14">
        <v>0.08</v>
      </c>
      <c r="L27" s="14">
        <v>0.04</v>
      </c>
      <c r="M27" s="14">
        <v>0.06</v>
      </c>
      <c r="N27" s="14">
        <v>0.05</v>
      </c>
      <c r="O27" s="14">
        <v>0.05</v>
      </c>
      <c r="P27" s="14">
        <v>0.1</v>
      </c>
      <c r="Q27" s="14">
        <v>0.11</v>
      </c>
      <c r="R27" s="14">
        <v>0.06</v>
      </c>
      <c r="S27" s="14">
        <v>7.0000000000000007E-2</v>
      </c>
      <c r="T27" s="14">
        <v>0.05</v>
      </c>
      <c r="U27" s="14">
        <v>0.04</v>
      </c>
      <c r="V27" s="14">
        <v>0.08</v>
      </c>
      <c r="W27" s="14">
        <v>0.12</v>
      </c>
      <c r="X27" s="14">
        <v>7.0000000000000007E-2</v>
      </c>
      <c r="Y27" s="14">
        <v>0.09</v>
      </c>
      <c r="Z27" s="14">
        <v>0.11</v>
      </c>
      <c r="AA27" s="14">
        <v>0.14000000000000001</v>
      </c>
      <c r="AB27" s="14">
        <v>0.16</v>
      </c>
      <c r="AC27" s="14">
        <v>7.0000000000000007E-2</v>
      </c>
      <c r="AD27" s="14">
        <v>0.11</v>
      </c>
      <c r="AE27" s="14">
        <v>0.12</v>
      </c>
      <c r="AF27" s="14">
        <v>0.11</v>
      </c>
    </row>
    <row r="28" spans="1:32" x14ac:dyDescent="0.35">
      <c r="A28" s="31"/>
      <c r="B28" s="11" t="s">
        <v>720</v>
      </c>
      <c r="C28" s="12">
        <v>681</v>
      </c>
      <c r="D28" s="12">
        <v>18</v>
      </c>
      <c r="E28" s="12">
        <v>40</v>
      </c>
      <c r="F28" s="12">
        <v>42</v>
      </c>
      <c r="G28" s="12">
        <v>27</v>
      </c>
      <c r="H28" s="12">
        <v>19</v>
      </c>
      <c r="I28" s="12">
        <v>24</v>
      </c>
      <c r="J28" s="12">
        <v>5</v>
      </c>
      <c r="K28" s="12">
        <v>31</v>
      </c>
      <c r="L28" s="12">
        <v>5</v>
      </c>
      <c r="M28" s="12">
        <v>6</v>
      </c>
      <c r="N28" s="12">
        <v>6</v>
      </c>
      <c r="O28" s="12">
        <v>29</v>
      </c>
      <c r="P28" s="12">
        <v>24</v>
      </c>
      <c r="Q28" s="12">
        <v>31</v>
      </c>
      <c r="R28" s="12">
        <v>9</v>
      </c>
      <c r="S28" s="12">
        <v>32</v>
      </c>
      <c r="T28" s="12">
        <v>24</v>
      </c>
      <c r="U28" s="12">
        <v>4</v>
      </c>
      <c r="V28" s="12">
        <v>28</v>
      </c>
      <c r="W28" s="12">
        <v>27</v>
      </c>
      <c r="X28" s="12">
        <v>13</v>
      </c>
      <c r="Y28" s="12">
        <v>18</v>
      </c>
      <c r="Z28" s="12">
        <v>51</v>
      </c>
      <c r="AA28" s="12">
        <v>22</v>
      </c>
      <c r="AB28" s="12">
        <v>73</v>
      </c>
      <c r="AC28" s="12">
        <v>19</v>
      </c>
      <c r="AD28" s="12">
        <v>50</v>
      </c>
      <c r="AE28" s="12">
        <v>35</v>
      </c>
      <c r="AF28" s="12">
        <v>23</v>
      </c>
    </row>
    <row r="29" spans="1:32" x14ac:dyDescent="0.35">
      <c r="A29" s="31"/>
      <c r="B29" s="13" t="s">
        <v>720</v>
      </c>
      <c r="C29" s="14">
        <v>0.03</v>
      </c>
      <c r="D29" s="14">
        <v>0.02</v>
      </c>
      <c r="E29" s="14">
        <v>0.04</v>
      </c>
      <c r="F29" s="14">
        <v>0.04</v>
      </c>
      <c r="G29" s="14">
        <v>0.03</v>
      </c>
      <c r="H29" s="14">
        <v>0.02</v>
      </c>
      <c r="I29" s="14">
        <v>0.02</v>
      </c>
      <c r="J29" s="14">
        <v>0.02</v>
      </c>
      <c r="K29" s="14">
        <v>0.03</v>
      </c>
      <c r="L29" s="15" t="s">
        <v>333</v>
      </c>
      <c r="M29" s="14">
        <v>0.01</v>
      </c>
      <c r="N29" s="14">
        <v>0.01</v>
      </c>
      <c r="O29" s="14">
        <v>0.03</v>
      </c>
      <c r="P29" s="14">
        <v>0.02</v>
      </c>
      <c r="Q29" s="14">
        <v>0.03</v>
      </c>
      <c r="R29" s="14">
        <v>0.02</v>
      </c>
      <c r="S29" s="14">
        <v>0.03</v>
      </c>
      <c r="T29" s="14">
        <v>0.02</v>
      </c>
      <c r="U29" s="14">
        <v>0.01</v>
      </c>
      <c r="V29" s="14">
        <v>0.03</v>
      </c>
      <c r="W29" s="14">
        <v>0.05</v>
      </c>
      <c r="X29" s="14">
        <v>0.01</v>
      </c>
      <c r="Y29" s="14">
        <v>0.02</v>
      </c>
      <c r="Z29" s="14">
        <v>0.05</v>
      </c>
      <c r="AA29" s="14">
        <v>0.02</v>
      </c>
      <c r="AB29" s="14">
        <v>7.0000000000000007E-2</v>
      </c>
      <c r="AC29" s="14">
        <v>0.02</v>
      </c>
      <c r="AD29" s="14">
        <v>0.05</v>
      </c>
      <c r="AE29" s="14">
        <v>0.04</v>
      </c>
      <c r="AF29" s="14">
        <v>0.02</v>
      </c>
    </row>
    <row r="30" spans="1:32" x14ac:dyDescent="0.35">
      <c r="A30" s="31"/>
      <c r="B30" s="11" t="s">
        <v>1325</v>
      </c>
      <c r="C30" s="12">
        <v>965</v>
      </c>
      <c r="D30" s="12">
        <v>25</v>
      </c>
      <c r="E30" s="12">
        <v>83</v>
      </c>
      <c r="F30" s="12">
        <v>30</v>
      </c>
      <c r="G30" s="12">
        <v>20</v>
      </c>
      <c r="H30" s="12">
        <v>30</v>
      </c>
      <c r="I30" s="12">
        <v>35</v>
      </c>
      <c r="J30" s="12">
        <v>5</v>
      </c>
      <c r="K30" s="12">
        <v>39</v>
      </c>
      <c r="L30" s="12">
        <v>9</v>
      </c>
      <c r="M30" s="12">
        <v>11</v>
      </c>
      <c r="N30" s="12">
        <v>23</v>
      </c>
      <c r="O30" s="12">
        <v>59</v>
      </c>
      <c r="P30" s="12">
        <v>112</v>
      </c>
      <c r="Q30" s="12">
        <v>35</v>
      </c>
      <c r="R30" s="12">
        <v>37</v>
      </c>
      <c r="S30" s="12">
        <v>27</v>
      </c>
      <c r="T30" s="12">
        <v>33</v>
      </c>
      <c r="U30" s="12">
        <v>8</v>
      </c>
      <c r="V30" s="12">
        <v>55</v>
      </c>
      <c r="W30" s="12">
        <v>19</v>
      </c>
      <c r="X30" s="12">
        <v>16</v>
      </c>
      <c r="Y30" s="12">
        <v>18</v>
      </c>
      <c r="Z30" s="12">
        <v>63</v>
      </c>
      <c r="AA30" s="12">
        <v>13</v>
      </c>
      <c r="AB30" s="12">
        <v>64</v>
      </c>
      <c r="AC30" s="12">
        <v>77</v>
      </c>
      <c r="AD30" s="12">
        <v>28</v>
      </c>
      <c r="AE30" s="12">
        <v>42</v>
      </c>
      <c r="AF30" s="12">
        <v>19</v>
      </c>
    </row>
    <row r="31" spans="1:32" x14ac:dyDescent="0.35">
      <c r="A31" s="31"/>
      <c r="B31" s="13" t="s">
        <v>1326</v>
      </c>
      <c r="C31" s="14">
        <v>0.04</v>
      </c>
      <c r="D31" s="14">
        <v>0.02</v>
      </c>
      <c r="E31" s="14">
        <v>0.08</v>
      </c>
      <c r="F31" s="14">
        <v>0.03</v>
      </c>
      <c r="G31" s="14">
        <v>0.02</v>
      </c>
      <c r="H31" s="14">
        <v>0.02</v>
      </c>
      <c r="I31" s="14">
        <v>0.02</v>
      </c>
      <c r="J31" s="14">
        <v>0.02</v>
      </c>
      <c r="K31" s="14">
        <v>0.04</v>
      </c>
      <c r="L31" s="14">
        <v>0.01</v>
      </c>
      <c r="M31" s="14">
        <v>0.01</v>
      </c>
      <c r="N31" s="14">
        <v>0.02</v>
      </c>
      <c r="O31" s="14">
        <v>0.06</v>
      </c>
      <c r="P31" s="14">
        <v>0.11</v>
      </c>
      <c r="Q31" s="14">
        <v>0.03</v>
      </c>
      <c r="R31" s="14">
        <v>7.0000000000000007E-2</v>
      </c>
      <c r="S31" s="14">
        <v>0.03</v>
      </c>
      <c r="T31" s="14">
        <v>0.03</v>
      </c>
      <c r="U31" s="14">
        <v>0.01</v>
      </c>
      <c r="V31" s="14">
        <v>0.05</v>
      </c>
      <c r="W31" s="14">
        <v>0.04</v>
      </c>
      <c r="X31" s="14">
        <v>0.02</v>
      </c>
      <c r="Y31" s="14">
        <v>0.02</v>
      </c>
      <c r="Z31" s="14">
        <v>0.06</v>
      </c>
      <c r="AA31" s="14">
        <v>0.01</v>
      </c>
      <c r="AB31" s="14">
        <v>0.06</v>
      </c>
      <c r="AC31" s="14">
        <v>0.08</v>
      </c>
      <c r="AD31" s="14">
        <v>0.03</v>
      </c>
      <c r="AE31" s="14">
        <v>0.04</v>
      </c>
      <c r="AF31" s="14">
        <v>0.02</v>
      </c>
    </row>
    <row r="32" spans="1:32" x14ac:dyDescent="0.35">
      <c r="A32" s="31"/>
      <c r="B32" s="11" t="s">
        <v>1110</v>
      </c>
      <c r="C32" s="12">
        <v>1272</v>
      </c>
      <c r="D32" s="12">
        <v>2</v>
      </c>
      <c r="E32" s="12">
        <v>80</v>
      </c>
      <c r="F32" s="12">
        <v>18</v>
      </c>
      <c r="G32" s="12">
        <v>11</v>
      </c>
      <c r="H32" s="12">
        <v>25</v>
      </c>
      <c r="I32" s="12">
        <v>34</v>
      </c>
      <c r="J32" s="12">
        <v>9</v>
      </c>
      <c r="K32" s="12">
        <v>62</v>
      </c>
      <c r="L32" s="12">
        <v>6</v>
      </c>
      <c r="M32" s="12">
        <v>114</v>
      </c>
      <c r="N32" s="12">
        <v>70</v>
      </c>
      <c r="O32" s="12">
        <v>57</v>
      </c>
      <c r="P32" s="12">
        <v>32</v>
      </c>
      <c r="Q32" s="12">
        <v>103</v>
      </c>
      <c r="R32" s="12">
        <v>107</v>
      </c>
      <c r="S32" s="12">
        <v>23</v>
      </c>
      <c r="T32" s="12">
        <v>57</v>
      </c>
      <c r="U32" s="12">
        <v>12</v>
      </c>
      <c r="V32" s="12">
        <v>41</v>
      </c>
      <c r="W32" s="12">
        <v>25</v>
      </c>
      <c r="X32" s="12">
        <v>4</v>
      </c>
      <c r="Y32" s="12">
        <v>78</v>
      </c>
      <c r="Z32" s="12">
        <v>15</v>
      </c>
      <c r="AA32" s="12">
        <v>61</v>
      </c>
      <c r="AB32" s="12">
        <v>49</v>
      </c>
      <c r="AC32" s="12">
        <v>133</v>
      </c>
      <c r="AD32" s="12">
        <v>26</v>
      </c>
      <c r="AE32" s="12">
        <v>15</v>
      </c>
      <c r="AF32" s="12">
        <v>6</v>
      </c>
    </row>
    <row r="33" spans="1:32" x14ac:dyDescent="0.35">
      <c r="A33" s="31"/>
      <c r="B33" s="13" t="s">
        <v>1111</v>
      </c>
      <c r="C33" s="14">
        <v>0.05</v>
      </c>
      <c r="D33" s="15" t="s">
        <v>333</v>
      </c>
      <c r="E33" s="14">
        <v>0.08</v>
      </c>
      <c r="F33" s="14">
        <v>0.02</v>
      </c>
      <c r="G33" s="14">
        <v>0.01</v>
      </c>
      <c r="H33" s="14">
        <v>0.02</v>
      </c>
      <c r="I33" s="14">
        <v>0.02</v>
      </c>
      <c r="J33" s="14">
        <v>0.03</v>
      </c>
      <c r="K33" s="14">
        <v>0.06</v>
      </c>
      <c r="L33" s="14">
        <v>0.01</v>
      </c>
      <c r="M33" s="14">
        <v>0.11</v>
      </c>
      <c r="N33" s="14">
        <v>7.0000000000000007E-2</v>
      </c>
      <c r="O33" s="14">
        <v>0.06</v>
      </c>
      <c r="P33" s="14">
        <v>0.03</v>
      </c>
      <c r="Q33" s="14">
        <v>0.1</v>
      </c>
      <c r="R33" s="14">
        <v>0.21</v>
      </c>
      <c r="S33" s="14">
        <v>0.02</v>
      </c>
      <c r="T33" s="14">
        <v>0.06</v>
      </c>
      <c r="U33" s="14">
        <v>0.02</v>
      </c>
      <c r="V33" s="14">
        <v>0.04</v>
      </c>
      <c r="W33" s="14">
        <v>0.05</v>
      </c>
      <c r="X33" s="15" t="s">
        <v>333</v>
      </c>
      <c r="Y33" s="14">
        <v>0.08</v>
      </c>
      <c r="Z33" s="14">
        <v>0.01</v>
      </c>
      <c r="AA33" s="14">
        <v>0.06</v>
      </c>
      <c r="AB33" s="14">
        <v>0.05</v>
      </c>
      <c r="AC33" s="14">
        <v>0.13</v>
      </c>
      <c r="AD33" s="14">
        <v>0.02</v>
      </c>
      <c r="AE33" s="14">
        <v>0.01</v>
      </c>
      <c r="AF33" s="14">
        <v>0.01</v>
      </c>
    </row>
    <row r="34" spans="1:32" x14ac:dyDescent="0.35">
      <c r="A34" s="31"/>
      <c r="B34" s="11" t="s">
        <v>344</v>
      </c>
      <c r="C34" s="12">
        <v>1415</v>
      </c>
      <c r="D34" s="12">
        <v>9</v>
      </c>
      <c r="E34" s="12">
        <v>84</v>
      </c>
      <c r="F34" s="12">
        <v>20</v>
      </c>
      <c r="G34" s="12">
        <v>17</v>
      </c>
      <c r="H34" s="12">
        <v>18</v>
      </c>
      <c r="I34" s="12">
        <v>21</v>
      </c>
      <c r="J34" s="12">
        <v>4</v>
      </c>
      <c r="K34" s="12">
        <v>120</v>
      </c>
      <c r="L34" s="12">
        <v>60</v>
      </c>
      <c r="M34" s="12">
        <v>108</v>
      </c>
      <c r="N34" s="12">
        <v>66</v>
      </c>
      <c r="O34" s="12">
        <v>124</v>
      </c>
      <c r="P34" s="12">
        <v>37</v>
      </c>
      <c r="Q34" s="12">
        <v>43</v>
      </c>
      <c r="R34" s="12">
        <v>47</v>
      </c>
      <c r="S34" s="12">
        <v>256</v>
      </c>
      <c r="T34" s="12">
        <v>315</v>
      </c>
      <c r="U34" s="12">
        <v>40</v>
      </c>
      <c r="V34" s="12">
        <v>22</v>
      </c>
      <c r="W34" s="12">
        <v>52</v>
      </c>
      <c r="X34" s="12">
        <v>8</v>
      </c>
      <c r="Y34" s="12">
        <v>36</v>
      </c>
      <c r="Z34" s="12">
        <v>29</v>
      </c>
      <c r="AA34" s="12">
        <v>63</v>
      </c>
      <c r="AB34" s="12">
        <v>84</v>
      </c>
      <c r="AC34" s="12">
        <v>75</v>
      </c>
      <c r="AD34" s="12">
        <v>39</v>
      </c>
      <c r="AE34" s="12">
        <v>52</v>
      </c>
      <c r="AF34" s="12">
        <v>15</v>
      </c>
    </row>
    <row r="35" spans="1:32" x14ac:dyDescent="0.35">
      <c r="A35" s="31"/>
      <c r="B35" s="13" t="s">
        <v>357</v>
      </c>
      <c r="C35" s="14">
        <v>0.05</v>
      </c>
      <c r="D35" s="14">
        <v>0.01</v>
      </c>
      <c r="E35" s="14">
        <v>0.08</v>
      </c>
      <c r="F35" s="14">
        <v>0.02</v>
      </c>
      <c r="G35" s="14">
        <v>0.02</v>
      </c>
      <c r="H35" s="14">
        <v>0.02</v>
      </c>
      <c r="I35" s="14">
        <v>0.01</v>
      </c>
      <c r="J35" s="14">
        <v>0.01</v>
      </c>
      <c r="K35" s="14">
        <v>0.12</v>
      </c>
      <c r="L35" s="14">
        <v>0.06</v>
      </c>
      <c r="M35" s="14">
        <v>0.11</v>
      </c>
      <c r="N35" s="14">
        <v>7.0000000000000007E-2</v>
      </c>
      <c r="O35" s="14">
        <v>0.12</v>
      </c>
      <c r="P35" s="14">
        <v>0.04</v>
      </c>
      <c r="Q35" s="14">
        <v>0.04</v>
      </c>
      <c r="R35" s="14">
        <v>0.09</v>
      </c>
      <c r="S35" s="14">
        <v>0.25</v>
      </c>
      <c r="T35" s="14">
        <v>0.31</v>
      </c>
      <c r="U35" s="14">
        <v>0.08</v>
      </c>
      <c r="V35" s="14">
        <v>0.02</v>
      </c>
      <c r="W35" s="14">
        <v>0.1</v>
      </c>
      <c r="X35" s="14">
        <v>0.01</v>
      </c>
      <c r="Y35" s="14">
        <v>0.04</v>
      </c>
      <c r="Z35" s="14">
        <v>0.03</v>
      </c>
      <c r="AA35" s="14">
        <v>0.06</v>
      </c>
      <c r="AB35" s="14">
        <v>0.08</v>
      </c>
      <c r="AC35" s="14">
        <v>7.0000000000000007E-2</v>
      </c>
      <c r="AD35" s="14">
        <v>0.04</v>
      </c>
      <c r="AE35" s="14">
        <v>0.05</v>
      </c>
      <c r="AF35" s="14">
        <v>0.01</v>
      </c>
    </row>
    <row r="36" spans="1:32" x14ac:dyDescent="0.35">
      <c r="A36" s="31"/>
      <c r="B36" s="11" t="s">
        <v>727</v>
      </c>
      <c r="C36" s="12">
        <v>5.41</v>
      </c>
      <c r="D36" s="12">
        <v>5.43</v>
      </c>
      <c r="E36" s="12">
        <v>5.94</v>
      </c>
      <c r="F36" s="12">
        <v>5.68</v>
      </c>
      <c r="G36" s="12">
        <v>5.07</v>
      </c>
      <c r="H36" s="12">
        <v>5.17</v>
      </c>
      <c r="I36" s="12">
        <v>5.17</v>
      </c>
      <c r="J36" s="12">
        <v>5.18</v>
      </c>
      <c r="K36" s="12">
        <v>5.61</v>
      </c>
      <c r="L36" s="12">
        <v>5.13</v>
      </c>
      <c r="M36" s="12">
        <v>5.31</v>
      </c>
      <c r="N36" s="12">
        <v>4.92</v>
      </c>
      <c r="O36" s="12">
        <v>5.29</v>
      </c>
      <c r="P36" s="12">
        <v>5.86</v>
      </c>
      <c r="Q36" s="12">
        <v>5.72</v>
      </c>
      <c r="R36" s="12">
        <v>5.75</v>
      </c>
      <c r="S36" s="12">
        <v>6.04</v>
      </c>
      <c r="T36" s="12">
        <v>5.5</v>
      </c>
      <c r="U36" s="12">
        <v>5</v>
      </c>
      <c r="V36" s="12">
        <v>5.72</v>
      </c>
      <c r="W36" s="12">
        <v>5.36</v>
      </c>
      <c r="X36" s="12">
        <v>4.96</v>
      </c>
      <c r="Y36" s="12">
        <v>5.28</v>
      </c>
      <c r="Z36" s="12">
        <v>5.94</v>
      </c>
      <c r="AA36" s="12">
        <v>5.84</v>
      </c>
      <c r="AB36" s="12">
        <v>6.17</v>
      </c>
      <c r="AC36" s="12">
        <v>5.5</v>
      </c>
      <c r="AD36" s="12">
        <v>5.69</v>
      </c>
      <c r="AE36" s="12">
        <v>5.52</v>
      </c>
      <c r="AF36" s="12">
        <v>4.9400000000000004</v>
      </c>
    </row>
    <row r="37" spans="1:32" x14ac:dyDescent="0.35">
      <c r="A37" s="31"/>
      <c r="B37" s="13" t="s">
        <v>728</v>
      </c>
      <c r="C37" s="15" t="s">
        <v>333</v>
      </c>
      <c r="D37" s="15" t="s">
        <v>333</v>
      </c>
      <c r="E37" s="15" t="s">
        <v>333</v>
      </c>
      <c r="F37" s="15" t="s">
        <v>333</v>
      </c>
      <c r="G37" s="15" t="s">
        <v>333</v>
      </c>
      <c r="H37" s="15" t="s">
        <v>333</v>
      </c>
      <c r="I37" s="15" t="s">
        <v>333</v>
      </c>
      <c r="J37" s="15" t="s">
        <v>333</v>
      </c>
      <c r="K37" s="15" t="s">
        <v>333</v>
      </c>
      <c r="L37" s="15" t="s">
        <v>333</v>
      </c>
      <c r="M37" s="15" t="s">
        <v>333</v>
      </c>
      <c r="N37" s="15" t="s">
        <v>333</v>
      </c>
      <c r="O37" s="15" t="s">
        <v>333</v>
      </c>
      <c r="P37" s="15" t="s">
        <v>333</v>
      </c>
      <c r="Q37" s="15" t="s">
        <v>333</v>
      </c>
      <c r="R37" s="15" t="s">
        <v>333</v>
      </c>
      <c r="S37" s="15" t="s">
        <v>333</v>
      </c>
      <c r="T37" s="15" t="s">
        <v>333</v>
      </c>
      <c r="U37" s="15" t="s">
        <v>333</v>
      </c>
      <c r="V37" s="15" t="s">
        <v>333</v>
      </c>
      <c r="W37" s="15" t="s">
        <v>333</v>
      </c>
      <c r="X37" s="15" t="s">
        <v>333</v>
      </c>
      <c r="Y37" s="15" t="s">
        <v>333</v>
      </c>
      <c r="Z37" s="15" t="s">
        <v>333</v>
      </c>
      <c r="AA37" s="15" t="s">
        <v>333</v>
      </c>
      <c r="AB37" s="15" t="s">
        <v>333</v>
      </c>
      <c r="AC37" s="15" t="s">
        <v>333</v>
      </c>
      <c r="AD37" s="15" t="s">
        <v>333</v>
      </c>
      <c r="AE37" s="15" t="s">
        <v>333</v>
      </c>
      <c r="AF37" s="15" t="s">
        <v>333</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3"/>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293</v>
      </c>
      <c r="C3" s="30"/>
      <c r="D3" s="30"/>
      <c r="E3" s="30"/>
      <c r="F3" s="30"/>
      <c r="H3" s="30" t="s">
        <v>294</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HYPERLINK("#Content!A148","&lt;&lt;Back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1327</v>
      </c>
      <c r="C12" s="12">
        <v>7094</v>
      </c>
      <c r="D12" s="12">
        <v>287</v>
      </c>
      <c r="E12" s="12">
        <v>219</v>
      </c>
      <c r="F12" s="12">
        <v>216</v>
      </c>
      <c r="G12" s="12">
        <v>412</v>
      </c>
      <c r="H12" s="12">
        <v>366</v>
      </c>
      <c r="I12" s="12">
        <v>447</v>
      </c>
      <c r="J12" s="12">
        <v>81</v>
      </c>
      <c r="K12" s="12">
        <v>199</v>
      </c>
      <c r="L12" s="12">
        <v>212</v>
      </c>
      <c r="M12" s="12">
        <v>222</v>
      </c>
      <c r="N12" s="12">
        <v>315</v>
      </c>
      <c r="O12" s="12">
        <v>289</v>
      </c>
      <c r="P12" s="12">
        <v>241</v>
      </c>
      <c r="Q12" s="12">
        <v>227</v>
      </c>
      <c r="R12" s="12">
        <v>71</v>
      </c>
      <c r="S12" s="12">
        <v>83</v>
      </c>
      <c r="T12" s="12">
        <v>142</v>
      </c>
      <c r="U12" s="12">
        <v>133</v>
      </c>
      <c r="V12" s="12">
        <v>220</v>
      </c>
      <c r="W12" s="12">
        <v>144</v>
      </c>
      <c r="X12" s="12">
        <v>413</v>
      </c>
      <c r="Y12" s="12">
        <v>288</v>
      </c>
      <c r="Z12" s="12">
        <v>205</v>
      </c>
      <c r="AA12" s="12">
        <v>206</v>
      </c>
      <c r="AB12" s="12">
        <v>184</v>
      </c>
      <c r="AC12" s="12">
        <v>197</v>
      </c>
      <c r="AD12" s="12">
        <v>236</v>
      </c>
      <c r="AE12" s="12">
        <v>307</v>
      </c>
      <c r="AF12" s="12">
        <v>486</v>
      </c>
    </row>
    <row r="13" spans="1:32" x14ac:dyDescent="0.35">
      <c r="A13" s="31"/>
      <c r="B13" s="13" t="s">
        <v>1328</v>
      </c>
      <c r="C13" s="14">
        <v>0.27</v>
      </c>
      <c r="D13" s="14">
        <v>0.28000000000000003</v>
      </c>
      <c r="E13" s="14">
        <v>0.21</v>
      </c>
      <c r="F13" s="14">
        <v>0.21</v>
      </c>
      <c r="G13" s="14">
        <v>0.4</v>
      </c>
      <c r="H13" s="14">
        <v>0.3</v>
      </c>
      <c r="I13" s="14">
        <v>0.28999999999999998</v>
      </c>
      <c r="J13" s="14">
        <v>0.27</v>
      </c>
      <c r="K13" s="14">
        <v>0.2</v>
      </c>
      <c r="L13" s="14">
        <v>0.21</v>
      </c>
      <c r="M13" s="14">
        <v>0.22</v>
      </c>
      <c r="N13" s="14">
        <v>0.31</v>
      </c>
      <c r="O13" s="14">
        <v>0.28999999999999998</v>
      </c>
      <c r="P13" s="14">
        <v>0.24</v>
      </c>
      <c r="Q13" s="14">
        <v>0.22</v>
      </c>
      <c r="R13" s="14">
        <v>0.14000000000000001</v>
      </c>
      <c r="S13" s="14">
        <v>0.08</v>
      </c>
      <c r="T13" s="14">
        <v>0.14000000000000001</v>
      </c>
      <c r="U13" s="14">
        <v>0.26</v>
      </c>
      <c r="V13" s="14">
        <v>0.22</v>
      </c>
      <c r="W13" s="14">
        <v>0.28999999999999998</v>
      </c>
      <c r="X13" s="14">
        <v>0.41</v>
      </c>
      <c r="Y13" s="14">
        <v>0.28999999999999998</v>
      </c>
      <c r="Z13" s="14">
        <v>0.2</v>
      </c>
      <c r="AA13" s="14">
        <v>0.2</v>
      </c>
      <c r="AB13" s="14">
        <v>0.17</v>
      </c>
      <c r="AC13" s="14">
        <v>0.2</v>
      </c>
      <c r="AD13" s="14">
        <v>0.23</v>
      </c>
      <c r="AE13" s="14">
        <v>0.3</v>
      </c>
      <c r="AF13" s="14">
        <v>0.48</v>
      </c>
    </row>
    <row r="14" spans="1:32" x14ac:dyDescent="0.35">
      <c r="A14" s="31"/>
      <c r="B14" s="11" t="s">
        <v>1329</v>
      </c>
      <c r="C14" s="12">
        <v>9860</v>
      </c>
      <c r="D14" s="12">
        <v>429</v>
      </c>
      <c r="E14" s="12">
        <v>276</v>
      </c>
      <c r="F14" s="12">
        <v>466</v>
      </c>
      <c r="G14" s="12">
        <v>301</v>
      </c>
      <c r="H14" s="12">
        <v>589</v>
      </c>
      <c r="I14" s="12">
        <v>728</v>
      </c>
      <c r="J14" s="12">
        <v>139</v>
      </c>
      <c r="K14" s="12">
        <v>359</v>
      </c>
      <c r="L14" s="12">
        <v>590</v>
      </c>
      <c r="M14" s="12">
        <v>340</v>
      </c>
      <c r="N14" s="12">
        <v>392</v>
      </c>
      <c r="O14" s="12">
        <v>307</v>
      </c>
      <c r="P14" s="12">
        <v>356</v>
      </c>
      <c r="Q14" s="12">
        <v>356</v>
      </c>
      <c r="R14" s="12">
        <v>161</v>
      </c>
      <c r="S14" s="12">
        <v>394</v>
      </c>
      <c r="T14" s="12">
        <v>332</v>
      </c>
      <c r="U14" s="12">
        <v>253</v>
      </c>
      <c r="V14" s="12">
        <v>428</v>
      </c>
      <c r="W14" s="12">
        <v>132</v>
      </c>
      <c r="X14" s="12">
        <v>350</v>
      </c>
      <c r="Y14" s="12">
        <v>354</v>
      </c>
      <c r="Z14" s="12">
        <v>401</v>
      </c>
      <c r="AA14" s="12">
        <v>326</v>
      </c>
      <c r="AB14" s="12">
        <v>286</v>
      </c>
      <c r="AC14" s="12">
        <v>373</v>
      </c>
      <c r="AD14" s="12">
        <v>359</v>
      </c>
      <c r="AE14" s="12">
        <v>317</v>
      </c>
      <c r="AF14" s="12">
        <v>212</v>
      </c>
    </row>
    <row r="15" spans="1:32" x14ac:dyDescent="0.35">
      <c r="A15" s="31"/>
      <c r="B15" s="13" t="s">
        <v>1329</v>
      </c>
      <c r="C15" s="14">
        <v>0.37</v>
      </c>
      <c r="D15" s="14">
        <v>0.42</v>
      </c>
      <c r="E15" s="14">
        <v>0.26</v>
      </c>
      <c r="F15" s="14">
        <v>0.46</v>
      </c>
      <c r="G15" s="14">
        <v>0.3</v>
      </c>
      <c r="H15" s="14">
        <v>0.48</v>
      </c>
      <c r="I15" s="14">
        <v>0.48</v>
      </c>
      <c r="J15" s="14">
        <v>0.47</v>
      </c>
      <c r="K15" s="14">
        <v>0.36</v>
      </c>
      <c r="L15" s="14">
        <v>0.59</v>
      </c>
      <c r="M15" s="14">
        <v>0.34</v>
      </c>
      <c r="N15" s="14">
        <v>0.39</v>
      </c>
      <c r="O15" s="14">
        <v>0.31</v>
      </c>
      <c r="P15" s="14">
        <v>0.35</v>
      </c>
      <c r="Q15" s="14">
        <v>0.34</v>
      </c>
      <c r="R15" s="14">
        <v>0.32</v>
      </c>
      <c r="S15" s="14">
        <v>0.39</v>
      </c>
      <c r="T15" s="14">
        <v>0.33</v>
      </c>
      <c r="U15" s="14">
        <v>0.5</v>
      </c>
      <c r="V15" s="14">
        <v>0.42</v>
      </c>
      <c r="W15" s="14">
        <v>0.26</v>
      </c>
      <c r="X15" s="14">
        <v>0.35</v>
      </c>
      <c r="Y15" s="14">
        <v>0.35</v>
      </c>
      <c r="Z15" s="14">
        <v>0.39</v>
      </c>
      <c r="AA15" s="14">
        <v>0.32</v>
      </c>
      <c r="AB15" s="14">
        <v>0.27</v>
      </c>
      <c r="AC15" s="14">
        <v>0.37</v>
      </c>
      <c r="AD15" s="14">
        <v>0.36</v>
      </c>
      <c r="AE15" s="14">
        <v>0.32</v>
      </c>
      <c r="AF15" s="14">
        <v>0.21</v>
      </c>
    </row>
    <row r="16" spans="1:32" x14ac:dyDescent="0.35">
      <c r="A16" s="31"/>
      <c r="B16" s="11" t="s">
        <v>1330</v>
      </c>
      <c r="C16" s="12">
        <v>6770</v>
      </c>
      <c r="D16" s="12">
        <v>299</v>
      </c>
      <c r="E16" s="12">
        <v>380</v>
      </c>
      <c r="F16" s="12">
        <v>298</v>
      </c>
      <c r="G16" s="12">
        <v>276</v>
      </c>
      <c r="H16" s="12">
        <v>234</v>
      </c>
      <c r="I16" s="12">
        <v>299</v>
      </c>
      <c r="J16" s="12">
        <v>65</v>
      </c>
      <c r="K16" s="12">
        <v>268</v>
      </c>
      <c r="L16" s="12">
        <v>137</v>
      </c>
      <c r="M16" s="12">
        <v>219</v>
      </c>
      <c r="N16" s="12">
        <v>157</v>
      </c>
      <c r="O16" s="12">
        <v>223</v>
      </c>
      <c r="P16" s="12">
        <v>338</v>
      </c>
      <c r="Q16" s="12">
        <v>307</v>
      </c>
      <c r="R16" s="12">
        <v>115</v>
      </c>
      <c r="S16" s="12">
        <v>264</v>
      </c>
      <c r="T16" s="12">
        <v>172</v>
      </c>
      <c r="U16" s="12">
        <v>71</v>
      </c>
      <c r="V16" s="12">
        <v>303</v>
      </c>
      <c r="W16" s="12">
        <v>149</v>
      </c>
      <c r="X16" s="12">
        <v>236</v>
      </c>
      <c r="Y16" s="12">
        <v>246</v>
      </c>
      <c r="Z16" s="12">
        <v>367</v>
      </c>
      <c r="AA16" s="12">
        <v>374</v>
      </c>
      <c r="AB16" s="12">
        <v>453</v>
      </c>
      <c r="AC16" s="12">
        <v>236</v>
      </c>
      <c r="AD16" s="12">
        <v>344</v>
      </c>
      <c r="AE16" s="12">
        <v>316</v>
      </c>
      <c r="AF16" s="12">
        <v>301</v>
      </c>
    </row>
    <row r="17" spans="1:32" x14ac:dyDescent="0.35">
      <c r="A17" s="31"/>
      <c r="B17" s="13" t="s">
        <v>1331</v>
      </c>
      <c r="C17" s="14">
        <v>0.26</v>
      </c>
      <c r="D17" s="14">
        <v>0.28999999999999998</v>
      </c>
      <c r="E17" s="14">
        <v>0.37</v>
      </c>
      <c r="F17" s="14">
        <v>0.28999999999999998</v>
      </c>
      <c r="G17" s="14">
        <v>0.27</v>
      </c>
      <c r="H17" s="14">
        <v>0.19</v>
      </c>
      <c r="I17" s="14">
        <v>0.2</v>
      </c>
      <c r="J17" s="14">
        <v>0.22</v>
      </c>
      <c r="K17" s="14">
        <v>0.26</v>
      </c>
      <c r="L17" s="14">
        <v>0.14000000000000001</v>
      </c>
      <c r="M17" s="14">
        <v>0.22</v>
      </c>
      <c r="N17" s="14">
        <v>0.16</v>
      </c>
      <c r="O17" s="14">
        <v>0.22</v>
      </c>
      <c r="P17" s="14">
        <v>0.34</v>
      </c>
      <c r="Q17" s="14">
        <v>0.3</v>
      </c>
      <c r="R17" s="14">
        <v>0.23</v>
      </c>
      <c r="S17" s="14">
        <v>0.26</v>
      </c>
      <c r="T17" s="14">
        <v>0.17</v>
      </c>
      <c r="U17" s="14">
        <v>0.14000000000000001</v>
      </c>
      <c r="V17" s="14">
        <v>0.3</v>
      </c>
      <c r="W17" s="14">
        <v>0.3</v>
      </c>
      <c r="X17" s="14">
        <v>0.23</v>
      </c>
      <c r="Y17" s="14">
        <v>0.24</v>
      </c>
      <c r="Z17" s="14">
        <v>0.36</v>
      </c>
      <c r="AA17" s="14">
        <v>0.36</v>
      </c>
      <c r="AB17" s="14">
        <v>0.43</v>
      </c>
      <c r="AC17" s="14">
        <v>0.23</v>
      </c>
      <c r="AD17" s="14">
        <v>0.34</v>
      </c>
      <c r="AE17" s="14">
        <v>0.31</v>
      </c>
      <c r="AF17" s="14">
        <v>0.28999999999999998</v>
      </c>
    </row>
    <row r="18" spans="1:32" x14ac:dyDescent="0.35">
      <c r="A18" s="31"/>
      <c r="B18" s="11" t="s">
        <v>1110</v>
      </c>
      <c r="C18" s="12">
        <v>1272</v>
      </c>
      <c r="D18" s="12">
        <v>2</v>
      </c>
      <c r="E18" s="12">
        <v>80</v>
      </c>
      <c r="F18" s="12">
        <v>18</v>
      </c>
      <c r="G18" s="12">
        <v>11</v>
      </c>
      <c r="H18" s="12">
        <v>25</v>
      </c>
      <c r="I18" s="12">
        <v>34</v>
      </c>
      <c r="J18" s="12">
        <v>9</v>
      </c>
      <c r="K18" s="12">
        <v>62</v>
      </c>
      <c r="L18" s="12">
        <v>6</v>
      </c>
      <c r="M18" s="12">
        <v>114</v>
      </c>
      <c r="N18" s="12">
        <v>70</v>
      </c>
      <c r="O18" s="12">
        <v>57</v>
      </c>
      <c r="P18" s="12">
        <v>32</v>
      </c>
      <c r="Q18" s="12">
        <v>103</v>
      </c>
      <c r="R18" s="12">
        <v>107</v>
      </c>
      <c r="S18" s="12">
        <v>23</v>
      </c>
      <c r="T18" s="12">
        <v>57</v>
      </c>
      <c r="U18" s="12">
        <v>12</v>
      </c>
      <c r="V18" s="12">
        <v>41</v>
      </c>
      <c r="W18" s="12">
        <v>25</v>
      </c>
      <c r="X18" s="12">
        <v>4</v>
      </c>
      <c r="Y18" s="12">
        <v>78</v>
      </c>
      <c r="Z18" s="12">
        <v>15</v>
      </c>
      <c r="AA18" s="12">
        <v>61</v>
      </c>
      <c r="AB18" s="12">
        <v>49</v>
      </c>
      <c r="AC18" s="12">
        <v>133</v>
      </c>
      <c r="AD18" s="12">
        <v>26</v>
      </c>
      <c r="AE18" s="12">
        <v>15</v>
      </c>
      <c r="AF18" s="12">
        <v>6</v>
      </c>
    </row>
    <row r="19" spans="1:32" x14ac:dyDescent="0.35">
      <c r="A19" s="31"/>
      <c r="B19" s="13" t="s">
        <v>1111</v>
      </c>
      <c r="C19" s="14">
        <v>0.05</v>
      </c>
      <c r="D19" s="15" t="s">
        <v>333</v>
      </c>
      <c r="E19" s="14">
        <v>0.08</v>
      </c>
      <c r="F19" s="14">
        <v>0.02</v>
      </c>
      <c r="G19" s="14">
        <v>0.01</v>
      </c>
      <c r="H19" s="14">
        <v>0.02</v>
      </c>
      <c r="I19" s="14">
        <v>0.02</v>
      </c>
      <c r="J19" s="14">
        <v>0.03</v>
      </c>
      <c r="K19" s="14">
        <v>0.06</v>
      </c>
      <c r="L19" s="15" t="s">
        <v>333</v>
      </c>
      <c r="M19" s="14">
        <v>0.11</v>
      </c>
      <c r="N19" s="14">
        <v>7.0000000000000007E-2</v>
      </c>
      <c r="O19" s="14">
        <v>0.06</v>
      </c>
      <c r="P19" s="14">
        <v>0.03</v>
      </c>
      <c r="Q19" s="14">
        <v>0.1</v>
      </c>
      <c r="R19" s="14">
        <v>0.21</v>
      </c>
      <c r="S19" s="14">
        <v>0.02</v>
      </c>
      <c r="T19" s="14">
        <v>0.05</v>
      </c>
      <c r="U19" s="14">
        <v>0.02</v>
      </c>
      <c r="V19" s="14">
        <v>0.04</v>
      </c>
      <c r="W19" s="14">
        <v>0.05</v>
      </c>
      <c r="X19" s="15" t="s">
        <v>333</v>
      </c>
      <c r="Y19" s="14">
        <v>0.08</v>
      </c>
      <c r="Z19" s="14">
        <v>0.02</v>
      </c>
      <c r="AA19" s="14">
        <v>0.06</v>
      </c>
      <c r="AB19" s="14">
        <v>0.05</v>
      </c>
      <c r="AC19" s="14">
        <v>0.13</v>
      </c>
      <c r="AD19" s="14">
        <v>0.03</v>
      </c>
      <c r="AE19" s="14">
        <v>0.02</v>
      </c>
      <c r="AF19" s="14">
        <v>0.01</v>
      </c>
    </row>
    <row r="20" spans="1:32" x14ac:dyDescent="0.35">
      <c r="A20" s="31"/>
      <c r="B20" s="11" t="s">
        <v>344</v>
      </c>
      <c r="C20" s="12">
        <v>1415</v>
      </c>
      <c r="D20" s="12">
        <v>9</v>
      </c>
      <c r="E20" s="12">
        <v>84</v>
      </c>
      <c r="F20" s="12">
        <v>20</v>
      </c>
      <c r="G20" s="12">
        <v>17</v>
      </c>
      <c r="H20" s="12">
        <v>18</v>
      </c>
      <c r="I20" s="12">
        <v>21</v>
      </c>
      <c r="J20" s="12">
        <v>4</v>
      </c>
      <c r="K20" s="12">
        <v>120</v>
      </c>
      <c r="L20" s="12">
        <v>60</v>
      </c>
      <c r="M20" s="12">
        <v>108</v>
      </c>
      <c r="N20" s="12">
        <v>66</v>
      </c>
      <c r="O20" s="12">
        <v>124</v>
      </c>
      <c r="P20" s="12">
        <v>37</v>
      </c>
      <c r="Q20" s="12">
        <v>43</v>
      </c>
      <c r="R20" s="12">
        <v>47</v>
      </c>
      <c r="S20" s="12">
        <v>256</v>
      </c>
      <c r="T20" s="12">
        <v>315</v>
      </c>
      <c r="U20" s="12">
        <v>40</v>
      </c>
      <c r="V20" s="12">
        <v>22</v>
      </c>
      <c r="W20" s="12">
        <v>52</v>
      </c>
      <c r="X20" s="12">
        <v>8</v>
      </c>
      <c r="Y20" s="12">
        <v>36</v>
      </c>
      <c r="Z20" s="12">
        <v>29</v>
      </c>
      <c r="AA20" s="12">
        <v>63</v>
      </c>
      <c r="AB20" s="12">
        <v>84</v>
      </c>
      <c r="AC20" s="12">
        <v>75</v>
      </c>
      <c r="AD20" s="12">
        <v>39</v>
      </c>
      <c r="AE20" s="12">
        <v>52</v>
      </c>
      <c r="AF20" s="12">
        <v>15</v>
      </c>
    </row>
    <row r="21" spans="1:32" x14ac:dyDescent="0.35">
      <c r="A21" s="31"/>
      <c r="B21" s="13" t="s">
        <v>357</v>
      </c>
      <c r="C21" s="14">
        <v>0.05</v>
      </c>
      <c r="D21" s="14">
        <v>0.01</v>
      </c>
      <c r="E21" s="14">
        <v>0.08</v>
      </c>
      <c r="F21" s="14">
        <v>0.02</v>
      </c>
      <c r="G21" s="14">
        <v>0.02</v>
      </c>
      <c r="H21" s="14">
        <v>0.01</v>
      </c>
      <c r="I21" s="14">
        <v>0.01</v>
      </c>
      <c r="J21" s="14">
        <v>0.01</v>
      </c>
      <c r="K21" s="14">
        <v>0.12</v>
      </c>
      <c r="L21" s="14">
        <v>0.06</v>
      </c>
      <c r="M21" s="14">
        <v>0.11</v>
      </c>
      <c r="N21" s="14">
        <v>7.0000000000000007E-2</v>
      </c>
      <c r="O21" s="14">
        <v>0.12</v>
      </c>
      <c r="P21" s="14">
        <v>0.04</v>
      </c>
      <c r="Q21" s="14">
        <v>0.04</v>
      </c>
      <c r="R21" s="14">
        <v>0.1</v>
      </c>
      <c r="S21" s="14">
        <v>0.25</v>
      </c>
      <c r="T21" s="14">
        <v>0.31</v>
      </c>
      <c r="U21" s="14">
        <v>0.08</v>
      </c>
      <c r="V21" s="14">
        <v>0.02</v>
      </c>
      <c r="W21" s="14">
        <v>0.1</v>
      </c>
      <c r="X21" s="14">
        <v>0.01</v>
      </c>
      <c r="Y21" s="14">
        <v>0.04</v>
      </c>
      <c r="Z21" s="14">
        <v>0.03</v>
      </c>
      <c r="AA21" s="14">
        <v>0.06</v>
      </c>
      <c r="AB21" s="14">
        <v>0.08</v>
      </c>
      <c r="AC21" s="14">
        <v>7.0000000000000007E-2</v>
      </c>
      <c r="AD21" s="14">
        <v>0.04</v>
      </c>
      <c r="AE21" s="14">
        <v>0.05</v>
      </c>
      <c r="AF21" s="14">
        <v>0.01</v>
      </c>
    </row>
    <row r="22" spans="1:32" x14ac:dyDescent="0.35">
      <c r="A22" s="31"/>
      <c r="B22" s="11" t="s">
        <v>727</v>
      </c>
      <c r="C22" s="12">
        <v>5.41</v>
      </c>
      <c r="D22" s="12">
        <v>5.43</v>
      </c>
      <c r="E22" s="12">
        <v>5.94</v>
      </c>
      <c r="F22" s="12">
        <v>5.68</v>
      </c>
      <c r="G22" s="12">
        <v>5.07</v>
      </c>
      <c r="H22" s="12">
        <v>5.17</v>
      </c>
      <c r="I22" s="12">
        <v>5.17</v>
      </c>
      <c r="J22" s="12">
        <v>5.18</v>
      </c>
      <c r="K22" s="12">
        <v>5.61</v>
      </c>
      <c r="L22" s="12">
        <v>5.13</v>
      </c>
      <c r="M22" s="12">
        <v>5.31</v>
      </c>
      <c r="N22" s="12">
        <v>4.92</v>
      </c>
      <c r="O22" s="12">
        <v>5.29</v>
      </c>
      <c r="P22" s="12">
        <v>5.86</v>
      </c>
      <c r="Q22" s="12">
        <v>5.72</v>
      </c>
      <c r="R22" s="12">
        <v>5.75</v>
      </c>
      <c r="S22" s="12">
        <v>6.04</v>
      </c>
      <c r="T22" s="12">
        <v>5.5</v>
      </c>
      <c r="U22" s="12">
        <v>5</v>
      </c>
      <c r="V22" s="12">
        <v>5.72</v>
      </c>
      <c r="W22" s="12">
        <v>5.36</v>
      </c>
      <c r="X22" s="12">
        <v>4.96</v>
      </c>
      <c r="Y22" s="12">
        <v>5.28</v>
      </c>
      <c r="Z22" s="12">
        <v>5.94</v>
      </c>
      <c r="AA22" s="12">
        <v>5.84</v>
      </c>
      <c r="AB22" s="12">
        <v>6.17</v>
      </c>
      <c r="AC22" s="12">
        <v>5.5</v>
      </c>
      <c r="AD22" s="12">
        <v>5.69</v>
      </c>
      <c r="AE22" s="12">
        <v>5.52</v>
      </c>
      <c r="AF22" s="12">
        <v>4.9400000000000004</v>
      </c>
    </row>
    <row r="23" spans="1:32" x14ac:dyDescent="0.35">
      <c r="A23" s="31"/>
      <c r="B23" s="13" t="s">
        <v>728</v>
      </c>
      <c r="C23" s="15" t="s">
        <v>333</v>
      </c>
      <c r="D23" s="15" t="s">
        <v>333</v>
      </c>
      <c r="E23" s="15" t="s">
        <v>333</v>
      </c>
      <c r="F23" s="15" t="s">
        <v>333</v>
      </c>
      <c r="G23" s="15" t="s">
        <v>333</v>
      </c>
      <c r="H23" s="15" t="s">
        <v>333</v>
      </c>
      <c r="I23" s="15" t="s">
        <v>333</v>
      </c>
      <c r="J23" s="15" t="s">
        <v>333</v>
      </c>
      <c r="K23" s="15" t="s">
        <v>333</v>
      </c>
      <c r="L23" s="15" t="s">
        <v>333</v>
      </c>
      <c r="M23" s="15" t="s">
        <v>333</v>
      </c>
      <c r="N23" s="15" t="s">
        <v>333</v>
      </c>
      <c r="O23" s="15" t="s">
        <v>333</v>
      </c>
      <c r="P23" s="15" t="s">
        <v>333</v>
      </c>
      <c r="Q23" s="15" t="s">
        <v>333</v>
      </c>
      <c r="R23" s="15" t="s">
        <v>333</v>
      </c>
      <c r="S23" s="15" t="s">
        <v>333</v>
      </c>
      <c r="T23" s="15" t="s">
        <v>333</v>
      </c>
      <c r="U23" s="15" t="s">
        <v>333</v>
      </c>
      <c r="V23" s="15" t="s">
        <v>333</v>
      </c>
      <c r="W23" s="15" t="s">
        <v>333</v>
      </c>
      <c r="X23" s="15" t="s">
        <v>333</v>
      </c>
      <c r="Y23" s="15" t="s">
        <v>333</v>
      </c>
      <c r="Z23" s="15" t="s">
        <v>333</v>
      </c>
      <c r="AA23" s="15" t="s">
        <v>333</v>
      </c>
      <c r="AB23" s="15" t="s">
        <v>333</v>
      </c>
      <c r="AC23" s="15" t="s">
        <v>333</v>
      </c>
      <c r="AD23" s="15" t="s">
        <v>333</v>
      </c>
      <c r="AE23" s="15" t="s">
        <v>333</v>
      </c>
      <c r="AF23" s="15" t="s">
        <v>333</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7"/>
  <sheetViews>
    <sheetView workbookViewId="0">
      <pane xSplit="3" ySplit="9" topLeftCell="D10" activePane="bottomRight" state="frozen"/>
      <selection pane="topRight"/>
      <selection pane="bottomLeft"/>
      <selection pane="bottomRight"/>
    </sheetView>
  </sheetViews>
  <sheetFormatPr defaultRowHeight="14.5" x14ac:dyDescent="0.35"/>
  <cols>
    <col min="1" max="1" width="8.453125" customWidth="1"/>
    <col min="2" max="2" width="19.26953125" customWidth="1"/>
    <col min="3" max="32" width="12.453125" customWidth="1"/>
  </cols>
  <sheetData>
    <row r="1" spans="1:32" x14ac:dyDescent="0.35">
      <c r="I1" s="7" t="s">
        <v>297</v>
      </c>
    </row>
    <row r="2" spans="1:32" x14ac:dyDescent="0.35">
      <c r="C2" s="7" t="s">
        <v>298</v>
      </c>
      <c r="H2" s="7" t="s">
        <v>299</v>
      </c>
    </row>
    <row r="3" spans="1:32" ht="12" customHeight="1" x14ac:dyDescent="0.35">
      <c r="B3" s="30" t="s">
        <v>295</v>
      </c>
      <c r="C3" s="30"/>
      <c r="D3" s="30"/>
      <c r="E3" s="30"/>
      <c r="F3" s="30"/>
      <c r="H3" s="30" t="s">
        <v>296</v>
      </c>
      <c r="I3" s="30"/>
      <c r="J3" s="30"/>
      <c r="K3" s="30"/>
      <c r="L3" s="30"/>
    </row>
    <row r="4" spans="1:32" ht="27" customHeight="1" x14ac:dyDescent="0.35">
      <c r="B4" s="30"/>
      <c r="C4" s="30"/>
      <c r="D4" s="30"/>
      <c r="E4" s="30"/>
      <c r="F4" s="30"/>
      <c r="H4" s="30"/>
      <c r="I4" s="30"/>
      <c r="J4" s="30"/>
      <c r="K4" s="30"/>
      <c r="L4" s="30"/>
    </row>
    <row r="5" spans="1:32" ht="12" customHeight="1" x14ac:dyDescent="0.35">
      <c r="B5" s="30" t="s">
        <v>300</v>
      </c>
      <c r="C5" s="30"/>
      <c r="D5" s="30"/>
      <c r="E5" s="30"/>
      <c r="F5" s="30"/>
      <c r="H5" s="30" t="s">
        <v>301</v>
      </c>
      <c r="I5" s="30"/>
      <c r="J5" s="30"/>
      <c r="K5" s="30"/>
      <c r="L5" s="30"/>
    </row>
    <row r="6" spans="1:32" ht="1" customHeight="1" x14ac:dyDescent="0.35"/>
    <row r="7" spans="1:32" ht="1" customHeight="1" x14ac:dyDescent="0.35"/>
    <row r="8" spans="1:32" x14ac:dyDescent="0.35">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row>
    <row r="9" spans="1:32" ht="18" x14ac:dyDescent="0.35">
      <c r="A9" s="5" t="str">
        <f>HYPERLINK("#Content!A149","&lt;&lt;Back to content")</f>
        <v>&lt;&lt;Back to content</v>
      </c>
      <c r="C9" s="8" t="s">
        <v>302</v>
      </c>
      <c r="D9" s="8" t="s">
        <v>303</v>
      </c>
      <c r="E9" s="8" t="s">
        <v>304</v>
      </c>
      <c r="F9" s="8" t="s">
        <v>305</v>
      </c>
      <c r="G9" s="8" t="s">
        <v>306</v>
      </c>
      <c r="H9" s="8" t="s">
        <v>307</v>
      </c>
      <c r="I9" s="8" t="s">
        <v>308</v>
      </c>
      <c r="J9" s="8" t="s">
        <v>309</v>
      </c>
      <c r="K9" s="8" t="s">
        <v>310</v>
      </c>
      <c r="L9" s="8" t="s">
        <v>311</v>
      </c>
      <c r="M9" s="8" t="s">
        <v>312</v>
      </c>
      <c r="N9" s="8" t="s">
        <v>313</v>
      </c>
      <c r="O9" s="8" t="s">
        <v>314</v>
      </c>
      <c r="P9" s="8" t="s">
        <v>315</v>
      </c>
      <c r="Q9" s="8" t="s">
        <v>316</v>
      </c>
      <c r="R9" s="8" t="s">
        <v>317</v>
      </c>
      <c r="S9" s="8" t="s">
        <v>318</v>
      </c>
      <c r="T9" s="8" t="s">
        <v>319</v>
      </c>
      <c r="U9" s="8" t="s">
        <v>320</v>
      </c>
      <c r="V9" s="8" t="s">
        <v>321</v>
      </c>
      <c r="W9" s="8" t="s">
        <v>322</v>
      </c>
      <c r="X9" s="8" t="s">
        <v>323</v>
      </c>
      <c r="Y9" s="8" t="s">
        <v>324</v>
      </c>
      <c r="Z9" s="8" t="s">
        <v>325</v>
      </c>
      <c r="AA9" s="8" t="s">
        <v>326</v>
      </c>
      <c r="AB9" s="8" t="s">
        <v>327</v>
      </c>
      <c r="AC9" s="8" t="s">
        <v>328</v>
      </c>
      <c r="AD9" s="8" t="s">
        <v>329</v>
      </c>
      <c r="AE9" s="8" t="s">
        <v>330</v>
      </c>
      <c r="AF9" s="8" t="s">
        <v>331</v>
      </c>
    </row>
    <row r="10" spans="1:32" x14ac:dyDescent="0.35">
      <c r="A10" s="31"/>
      <c r="B10" s="28" t="s">
        <v>332</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x14ac:dyDescent="0.35">
      <c r="A11" s="32"/>
      <c r="B11" s="2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x14ac:dyDescent="0.35">
      <c r="A12" s="31"/>
      <c r="B12" s="11" t="s">
        <v>1332</v>
      </c>
      <c r="C12" s="12">
        <v>1737</v>
      </c>
      <c r="D12" s="12">
        <v>65</v>
      </c>
      <c r="E12" s="12">
        <v>82</v>
      </c>
      <c r="F12" s="12">
        <v>52</v>
      </c>
      <c r="G12" s="12">
        <v>106</v>
      </c>
      <c r="H12" s="12">
        <v>67</v>
      </c>
      <c r="I12" s="12">
        <v>97</v>
      </c>
      <c r="J12" s="12">
        <v>30</v>
      </c>
      <c r="K12" s="12">
        <v>59</v>
      </c>
      <c r="L12" s="12">
        <v>34</v>
      </c>
      <c r="M12" s="12">
        <v>32</v>
      </c>
      <c r="N12" s="12">
        <v>78</v>
      </c>
      <c r="O12" s="12">
        <v>69</v>
      </c>
      <c r="P12" s="12">
        <v>81</v>
      </c>
      <c r="Q12" s="12">
        <v>52</v>
      </c>
      <c r="R12" s="12">
        <v>34</v>
      </c>
      <c r="S12" s="12">
        <v>17</v>
      </c>
      <c r="T12" s="12">
        <v>53</v>
      </c>
      <c r="U12" s="12">
        <v>33</v>
      </c>
      <c r="V12" s="12">
        <v>37</v>
      </c>
      <c r="W12" s="12">
        <v>68</v>
      </c>
      <c r="X12" s="12">
        <v>114</v>
      </c>
      <c r="Y12" s="12">
        <v>71</v>
      </c>
      <c r="Z12" s="12">
        <v>52</v>
      </c>
      <c r="AA12" s="12">
        <v>15</v>
      </c>
      <c r="AB12" s="12">
        <v>94</v>
      </c>
      <c r="AC12" s="12">
        <v>77</v>
      </c>
      <c r="AD12" s="12">
        <v>65</v>
      </c>
      <c r="AE12" s="12">
        <v>86</v>
      </c>
      <c r="AF12" s="12">
        <v>136</v>
      </c>
    </row>
    <row r="13" spans="1:32" x14ac:dyDescent="0.35">
      <c r="A13" s="31"/>
      <c r="B13" s="13" t="s">
        <v>1333</v>
      </c>
      <c r="C13" s="14">
        <v>7.0000000000000007E-2</v>
      </c>
      <c r="D13" s="14">
        <v>0.06</v>
      </c>
      <c r="E13" s="14">
        <v>0.08</v>
      </c>
      <c r="F13" s="14">
        <v>0.05</v>
      </c>
      <c r="G13" s="14">
        <v>0.1</v>
      </c>
      <c r="H13" s="14">
        <v>0.06</v>
      </c>
      <c r="I13" s="14">
        <v>0.06</v>
      </c>
      <c r="J13" s="14">
        <v>0.1</v>
      </c>
      <c r="K13" s="14">
        <v>0.06</v>
      </c>
      <c r="L13" s="14">
        <v>0.03</v>
      </c>
      <c r="M13" s="14">
        <v>0.03</v>
      </c>
      <c r="N13" s="14">
        <v>0.08</v>
      </c>
      <c r="O13" s="14">
        <v>7.0000000000000007E-2</v>
      </c>
      <c r="P13" s="14">
        <v>0.08</v>
      </c>
      <c r="Q13" s="14">
        <v>0.05</v>
      </c>
      <c r="R13" s="14">
        <v>7.0000000000000007E-2</v>
      </c>
      <c r="S13" s="14">
        <v>0.02</v>
      </c>
      <c r="T13" s="14">
        <v>0.05</v>
      </c>
      <c r="U13" s="14">
        <v>0.06</v>
      </c>
      <c r="V13" s="14">
        <v>0.04</v>
      </c>
      <c r="W13" s="14">
        <v>0.14000000000000001</v>
      </c>
      <c r="X13" s="14">
        <v>0.11</v>
      </c>
      <c r="Y13" s="14">
        <v>7.0000000000000007E-2</v>
      </c>
      <c r="Z13" s="14">
        <v>0.05</v>
      </c>
      <c r="AA13" s="14">
        <v>0.01</v>
      </c>
      <c r="AB13" s="14">
        <v>0.09</v>
      </c>
      <c r="AC13" s="14">
        <v>0.08</v>
      </c>
      <c r="AD13" s="14">
        <v>0.06</v>
      </c>
      <c r="AE13" s="14">
        <v>0.09</v>
      </c>
      <c r="AF13" s="14">
        <v>0.13</v>
      </c>
    </row>
    <row r="14" spans="1:32" x14ac:dyDescent="0.35">
      <c r="A14" s="31"/>
      <c r="B14" s="11" t="s">
        <v>1334</v>
      </c>
      <c r="C14" s="12">
        <v>5357</v>
      </c>
      <c r="D14" s="12">
        <v>222</v>
      </c>
      <c r="E14" s="12">
        <v>137</v>
      </c>
      <c r="F14" s="12">
        <v>164</v>
      </c>
      <c r="G14" s="12">
        <v>305</v>
      </c>
      <c r="H14" s="12">
        <v>299</v>
      </c>
      <c r="I14" s="12">
        <v>350</v>
      </c>
      <c r="J14" s="12">
        <v>51</v>
      </c>
      <c r="K14" s="12">
        <v>141</v>
      </c>
      <c r="L14" s="12">
        <v>178</v>
      </c>
      <c r="M14" s="12">
        <v>191</v>
      </c>
      <c r="N14" s="12">
        <v>237</v>
      </c>
      <c r="O14" s="12">
        <v>220</v>
      </c>
      <c r="P14" s="12">
        <v>160</v>
      </c>
      <c r="Q14" s="12">
        <v>175</v>
      </c>
      <c r="R14" s="12">
        <v>36</v>
      </c>
      <c r="S14" s="12">
        <v>65</v>
      </c>
      <c r="T14" s="12">
        <v>89</v>
      </c>
      <c r="U14" s="12">
        <v>100</v>
      </c>
      <c r="V14" s="12">
        <v>183</v>
      </c>
      <c r="W14" s="12">
        <v>76</v>
      </c>
      <c r="X14" s="12">
        <v>299</v>
      </c>
      <c r="Y14" s="12">
        <v>217</v>
      </c>
      <c r="Z14" s="12">
        <v>153</v>
      </c>
      <c r="AA14" s="12">
        <v>191</v>
      </c>
      <c r="AB14" s="12">
        <v>89</v>
      </c>
      <c r="AC14" s="12">
        <v>120</v>
      </c>
      <c r="AD14" s="12">
        <v>171</v>
      </c>
      <c r="AE14" s="12">
        <v>220</v>
      </c>
      <c r="AF14" s="12">
        <v>350</v>
      </c>
    </row>
    <row r="15" spans="1:32" x14ac:dyDescent="0.35">
      <c r="A15" s="31"/>
      <c r="B15" s="13" t="s">
        <v>1334</v>
      </c>
      <c r="C15" s="14">
        <v>0.2</v>
      </c>
      <c r="D15" s="14">
        <v>0.22</v>
      </c>
      <c r="E15" s="14">
        <v>0.13</v>
      </c>
      <c r="F15" s="14">
        <v>0.16</v>
      </c>
      <c r="G15" s="14">
        <v>0.3</v>
      </c>
      <c r="H15" s="14">
        <v>0.24</v>
      </c>
      <c r="I15" s="14">
        <v>0.23</v>
      </c>
      <c r="J15" s="14">
        <v>0.17</v>
      </c>
      <c r="K15" s="14">
        <v>0.14000000000000001</v>
      </c>
      <c r="L15" s="14">
        <v>0.18</v>
      </c>
      <c r="M15" s="14">
        <v>0.19</v>
      </c>
      <c r="N15" s="14">
        <v>0.24</v>
      </c>
      <c r="O15" s="14">
        <v>0.22</v>
      </c>
      <c r="P15" s="14">
        <v>0.16</v>
      </c>
      <c r="Q15" s="14">
        <v>0.17</v>
      </c>
      <c r="R15" s="14">
        <v>7.0000000000000007E-2</v>
      </c>
      <c r="S15" s="14">
        <v>0.06</v>
      </c>
      <c r="T15" s="14">
        <v>0.09</v>
      </c>
      <c r="U15" s="14">
        <v>0.2</v>
      </c>
      <c r="V15" s="14">
        <v>0.18</v>
      </c>
      <c r="W15" s="14">
        <v>0.15</v>
      </c>
      <c r="X15" s="14">
        <v>0.28999999999999998</v>
      </c>
      <c r="Y15" s="14">
        <v>0.22</v>
      </c>
      <c r="Z15" s="14">
        <v>0.15</v>
      </c>
      <c r="AA15" s="14">
        <v>0.19</v>
      </c>
      <c r="AB15" s="14">
        <v>0.08</v>
      </c>
      <c r="AC15" s="14">
        <v>0.12</v>
      </c>
      <c r="AD15" s="14">
        <v>0.17</v>
      </c>
      <c r="AE15" s="14">
        <v>0.22</v>
      </c>
      <c r="AF15" s="14">
        <v>0.34</v>
      </c>
    </row>
    <row r="16" spans="1:32" x14ac:dyDescent="0.35">
      <c r="A16" s="31"/>
      <c r="B16" s="11" t="s">
        <v>1335</v>
      </c>
      <c r="C16" s="12">
        <v>9860</v>
      </c>
      <c r="D16" s="12">
        <v>429</v>
      </c>
      <c r="E16" s="12">
        <v>276</v>
      </c>
      <c r="F16" s="12">
        <v>466</v>
      </c>
      <c r="G16" s="12">
        <v>301</v>
      </c>
      <c r="H16" s="12">
        <v>589</v>
      </c>
      <c r="I16" s="12">
        <v>728</v>
      </c>
      <c r="J16" s="12">
        <v>139</v>
      </c>
      <c r="K16" s="12">
        <v>359</v>
      </c>
      <c r="L16" s="12">
        <v>590</v>
      </c>
      <c r="M16" s="12">
        <v>340</v>
      </c>
      <c r="N16" s="12">
        <v>392</v>
      </c>
      <c r="O16" s="12">
        <v>307</v>
      </c>
      <c r="P16" s="12">
        <v>356</v>
      </c>
      <c r="Q16" s="12">
        <v>356</v>
      </c>
      <c r="R16" s="12">
        <v>161</v>
      </c>
      <c r="S16" s="12">
        <v>394</v>
      </c>
      <c r="T16" s="12">
        <v>332</v>
      </c>
      <c r="U16" s="12">
        <v>253</v>
      </c>
      <c r="V16" s="12">
        <v>428</v>
      </c>
      <c r="W16" s="12">
        <v>132</v>
      </c>
      <c r="X16" s="12">
        <v>350</v>
      </c>
      <c r="Y16" s="12">
        <v>354</v>
      </c>
      <c r="Z16" s="12">
        <v>401</v>
      </c>
      <c r="AA16" s="12">
        <v>326</v>
      </c>
      <c r="AB16" s="12">
        <v>286</v>
      </c>
      <c r="AC16" s="12">
        <v>373</v>
      </c>
      <c r="AD16" s="12">
        <v>359</v>
      </c>
      <c r="AE16" s="12">
        <v>317</v>
      </c>
      <c r="AF16" s="12">
        <v>212</v>
      </c>
    </row>
    <row r="17" spans="1:32" x14ac:dyDescent="0.35">
      <c r="A17" s="31"/>
      <c r="B17" s="13" t="s">
        <v>1335</v>
      </c>
      <c r="C17" s="14">
        <v>0.37</v>
      </c>
      <c r="D17" s="14">
        <v>0.42</v>
      </c>
      <c r="E17" s="14">
        <v>0.26</v>
      </c>
      <c r="F17" s="14">
        <v>0.46</v>
      </c>
      <c r="G17" s="14">
        <v>0.3</v>
      </c>
      <c r="H17" s="14">
        <v>0.48</v>
      </c>
      <c r="I17" s="14">
        <v>0.48</v>
      </c>
      <c r="J17" s="14">
        <v>0.47</v>
      </c>
      <c r="K17" s="14">
        <v>0.35</v>
      </c>
      <c r="L17" s="14">
        <v>0.59</v>
      </c>
      <c r="M17" s="14">
        <v>0.34</v>
      </c>
      <c r="N17" s="14">
        <v>0.39</v>
      </c>
      <c r="O17" s="14">
        <v>0.31</v>
      </c>
      <c r="P17" s="14">
        <v>0.35</v>
      </c>
      <c r="Q17" s="14">
        <v>0.34</v>
      </c>
      <c r="R17" s="14">
        <v>0.32</v>
      </c>
      <c r="S17" s="14">
        <v>0.39</v>
      </c>
      <c r="T17" s="14">
        <v>0.33</v>
      </c>
      <c r="U17" s="14">
        <v>0.5</v>
      </c>
      <c r="V17" s="14">
        <v>0.42</v>
      </c>
      <c r="W17" s="14">
        <v>0.26</v>
      </c>
      <c r="X17" s="14">
        <v>0.35</v>
      </c>
      <c r="Y17" s="14">
        <v>0.35</v>
      </c>
      <c r="Z17" s="14">
        <v>0.39</v>
      </c>
      <c r="AA17" s="14">
        <v>0.32</v>
      </c>
      <c r="AB17" s="14">
        <v>0.27</v>
      </c>
      <c r="AC17" s="14">
        <v>0.37</v>
      </c>
      <c r="AD17" s="14">
        <v>0.36</v>
      </c>
      <c r="AE17" s="14">
        <v>0.31</v>
      </c>
      <c r="AF17" s="14">
        <v>0.21</v>
      </c>
    </row>
    <row r="18" spans="1:32" x14ac:dyDescent="0.35">
      <c r="A18" s="31"/>
      <c r="B18" s="11" t="s">
        <v>1336</v>
      </c>
      <c r="C18" s="12">
        <v>5124</v>
      </c>
      <c r="D18" s="12">
        <v>255</v>
      </c>
      <c r="E18" s="12">
        <v>257</v>
      </c>
      <c r="F18" s="12">
        <v>226</v>
      </c>
      <c r="G18" s="12">
        <v>229</v>
      </c>
      <c r="H18" s="12">
        <v>186</v>
      </c>
      <c r="I18" s="12">
        <v>240</v>
      </c>
      <c r="J18" s="12">
        <v>55</v>
      </c>
      <c r="K18" s="12">
        <v>198</v>
      </c>
      <c r="L18" s="12">
        <v>123</v>
      </c>
      <c r="M18" s="12">
        <v>201</v>
      </c>
      <c r="N18" s="12">
        <v>128</v>
      </c>
      <c r="O18" s="12">
        <v>134</v>
      </c>
      <c r="P18" s="12">
        <v>202</v>
      </c>
      <c r="Q18" s="12">
        <v>241</v>
      </c>
      <c r="R18" s="12">
        <v>69</v>
      </c>
      <c r="S18" s="12">
        <v>205</v>
      </c>
      <c r="T18" s="12">
        <v>115</v>
      </c>
      <c r="U18" s="12">
        <v>59</v>
      </c>
      <c r="V18" s="12">
        <v>220</v>
      </c>
      <c r="W18" s="12">
        <v>103</v>
      </c>
      <c r="X18" s="12">
        <v>208</v>
      </c>
      <c r="Y18" s="12">
        <v>210</v>
      </c>
      <c r="Z18" s="12">
        <v>253</v>
      </c>
      <c r="AA18" s="12">
        <v>339</v>
      </c>
      <c r="AB18" s="12">
        <v>316</v>
      </c>
      <c r="AC18" s="12">
        <v>140</v>
      </c>
      <c r="AD18" s="12">
        <v>266</v>
      </c>
      <c r="AE18" s="12">
        <v>239</v>
      </c>
      <c r="AF18" s="12">
        <v>260</v>
      </c>
    </row>
    <row r="19" spans="1:32" x14ac:dyDescent="0.35">
      <c r="A19" s="31"/>
      <c r="B19" s="13" t="s">
        <v>1336</v>
      </c>
      <c r="C19" s="14">
        <v>0.2</v>
      </c>
      <c r="D19" s="14">
        <v>0.25</v>
      </c>
      <c r="E19" s="14">
        <v>0.25</v>
      </c>
      <c r="F19" s="14">
        <v>0.22</v>
      </c>
      <c r="G19" s="14">
        <v>0.22</v>
      </c>
      <c r="H19" s="14">
        <v>0.15</v>
      </c>
      <c r="I19" s="14">
        <v>0.16</v>
      </c>
      <c r="J19" s="14">
        <v>0.19</v>
      </c>
      <c r="K19" s="14">
        <v>0.2</v>
      </c>
      <c r="L19" s="14">
        <v>0.12</v>
      </c>
      <c r="M19" s="14">
        <v>0.2</v>
      </c>
      <c r="N19" s="14">
        <v>0.13</v>
      </c>
      <c r="O19" s="14">
        <v>0.13</v>
      </c>
      <c r="P19" s="14">
        <v>0.2</v>
      </c>
      <c r="Q19" s="14">
        <v>0.23</v>
      </c>
      <c r="R19" s="14">
        <v>0.14000000000000001</v>
      </c>
      <c r="S19" s="14">
        <v>0.2</v>
      </c>
      <c r="T19" s="14">
        <v>0.11</v>
      </c>
      <c r="U19" s="14">
        <v>0.12</v>
      </c>
      <c r="V19" s="14">
        <v>0.22</v>
      </c>
      <c r="W19" s="14">
        <v>0.21</v>
      </c>
      <c r="X19" s="14">
        <v>0.21</v>
      </c>
      <c r="Y19" s="14">
        <v>0.21</v>
      </c>
      <c r="Z19" s="14">
        <v>0.25</v>
      </c>
      <c r="AA19" s="14">
        <v>0.33</v>
      </c>
      <c r="AB19" s="14">
        <v>0.3</v>
      </c>
      <c r="AC19" s="14">
        <v>0.14000000000000001</v>
      </c>
      <c r="AD19" s="14">
        <v>0.26</v>
      </c>
      <c r="AE19" s="14">
        <v>0.24</v>
      </c>
      <c r="AF19" s="14">
        <v>0.26</v>
      </c>
    </row>
    <row r="20" spans="1:32" x14ac:dyDescent="0.35">
      <c r="A20" s="31"/>
      <c r="B20" s="11" t="s">
        <v>1337</v>
      </c>
      <c r="C20" s="12">
        <v>1645</v>
      </c>
      <c r="D20" s="12">
        <v>44</v>
      </c>
      <c r="E20" s="12">
        <v>123</v>
      </c>
      <c r="F20" s="12">
        <v>72</v>
      </c>
      <c r="G20" s="12">
        <v>47</v>
      </c>
      <c r="H20" s="12">
        <v>49</v>
      </c>
      <c r="I20" s="12">
        <v>59</v>
      </c>
      <c r="J20" s="12">
        <v>10</v>
      </c>
      <c r="K20" s="12">
        <v>70</v>
      </c>
      <c r="L20" s="12">
        <v>14</v>
      </c>
      <c r="M20" s="12">
        <v>18</v>
      </c>
      <c r="N20" s="12">
        <v>29</v>
      </c>
      <c r="O20" s="12">
        <v>88</v>
      </c>
      <c r="P20" s="12">
        <v>135</v>
      </c>
      <c r="Q20" s="12">
        <v>66</v>
      </c>
      <c r="R20" s="12">
        <v>47</v>
      </c>
      <c r="S20" s="12">
        <v>59</v>
      </c>
      <c r="T20" s="12">
        <v>57</v>
      </c>
      <c r="U20" s="12">
        <v>12</v>
      </c>
      <c r="V20" s="12">
        <v>83</v>
      </c>
      <c r="W20" s="12">
        <v>46</v>
      </c>
      <c r="X20" s="12">
        <v>28</v>
      </c>
      <c r="Y20" s="12">
        <v>36</v>
      </c>
      <c r="Z20" s="12">
        <v>114</v>
      </c>
      <c r="AA20" s="12">
        <v>35</v>
      </c>
      <c r="AB20" s="12">
        <v>137</v>
      </c>
      <c r="AC20" s="12">
        <v>96</v>
      </c>
      <c r="AD20" s="12">
        <v>78</v>
      </c>
      <c r="AE20" s="12">
        <v>78</v>
      </c>
      <c r="AF20" s="12">
        <v>42</v>
      </c>
    </row>
    <row r="21" spans="1:32" x14ac:dyDescent="0.35">
      <c r="A21" s="31"/>
      <c r="B21" s="13" t="s">
        <v>1338</v>
      </c>
      <c r="C21" s="14">
        <v>0.06</v>
      </c>
      <c r="D21" s="14">
        <v>0.04</v>
      </c>
      <c r="E21" s="14">
        <v>0.12</v>
      </c>
      <c r="F21" s="14">
        <v>7.0000000000000007E-2</v>
      </c>
      <c r="G21" s="14">
        <v>0.05</v>
      </c>
      <c r="H21" s="14">
        <v>0.04</v>
      </c>
      <c r="I21" s="14">
        <v>0.04</v>
      </c>
      <c r="J21" s="14">
        <v>0.03</v>
      </c>
      <c r="K21" s="14">
        <v>7.0000000000000007E-2</v>
      </c>
      <c r="L21" s="14">
        <v>0.01</v>
      </c>
      <c r="M21" s="14">
        <v>0.02</v>
      </c>
      <c r="N21" s="14">
        <v>0.03</v>
      </c>
      <c r="O21" s="14">
        <v>0.09</v>
      </c>
      <c r="P21" s="14">
        <v>0.14000000000000001</v>
      </c>
      <c r="Q21" s="14">
        <v>7.0000000000000007E-2</v>
      </c>
      <c r="R21" s="14">
        <v>0.09</v>
      </c>
      <c r="S21" s="14">
        <v>0.06</v>
      </c>
      <c r="T21" s="14">
        <v>0.06</v>
      </c>
      <c r="U21" s="14">
        <v>0.02</v>
      </c>
      <c r="V21" s="14">
        <v>0.08</v>
      </c>
      <c r="W21" s="14">
        <v>0.09</v>
      </c>
      <c r="X21" s="14">
        <v>0.03</v>
      </c>
      <c r="Y21" s="14">
        <v>0.03</v>
      </c>
      <c r="Z21" s="14">
        <v>0.11</v>
      </c>
      <c r="AA21" s="14">
        <v>0.03</v>
      </c>
      <c r="AB21" s="14">
        <v>0.13</v>
      </c>
      <c r="AC21" s="14">
        <v>0.09</v>
      </c>
      <c r="AD21" s="14">
        <v>0.08</v>
      </c>
      <c r="AE21" s="14">
        <v>0.08</v>
      </c>
      <c r="AF21" s="14">
        <v>0.04</v>
      </c>
    </row>
    <row r="22" spans="1:32" x14ac:dyDescent="0.35">
      <c r="A22" s="31"/>
      <c r="B22" s="11" t="s">
        <v>1339</v>
      </c>
      <c r="C22" s="12">
        <v>1272</v>
      </c>
      <c r="D22" s="12">
        <v>2</v>
      </c>
      <c r="E22" s="12">
        <v>80</v>
      </c>
      <c r="F22" s="12">
        <v>18</v>
      </c>
      <c r="G22" s="12">
        <v>11</v>
      </c>
      <c r="H22" s="12">
        <v>25</v>
      </c>
      <c r="I22" s="12">
        <v>34</v>
      </c>
      <c r="J22" s="12">
        <v>9</v>
      </c>
      <c r="K22" s="12">
        <v>62</v>
      </c>
      <c r="L22" s="12">
        <v>6</v>
      </c>
      <c r="M22" s="12">
        <v>114</v>
      </c>
      <c r="N22" s="12">
        <v>70</v>
      </c>
      <c r="O22" s="12">
        <v>57</v>
      </c>
      <c r="P22" s="12">
        <v>32</v>
      </c>
      <c r="Q22" s="12">
        <v>103</v>
      </c>
      <c r="R22" s="12">
        <v>107</v>
      </c>
      <c r="S22" s="12">
        <v>23</v>
      </c>
      <c r="T22" s="12">
        <v>57</v>
      </c>
      <c r="U22" s="12">
        <v>12</v>
      </c>
      <c r="V22" s="12">
        <v>41</v>
      </c>
      <c r="W22" s="12">
        <v>25</v>
      </c>
      <c r="X22" s="12">
        <v>4</v>
      </c>
      <c r="Y22" s="12">
        <v>78</v>
      </c>
      <c r="Z22" s="12">
        <v>15</v>
      </c>
      <c r="AA22" s="12">
        <v>61</v>
      </c>
      <c r="AB22" s="12">
        <v>49</v>
      </c>
      <c r="AC22" s="12">
        <v>133</v>
      </c>
      <c r="AD22" s="12">
        <v>26</v>
      </c>
      <c r="AE22" s="12">
        <v>15</v>
      </c>
      <c r="AF22" s="12">
        <v>6</v>
      </c>
    </row>
    <row r="23" spans="1:32" x14ac:dyDescent="0.35">
      <c r="A23" s="31"/>
      <c r="B23" s="13" t="s">
        <v>1340</v>
      </c>
      <c r="C23" s="14">
        <v>0.05</v>
      </c>
      <c r="D23" s="15" t="s">
        <v>333</v>
      </c>
      <c r="E23" s="14">
        <v>0.08</v>
      </c>
      <c r="F23" s="14">
        <v>0.02</v>
      </c>
      <c r="G23" s="14">
        <v>0.01</v>
      </c>
      <c r="H23" s="14">
        <v>0.02</v>
      </c>
      <c r="I23" s="14">
        <v>0.02</v>
      </c>
      <c r="J23" s="14">
        <v>0.03</v>
      </c>
      <c r="K23" s="14">
        <v>0.06</v>
      </c>
      <c r="L23" s="14">
        <v>0.01</v>
      </c>
      <c r="M23" s="14">
        <v>0.11</v>
      </c>
      <c r="N23" s="14">
        <v>7.0000000000000007E-2</v>
      </c>
      <c r="O23" s="14">
        <v>0.06</v>
      </c>
      <c r="P23" s="14">
        <v>0.03</v>
      </c>
      <c r="Q23" s="14">
        <v>0.1</v>
      </c>
      <c r="R23" s="14">
        <v>0.21</v>
      </c>
      <c r="S23" s="14">
        <v>0.02</v>
      </c>
      <c r="T23" s="14">
        <v>0.05</v>
      </c>
      <c r="U23" s="14">
        <v>0.02</v>
      </c>
      <c r="V23" s="14">
        <v>0.04</v>
      </c>
      <c r="W23" s="14">
        <v>0.05</v>
      </c>
      <c r="X23" s="15" t="s">
        <v>333</v>
      </c>
      <c r="Y23" s="14">
        <v>0.08</v>
      </c>
      <c r="Z23" s="14">
        <v>0.02</v>
      </c>
      <c r="AA23" s="14">
        <v>0.06</v>
      </c>
      <c r="AB23" s="14">
        <v>0.05</v>
      </c>
      <c r="AC23" s="14">
        <v>0.13</v>
      </c>
      <c r="AD23" s="14">
        <v>0.03</v>
      </c>
      <c r="AE23" s="14">
        <v>0.01</v>
      </c>
      <c r="AF23" s="14">
        <v>0.01</v>
      </c>
    </row>
    <row r="24" spans="1:32" x14ac:dyDescent="0.35">
      <c r="A24" s="31"/>
      <c r="B24" s="11" t="s">
        <v>344</v>
      </c>
      <c r="C24" s="12">
        <v>1415</v>
      </c>
      <c r="D24" s="12">
        <v>9</v>
      </c>
      <c r="E24" s="12">
        <v>84</v>
      </c>
      <c r="F24" s="12">
        <v>20</v>
      </c>
      <c r="G24" s="12">
        <v>17</v>
      </c>
      <c r="H24" s="12">
        <v>18</v>
      </c>
      <c r="I24" s="12">
        <v>21</v>
      </c>
      <c r="J24" s="12">
        <v>4</v>
      </c>
      <c r="K24" s="12">
        <v>120</v>
      </c>
      <c r="L24" s="12">
        <v>60</v>
      </c>
      <c r="M24" s="12">
        <v>108</v>
      </c>
      <c r="N24" s="12">
        <v>66</v>
      </c>
      <c r="O24" s="12">
        <v>124</v>
      </c>
      <c r="P24" s="12">
        <v>37</v>
      </c>
      <c r="Q24" s="12">
        <v>43</v>
      </c>
      <c r="R24" s="12">
        <v>47</v>
      </c>
      <c r="S24" s="12">
        <v>256</v>
      </c>
      <c r="T24" s="12">
        <v>315</v>
      </c>
      <c r="U24" s="12">
        <v>40</v>
      </c>
      <c r="V24" s="12">
        <v>22</v>
      </c>
      <c r="W24" s="12">
        <v>52</v>
      </c>
      <c r="X24" s="12">
        <v>8</v>
      </c>
      <c r="Y24" s="12">
        <v>36</v>
      </c>
      <c r="Z24" s="12">
        <v>29</v>
      </c>
      <c r="AA24" s="12">
        <v>63</v>
      </c>
      <c r="AB24" s="12">
        <v>84</v>
      </c>
      <c r="AC24" s="12">
        <v>75</v>
      </c>
      <c r="AD24" s="12">
        <v>39</v>
      </c>
      <c r="AE24" s="12">
        <v>52</v>
      </c>
      <c r="AF24" s="12">
        <v>15</v>
      </c>
    </row>
    <row r="25" spans="1:32" x14ac:dyDescent="0.35">
      <c r="A25" s="31"/>
      <c r="B25" s="13" t="s">
        <v>357</v>
      </c>
      <c r="C25" s="14">
        <v>0.05</v>
      </c>
      <c r="D25" s="14">
        <v>0.01</v>
      </c>
      <c r="E25" s="14">
        <v>0.08</v>
      </c>
      <c r="F25" s="14">
        <v>0.02</v>
      </c>
      <c r="G25" s="14">
        <v>0.02</v>
      </c>
      <c r="H25" s="14">
        <v>0.01</v>
      </c>
      <c r="I25" s="14">
        <v>0.01</v>
      </c>
      <c r="J25" s="14">
        <v>0.01</v>
      </c>
      <c r="K25" s="14">
        <v>0.12</v>
      </c>
      <c r="L25" s="14">
        <v>0.06</v>
      </c>
      <c r="M25" s="14">
        <v>0.11</v>
      </c>
      <c r="N25" s="14">
        <v>0.06</v>
      </c>
      <c r="O25" s="14">
        <v>0.12</v>
      </c>
      <c r="P25" s="14">
        <v>0.04</v>
      </c>
      <c r="Q25" s="14">
        <v>0.04</v>
      </c>
      <c r="R25" s="14">
        <v>0.1</v>
      </c>
      <c r="S25" s="14">
        <v>0.25</v>
      </c>
      <c r="T25" s="14">
        <v>0.31</v>
      </c>
      <c r="U25" s="14">
        <v>0.08</v>
      </c>
      <c r="V25" s="14">
        <v>0.02</v>
      </c>
      <c r="W25" s="14">
        <v>0.1</v>
      </c>
      <c r="X25" s="14">
        <v>0.01</v>
      </c>
      <c r="Y25" s="14">
        <v>0.04</v>
      </c>
      <c r="Z25" s="14">
        <v>0.03</v>
      </c>
      <c r="AA25" s="14">
        <v>0.06</v>
      </c>
      <c r="AB25" s="14">
        <v>0.08</v>
      </c>
      <c r="AC25" s="14">
        <v>7.0000000000000007E-2</v>
      </c>
      <c r="AD25" s="14">
        <v>0.04</v>
      </c>
      <c r="AE25" s="14">
        <v>0.05</v>
      </c>
      <c r="AF25" s="14">
        <v>0.01</v>
      </c>
    </row>
    <row r="26" spans="1:32" x14ac:dyDescent="0.35">
      <c r="A26" s="31"/>
      <c r="B26" s="11" t="s">
        <v>727</v>
      </c>
      <c r="C26" s="12">
        <v>5.41</v>
      </c>
      <c r="D26" s="12">
        <v>5.43</v>
      </c>
      <c r="E26" s="12">
        <v>5.94</v>
      </c>
      <c r="F26" s="12">
        <v>5.68</v>
      </c>
      <c r="G26" s="12">
        <v>5.07</v>
      </c>
      <c r="H26" s="12">
        <v>5.17</v>
      </c>
      <c r="I26" s="12">
        <v>5.17</v>
      </c>
      <c r="J26" s="12">
        <v>5.18</v>
      </c>
      <c r="K26" s="12">
        <v>5.61</v>
      </c>
      <c r="L26" s="12">
        <v>5.13</v>
      </c>
      <c r="M26" s="12">
        <v>5.31</v>
      </c>
      <c r="N26" s="12">
        <v>4.92</v>
      </c>
      <c r="O26" s="12">
        <v>5.29</v>
      </c>
      <c r="P26" s="12">
        <v>5.86</v>
      </c>
      <c r="Q26" s="12">
        <v>5.72</v>
      </c>
      <c r="R26" s="12">
        <v>5.75</v>
      </c>
      <c r="S26" s="12">
        <v>6.04</v>
      </c>
      <c r="T26" s="12">
        <v>5.5</v>
      </c>
      <c r="U26" s="12">
        <v>5</v>
      </c>
      <c r="V26" s="12">
        <v>5.72</v>
      </c>
      <c r="W26" s="12">
        <v>5.36</v>
      </c>
      <c r="X26" s="12">
        <v>4.96</v>
      </c>
      <c r="Y26" s="12">
        <v>5.28</v>
      </c>
      <c r="Z26" s="12">
        <v>5.94</v>
      </c>
      <c r="AA26" s="12">
        <v>5.84</v>
      </c>
      <c r="AB26" s="12">
        <v>6.17</v>
      </c>
      <c r="AC26" s="12">
        <v>5.5</v>
      </c>
      <c r="AD26" s="12">
        <v>5.69</v>
      </c>
      <c r="AE26" s="12">
        <v>5.52</v>
      </c>
      <c r="AF26" s="12">
        <v>4.9400000000000004</v>
      </c>
    </row>
    <row r="27" spans="1:32" x14ac:dyDescent="0.35">
      <c r="A27" s="31"/>
      <c r="B27" s="13" t="s">
        <v>728</v>
      </c>
      <c r="C27" s="15" t="s">
        <v>333</v>
      </c>
      <c r="D27" s="15" t="s">
        <v>333</v>
      </c>
      <c r="E27" s="15" t="s">
        <v>333</v>
      </c>
      <c r="F27" s="15" t="s">
        <v>333</v>
      </c>
      <c r="G27" s="15" t="s">
        <v>333</v>
      </c>
      <c r="H27" s="15" t="s">
        <v>333</v>
      </c>
      <c r="I27" s="15" t="s">
        <v>333</v>
      </c>
      <c r="J27" s="15" t="s">
        <v>333</v>
      </c>
      <c r="K27" s="15" t="s">
        <v>333</v>
      </c>
      <c r="L27" s="15" t="s">
        <v>333</v>
      </c>
      <c r="M27" s="15" t="s">
        <v>333</v>
      </c>
      <c r="N27" s="15" t="s">
        <v>333</v>
      </c>
      <c r="O27" s="15" t="s">
        <v>333</v>
      </c>
      <c r="P27" s="15" t="s">
        <v>333</v>
      </c>
      <c r="Q27" s="15" t="s">
        <v>333</v>
      </c>
      <c r="R27" s="15" t="s">
        <v>333</v>
      </c>
      <c r="S27" s="15" t="s">
        <v>333</v>
      </c>
      <c r="T27" s="15" t="s">
        <v>333</v>
      </c>
      <c r="U27" s="15" t="s">
        <v>333</v>
      </c>
      <c r="V27" s="15" t="s">
        <v>333</v>
      </c>
      <c r="W27" s="15" t="s">
        <v>333</v>
      </c>
      <c r="X27" s="15" t="s">
        <v>333</v>
      </c>
      <c r="Y27" s="15" t="s">
        <v>333</v>
      </c>
      <c r="Z27" s="15" t="s">
        <v>333</v>
      </c>
      <c r="AA27" s="15" t="s">
        <v>333</v>
      </c>
      <c r="AB27" s="15" t="s">
        <v>333</v>
      </c>
      <c r="AC27" s="15" t="s">
        <v>333</v>
      </c>
      <c r="AD27" s="15" t="s">
        <v>333</v>
      </c>
      <c r="AE27" s="15" t="s">
        <v>333</v>
      </c>
      <c r="AF27" s="15" t="s">
        <v>333</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E0A0FC-F16C-4CB2-8B7A-08BBD3678FBF}">
  <ds:schemaRefs>
    <ds:schemaRef ds:uri="http://schemas.microsoft.com/sharepoint/v3/contenttype/forms"/>
  </ds:schemaRefs>
</ds:datastoreItem>
</file>

<file path=customXml/itemProps2.xml><?xml version="1.0" encoding="utf-8"?>
<ds:datastoreItem xmlns:ds="http://schemas.openxmlformats.org/officeDocument/2006/customXml" ds:itemID="{1C914027-BC6D-4E57-BB21-F0015A8349DA}">
  <ds:schemaRefs>
    <ds:schemaRef ds:uri="http://schemas.microsoft.com/office/2006/metadata/properties"/>
    <ds:schemaRef ds:uri="637aacdb-c387-4ea0-89e8-ea3f50f4bc69"/>
    <ds:schemaRef ds:uri="http://purl.org/dc/dcmitype/"/>
    <ds:schemaRef ds:uri="http://schemas.microsoft.com/office/infopath/2007/PartnerControls"/>
    <ds:schemaRef ds:uri="http://schemas.microsoft.com/office/2006/documentManagement/types"/>
    <ds:schemaRef ds:uri="http://purl.org/dc/terms/"/>
    <ds:schemaRef ds:uri="http://purl.org/dc/elements/1.1/"/>
    <ds:schemaRef ds:uri="http://schemas.openxmlformats.org/package/2006/metadata/core-properties"/>
    <ds:schemaRef ds:uri="http://www.w3.org/XML/1998/namespace"/>
    <ds:schemaRef ds:uri="91205cbf-0c9f-43ab-933a-e4a5a41668e1"/>
    <ds:schemaRef ds:uri="7e6d735e-8e15-4fea-907e-58913c344cbe"/>
    <ds:schemaRef ds:uri="4ed66ea5-57f6-4ab0-b6fd-42c455cfd624"/>
  </ds:schemaRefs>
</ds:datastoreItem>
</file>

<file path=customXml/itemProps3.xml><?xml version="1.0" encoding="utf-8"?>
<ds:datastoreItem xmlns:ds="http://schemas.openxmlformats.org/officeDocument/2006/customXml" ds:itemID="{31D5CE8D-5091-44C2-A794-6DAF1DB012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145</vt:i4>
      </vt:variant>
    </vt:vector>
  </HeadingPairs>
  <TitlesOfParts>
    <vt:vector size="145" baseType="lpstr">
      <vt:lpstr>Content</vt:lpstr>
      <vt:lpstr>B</vt:lpstr>
      <vt:lpstr>QA1</vt:lpstr>
      <vt:lpstr>QA2</vt:lpstr>
      <vt:lpstr>D78</vt:lpstr>
      <vt:lpstr>QA3</vt:lpstr>
      <vt:lpstr>QA3bis</vt:lpstr>
      <vt:lpstr>QA4</vt:lpstr>
      <vt:lpstr>QA5a</vt:lpstr>
      <vt:lpstr>QA5b</vt:lpstr>
      <vt:lpstr>QA5ab</vt:lpstr>
      <vt:lpstr>SD22a</vt:lpstr>
      <vt:lpstr>QA6a</vt:lpstr>
      <vt:lpstr>QA6b</vt:lpstr>
      <vt:lpstr>QA6ab</vt:lpstr>
      <vt:lpstr>QA7a</vt:lpstr>
      <vt:lpstr>QA7b</vt:lpstr>
      <vt:lpstr>QA7ab</vt:lpstr>
      <vt:lpstr>QA8</vt:lpstr>
      <vt:lpstr>QA9_1</vt:lpstr>
      <vt:lpstr>QA9_2</vt:lpstr>
      <vt:lpstr>QA10a</vt:lpstr>
      <vt:lpstr>QA10b</vt:lpstr>
      <vt:lpstr>QA10ab</vt:lpstr>
      <vt:lpstr>QA11</vt:lpstr>
      <vt:lpstr>QA12</vt:lpstr>
      <vt:lpstr>QA13</vt:lpstr>
      <vt:lpstr>QA14_1</vt:lpstr>
      <vt:lpstr>QA14_2</vt:lpstr>
      <vt:lpstr>QA14_3</vt:lpstr>
      <vt:lpstr>QA14_4</vt:lpstr>
      <vt:lpstr>QA14_5</vt:lpstr>
      <vt:lpstr>QA15</vt:lpstr>
      <vt:lpstr>QA16</vt:lpstr>
      <vt:lpstr>QA17</vt:lpstr>
      <vt:lpstr>SD27</vt:lpstr>
      <vt:lpstr>QB1</vt:lpstr>
      <vt:lpstr>QB2</vt:lpstr>
      <vt:lpstr>QB3</vt:lpstr>
      <vt:lpstr>QB4</vt:lpstr>
      <vt:lpstr>QB5</vt:lpstr>
      <vt:lpstr>QB6</vt:lpstr>
      <vt:lpstr>QB7_1</vt:lpstr>
      <vt:lpstr>QB7_2</vt:lpstr>
      <vt:lpstr>QB7_3</vt:lpstr>
      <vt:lpstr>QB7_4</vt:lpstr>
      <vt:lpstr>QB8a</vt:lpstr>
      <vt:lpstr>QB8b</vt:lpstr>
      <vt:lpstr>QB8ab</vt:lpstr>
      <vt:lpstr>QB9a</vt:lpstr>
      <vt:lpstr>QB9b</vt:lpstr>
      <vt:lpstr>QB9ab</vt:lpstr>
      <vt:lpstr>QB10</vt:lpstr>
      <vt:lpstr>QB11_1</vt:lpstr>
      <vt:lpstr>QB11_2</vt:lpstr>
      <vt:lpstr>QB11_3</vt:lpstr>
      <vt:lpstr>QB11_4</vt:lpstr>
      <vt:lpstr>QB12</vt:lpstr>
      <vt:lpstr>QB13_1</vt:lpstr>
      <vt:lpstr>QB13_2</vt:lpstr>
      <vt:lpstr>QB13_3</vt:lpstr>
      <vt:lpstr>QB13_4</vt:lpstr>
      <vt:lpstr>QB13_5</vt:lpstr>
      <vt:lpstr>QB13_6</vt:lpstr>
      <vt:lpstr>QCSD</vt:lpstr>
      <vt:lpstr>QC1</vt:lpstr>
      <vt:lpstr>QC2</vt:lpstr>
      <vt:lpstr>QC3</vt:lpstr>
      <vt:lpstr>QC4</vt:lpstr>
      <vt:lpstr>QC5</vt:lpstr>
      <vt:lpstr>QC6_1</vt:lpstr>
      <vt:lpstr>QC6_2</vt:lpstr>
      <vt:lpstr>QC6_3</vt:lpstr>
      <vt:lpstr>QC6_4</vt:lpstr>
      <vt:lpstr>QC6_5</vt:lpstr>
      <vt:lpstr>QC6_6</vt:lpstr>
      <vt:lpstr>QC7</vt:lpstr>
      <vt:lpstr>QC8</vt:lpstr>
      <vt:lpstr>QC9_1</vt:lpstr>
      <vt:lpstr>QC9_2</vt:lpstr>
      <vt:lpstr>QC9_3</vt:lpstr>
      <vt:lpstr>QC9_4</vt:lpstr>
      <vt:lpstr>QC9_5</vt:lpstr>
      <vt:lpstr>QC10</vt:lpstr>
      <vt:lpstr>QC10b</vt:lpstr>
      <vt:lpstr>QC11</vt:lpstr>
      <vt:lpstr>QC12</vt:lpstr>
      <vt:lpstr>QC13</vt:lpstr>
      <vt:lpstr>QC14</vt:lpstr>
      <vt:lpstr>QC15</vt:lpstr>
      <vt:lpstr>QC16_1</vt:lpstr>
      <vt:lpstr>QC16_2</vt:lpstr>
      <vt:lpstr>QC16_3</vt:lpstr>
      <vt:lpstr>QC16_4</vt:lpstr>
      <vt:lpstr>QC16_5</vt:lpstr>
      <vt:lpstr>QC17_1</vt:lpstr>
      <vt:lpstr>QC17_2</vt:lpstr>
      <vt:lpstr>QC17_3</vt:lpstr>
      <vt:lpstr>QC17_4</vt:lpstr>
      <vt:lpstr>QC17_5</vt:lpstr>
      <vt:lpstr>D11</vt:lpstr>
      <vt:lpstr>D11R</vt:lpstr>
      <vt:lpstr>D11bis</vt:lpstr>
      <vt:lpstr>D11G</vt:lpstr>
      <vt:lpstr>D8</vt:lpstr>
      <vt:lpstr>D8c</vt:lpstr>
      <vt:lpstr>D10</vt:lpstr>
      <vt:lpstr>D15a</vt:lpstr>
      <vt:lpstr>D15a2</vt:lpstr>
      <vt:lpstr>C14</vt:lpstr>
      <vt:lpstr>D15b</vt:lpstr>
      <vt:lpstr>D15b2</vt:lpstr>
      <vt:lpstr>D40a</vt:lpstr>
      <vt:lpstr>D40b</vt:lpstr>
      <vt:lpstr>D40c</vt:lpstr>
      <vt:lpstr>D25</vt:lpstr>
      <vt:lpstr>D60</vt:lpstr>
      <vt:lpstr>D70</vt:lpstr>
      <vt:lpstr>D70a</vt:lpstr>
      <vt:lpstr>D43a</vt:lpstr>
      <vt:lpstr>D43b</vt:lpstr>
      <vt:lpstr>D43c</vt:lpstr>
      <vt:lpstr>D43T</vt:lpstr>
      <vt:lpstr>D62_1</vt:lpstr>
      <vt:lpstr>D62_2</vt:lpstr>
      <vt:lpstr>D62_3</vt:lpstr>
      <vt:lpstr>D62_4</vt:lpstr>
      <vt:lpstr>D62R</vt:lpstr>
      <vt:lpstr>D63</vt:lpstr>
      <vt:lpstr>D73_1</vt:lpstr>
      <vt:lpstr>D73_2</vt:lpstr>
      <vt:lpstr>D73_3</vt:lpstr>
      <vt:lpstr>D73_4</vt:lpstr>
      <vt:lpstr>D71_1</vt:lpstr>
      <vt:lpstr>D71_2</vt:lpstr>
      <vt:lpstr>D71_3</vt:lpstr>
      <vt:lpstr>C2</vt:lpstr>
      <vt:lpstr>SD18a</vt:lpstr>
      <vt:lpstr>SD18b</vt:lpstr>
      <vt:lpstr>D72_1</vt:lpstr>
      <vt:lpstr>D72_2</vt:lpstr>
      <vt:lpstr>D72_3</vt:lpstr>
      <vt:lpstr>D1</vt:lpstr>
      <vt:lpstr>D1R1</vt:lpstr>
      <vt:lpstr>D1R2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Elena Pisani</cp:lastModifiedBy>
  <cp:revision/>
  <dcterms:created xsi:type="dcterms:W3CDTF">2025-05-30T14:05:03Z</dcterms:created>
  <dcterms:modified xsi:type="dcterms:W3CDTF">2025-08-05T14:19:15Z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0x010100123C2954C70395469213D10ED2DE8CAC</vt:lpwstr>
  </property>
</Properties>
</file>